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HESAP_KARTLARI" sheetId="2" state="visible" r:id="rId2"/>
    <sheet name="KDV_BEYAN_ICMAL" sheetId="3" state="visible" r:id="rId3"/>
    <sheet name="KDV_ORAN_KONTROL" sheetId="4" state="visible" r:id="rId4"/>
    <sheet name="HATA_NEDEN_MOTORU" sheetId="5" state="visible" r:id="rId5"/>
    <sheet name="KDV_HESAP_TABANI" sheetId="6" state="visible" r:id="rId6"/>
    <sheet name="GIDER_7xx_191" sheetId="7" state="visible" r:id="rId7"/>
    <sheet name="KDV_NASIL_HESAPLANIR" sheetId="8" state="visible" r:id="rId8"/>
    <sheet name="BEYANNAME_YOL_HARITASI" sheetId="9" state="visible" r:id="rId9"/>
    <sheet name="AYARLAR" sheetId="10" state="visible" r:id="rId10"/>
    <sheet name="KAYNAKLAR" sheetId="11" state="visible" r:id="rId11"/>
    <sheet name="KULLANIM" sheetId="12" state="visible" r:id="rId12"/>
  </sheets>
  <definedNames>
    <definedName name="_xlnm._FilterDatabase" localSheetId="1" hidden="1">'RAW_HESAP_KARTLARI'!$A$1:$L$2853</definedName>
    <definedName name="_xlnm._FilterDatabase" localSheetId="2" hidden="1">'KDV_BEYAN_ICMAL'!$A$3:$S$9</definedName>
    <definedName name="_xlnm._FilterDatabase" localSheetId="3" hidden="1">'KDV_ORAN_KONTROL'!$A$3:$K$39</definedName>
    <definedName name="_xlnm._FilterDatabase" localSheetId="4" hidden="1">'HATA_NEDEN_MOTORU'!$A$1:$J$37</definedName>
    <definedName name="_xlnm._FilterDatabase" localSheetId="5" hidden="1">'KDV_HESAP_TABANI'!$A$1:$AT$7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DD.MM.YYYY HH:mm"/>
    <numFmt numFmtId="166" formatCode="#,##0.00&quot; ₺&quot;"/>
  </numFmts>
  <fonts count="18">
    <font>
      <name val="Calibri"/>
      <family val="2"/>
      <color theme="1"/>
      <sz val="12"/>
      <scheme val="minor"/>
    </font>
    <font>
      <name val="Calibri"/>
      <b val="1"/>
      <color rgb="FF000000"/>
      <sz val="12"/>
    </font>
    <font>
      <b val="1"/>
      <color rgb="00FFFFFF"/>
    </font>
    <font>
      <b val="1"/>
      <color rgb="00FFFFFF"/>
      <sz val="14"/>
    </font>
    <font>
      <b val="1"/>
      <color rgb="00111827"/>
    </font>
    <font>
      <b val="1"/>
    </font>
    <font>
      <name val="Calibri"/>
      <b val="1"/>
      <color rgb="00FFFFFF"/>
      <sz val="14"/>
    </font>
    <font>
      <b val="1"/>
      <color rgb="001F2937"/>
      <sz val="10"/>
    </font>
    <font>
      <b val="1"/>
      <color rgb="000F766E"/>
      <sz val="11"/>
    </font>
    <font>
      <b val="1"/>
      <color rgb="00FFFFFF"/>
      <sz val="10"/>
    </font>
    <font>
      <color rgb="001A202C"/>
      <sz val="10"/>
    </font>
    <font>
      <b val="1"/>
      <color rgb="0012345A"/>
      <sz val="10"/>
    </font>
    <font>
      <b val="1"/>
      <color rgb="00FFFFFF"/>
      <sz val="12"/>
    </font>
    <font>
      <b val="1"/>
      <color rgb="001F2937"/>
    </font>
    <font>
      <sz val="10"/>
    </font>
    <font>
      <color rgb="001155CC"/>
      <sz val="10"/>
      <u val="single"/>
    </font>
    <font>
      <b val="1"/>
      <color rgb="001F4E79"/>
      <sz val="10"/>
    </font>
    <font>
      <color rgb="001F4E79"/>
      <sz val="10"/>
    </font>
  </fonts>
  <fills count="1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404040"/>
      </patternFill>
    </fill>
    <fill>
      <patternFill patternType="solid">
        <fgColor rgb="00F4F4F5"/>
      </patternFill>
    </fill>
    <fill>
      <patternFill patternType="solid">
        <fgColor rgb="00FFF7ED"/>
      </patternFill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2C5282"/>
      </patternFill>
    </fill>
    <fill>
      <patternFill patternType="solid">
        <fgColor rgb="00F4F7FB"/>
      </patternFill>
    </fill>
    <fill>
      <patternFill patternType="solid">
        <fgColor rgb="00DCE6F4"/>
      </patternFill>
    </fill>
    <fill>
      <patternFill patternType="solid">
        <fgColor rgb="003F5A78"/>
      </patternFill>
    </fill>
    <fill>
      <patternFill patternType="solid">
        <fgColor rgb="00FFFFFF"/>
      </patternFill>
    </fill>
    <fill>
      <patternFill patternType="solid">
        <fgColor rgb="00D6E4F5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C9D4E2"/>
      </left>
      <right style="thin">
        <color rgb="00C9D4E2"/>
      </right>
      <top style="thin">
        <color rgb="00C9D4E2"/>
      </top>
      <bottom style="thin">
        <color rgb="00C9D4E2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0" fontId="0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4" fillId="4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5" fillId="6" borderId="0" pivotButton="0" quotePrefix="0" xfId="0"/>
    <xf numFmtId="0" fontId="0" fillId="7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7" fillId="9" borderId="7" applyAlignment="1" pivotButton="0" quotePrefix="0" xfId="0">
      <alignment horizontal="left" vertical="center" indent="1"/>
    </xf>
    <xf numFmtId="166" fontId="8" fillId="0" borderId="7" applyAlignment="1" pivotButton="0" quotePrefix="0" xfId="0">
      <alignment horizontal="right" vertical="center" indent="1"/>
    </xf>
    <xf numFmtId="0" fontId="9" fillId="10" borderId="7" applyAlignment="1" pivotButton="0" quotePrefix="0" xfId="0">
      <alignment horizontal="center" vertical="center" wrapText="1"/>
    </xf>
    <xf numFmtId="4" fontId="8" fillId="0" borderId="7" applyAlignment="1" pivotButton="0" quotePrefix="0" xfId="0">
      <alignment horizontal="right" vertical="center" indent="1"/>
    </xf>
    <xf numFmtId="0" fontId="8" fillId="7" borderId="7" applyAlignment="1" pivotButton="0" quotePrefix="0" xfId="0">
      <alignment horizontal="right" vertical="center" indent="1"/>
    </xf>
    <xf numFmtId="0" fontId="10" fillId="0" borderId="7" applyAlignment="1" pivotButton="0" quotePrefix="0" xfId="0">
      <alignment horizontal="left" vertical="center" wrapText="1" indent="1"/>
    </xf>
    <xf numFmtId="4" fontId="10" fillId="0" borderId="7" applyAlignment="1" pivotButton="0" quotePrefix="0" xfId="0">
      <alignment horizontal="right" vertical="center"/>
    </xf>
    <xf numFmtId="0" fontId="10" fillId="11" borderId="7" applyAlignment="1" pivotButton="0" quotePrefix="0" xfId="0">
      <alignment horizontal="left" vertical="center" wrapText="1" indent="1"/>
    </xf>
    <xf numFmtId="4" fontId="10" fillId="11" borderId="7" applyAlignment="1" pivotButton="0" quotePrefix="0" xfId="0">
      <alignment horizontal="right" vertical="center"/>
    </xf>
    <xf numFmtId="0" fontId="9" fillId="8" borderId="7" applyAlignment="1" pivotButton="0" quotePrefix="0" xfId="0">
      <alignment horizontal="center" vertical="center" wrapText="1"/>
    </xf>
    <xf numFmtId="0" fontId="11" fillId="12" borderId="7" applyAlignment="1" pivotButton="0" quotePrefix="0" xfId="0">
      <alignment horizontal="left" vertical="center" wrapText="1" indent="1"/>
    </xf>
    <xf numFmtId="166" fontId="11" fillId="12" borderId="7" applyAlignment="1" pivotButton="0" quotePrefix="0" xfId="0">
      <alignment horizontal="right" vertical="center"/>
    </xf>
    <xf numFmtId="4" fontId="10" fillId="0" borderId="7" applyAlignment="1" pivotButton="0" quotePrefix="0" xfId="0">
      <alignment horizontal="left" vertical="center" wrapText="1" indent="1"/>
    </xf>
    <xf numFmtId="4" fontId="10" fillId="11" borderId="7" applyAlignment="1" pivotButton="0" quotePrefix="0" xfId="0">
      <alignment horizontal="left" vertical="center" wrapText="1" indent="1"/>
    </xf>
    <xf numFmtId="0" fontId="9" fillId="13" borderId="7" applyAlignment="1" pivotButton="0" quotePrefix="0" xfId="0">
      <alignment horizontal="center" vertical="center" wrapText="1"/>
    </xf>
    <xf numFmtId="9" fontId="10" fillId="0" borderId="7" applyAlignment="1" pivotButton="0" quotePrefix="0" xfId="0">
      <alignment horizontal="center" vertical="center"/>
    </xf>
    <xf numFmtId="9" fontId="10" fillId="11" borderId="7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left" vertical="center" indent="1"/>
    </xf>
    <xf numFmtId="0" fontId="4" fillId="4" borderId="7" applyAlignment="1" pivotButton="0" quotePrefix="0" xfId="0">
      <alignment horizontal="left" vertical="center" wrapText="1" indent="1"/>
    </xf>
    <xf numFmtId="0" fontId="14" fillId="11" borderId="7" applyAlignment="1" pivotButton="0" quotePrefix="0" xfId="0">
      <alignment horizontal="left" vertical="center" indent="1"/>
    </xf>
    <xf numFmtId="0" fontId="14" fillId="14" borderId="7" applyAlignment="1" pivotButton="0" quotePrefix="0" xfId="0">
      <alignment horizontal="left" vertical="center" indent="1"/>
    </xf>
    <xf numFmtId="0" fontId="15" fillId="0" borderId="7" applyAlignment="1" pivotButton="0" quotePrefix="0" xfId="0">
      <alignment horizontal="left" vertical="center" wrapText="1" indent="1"/>
    </xf>
    <xf numFmtId="0" fontId="15" fillId="11" borderId="7" applyAlignment="1" pivotButton="0" quotePrefix="0" xfId="0">
      <alignment horizontal="left" vertical="center" wrapText="1" indent="1"/>
    </xf>
    <xf numFmtId="0" fontId="16" fillId="15" borderId="7" applyAlignment="1" pivotButton="0" quotePrefix="0" xfId="0">
      <alignment horizontal="left" vertical="center" wrapText="1" indent="1"/>
    </xf>
    <xf numFmtId="0" fontId="17" fillId="15" borderId="7" applyAlignment="1" pivotButton="0" quotePrefix="0" xfId="0">
      <alignment horizontal="left" vertical="center" wrapText="1" indent="1"/>
    </xf>
  </cellXfs>
  <cellStyles count="1">
    <cellStyle name="Normal" xfId="0" builtinId="0"/>
  </cellStyles>
  <dxfs count="11"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1B7A36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475569"/>
      </font>
      <fill>
        <patternFill patternType="solid">
          <fgColor rgb="00E2E8F0"/>
        </patternFill>
      </fill>
    </dxf>
    <dxf>
      <font>
        <b val="1"/>
        <color rgb="00B45309"/>
      </font>
      <fill>
        <patternFill patternType="solid">
          <fgColor rgb="00FCE2C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AG_GRID_TABLE" displayName="AG_GRID_TABLE" ref="A1:L2845" headerRowCount="1" totalsRowShown="0">
  <autoFilter ref="A1:L2845">
    <filterColumn colId="0" hiddenButton="0" showButton="1"/>
    <filterColumn colId="1" hiddenButton="0" showButton="1"/>
    <filterColumn colId="2" hiddenButton="0" showButton="1"/>
    <filterColumn colId="3" hiddenButton="0" showButton="1"/>
    <filterColumn colId="4" hiddenButton="0" showButton="1"/>
    <filterColumn colId="5" hiddenButton="0" showButton="1"/>
    <filterColumn colId="6" hiddenButton="0" showButton="1"/>
    <filterColumn colId="7" hiddenButton="0" showButton="1"/>
    <filterColumn colId="8" hiddenButton="0" showButton="1"/>
    <filterColumn colId="9" hiddenButton="0" showButton="1"/>
    <filterColumn colId="10" hiddenButton="0" showButton="1"/>
    <filterColumn colId="11" hiddenButton="0" showButton="1"/>
  </autoFilter>
  <tableColumns count="12">
    <tableColumn id="1" name="Hesap Kodu" dataCellStyle="Normal"/>
    <tableColumn id="2" name="Hesap Adı" dataCellStyle="Normal"/>
    <tableColumn id="3" name="Kart Dvz" dataCellStyle="Normal"/>
    <tableColumn id="4" name="Şube" dataCellStyle="Normal"/>
    <tableColumn id="5" name="Borç" dataCellStyle="Normal"/>
    <tableColumn id="6" name="Alacak" dataCellStyle="Normal"/>
    <tableColumn id="7" name="Bakiye" dataCellStyle="Normal"/>
    <tableColumn id="8" name="B/A" dataCellStyle="Normal"/>
    <tableColumn id="9" name="Dvz Borç" dataCellStyle="Normal"/>
    <tableColumn id="10" name="Dvz Alacak" dataCellStyle="Normal"/>
    <tableColumn id="11" name="Dvz Bakiye" dataCellStyle="Normal"/>
    <tableColumn id="12" name="Dvz B/A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ib.gov.tr/yardim-kaynaklar/beyanname-formlari-ve-bildirimler" TargetMode="External" Id="rId1" /><Relationship Type="http://schemas.openxmlformats.org/officeDocument/2006/relationships/hyperlink" Target="https://www.gib.gov.tr/yardim-ve-kaynaklar/yararli-bilgiler/kdv-oranlari-listesi" TargetMode="External" Id="rId2" /><Relationship Type="http://schemas.openxmlformats.org/officeDocument/2006/relationships/hyperlink" Target="https://www.gib.gov.tr/mevzuat/kanun/436" TargetMode="External" Id="rId3" /><Relationship Type="http://schemas.openxmlformats.org/officeDocument/2006/relationships/hyperlink" Target="https://ebeyan.gib.gov.tr/entegrator/docs/kdv1/" TargetMode="External" Id="rId4" /><Relationship Type="http://schemas.openxmlformats.org/officeDocument/2006/relationships/hyperlink" Target="https://ebeyan.gib.gov.tr/entegrator/docs/kdv2" TargetMode="External" Id="rId5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34" min="1" max="1"/>
    <col width="20" customWidth="1" style="34" min="2" max="2"/>
    <col width="3" customWidth="1" style="34" min="3" max="3"/>
    <col width="18" customWidth="1" style="34" min="4" max="4"/>
    <col width="16" customWidth="1" style="34" min="5" max="5"/>
    <col width="16" customWidth="1" style="34" min="6" max="6"/>
    <col width="14" customWidth="1" style="34" min="7" max="7"/>
    <col width="14" customWidth="1" style="34" min="8" max="8"/>
    <col width="14" customWidth="1" style="34" min="9" max="9"/>
    <col width="34" customWidth="1" style="34" min="10" max="10"/>
    <col width="40" customWidth="1" style="34" min="11" max="11"/>
    <col width="30" customWidth="1" style="34" min="12" max="12"/>
  </cols>
  <sheetData>
    <row r="1" ht="28" customHeight="1" s="34">
      <c r="A1" s="54" t="inlineStr">
        <is>
          <t>KDV BEYANNAME ROBOTU - DASHBOARD / MERKEZLER HARİÇ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6" t="n"/>
    </row>
    <row r="2">
      <c r="A2" s="57" t="inlineStr">
        <is>
          <t>Toplam 391 / Hesaplanan+İlave</t>
        </is>
      </c>
      <c r="B2" s="58">
        <f>KDV_BEYAN_ICMAL!O10</f>
        <v/>
      </c>
    </row>
    <row r="3" ht="32" customHeight="1" s="34">
      <c r="A3" s="57" t="inlineStr">
        <is>
          <t>Toplam 191 / İndirilecek+İade</t>
        </is>
      </c>
      <c r="B3" s="58">
        <f>KDV_BEYAN_ICMAL!P10</f>
        <v/>
      </c>
      <c r="D3" s="59" t="inlineStr">
        <is>
          <t>Şube</t>
        </is>
      </c>
      <c r="E3" s="59" t="inlineStr">
        <is>
          <t>Net KDV</t>
        </is>
      </c>
      <c r="F3" s="59" t="inlineStr">
        <is>
          <t>Sonuç</t>
        </is>
      </c>
      <c r="G3" s="59" t="inlineStr">
        <is>
          <t>Kritik Fark</t>
        </is>
      </c>
      <c r="H3" s="59" t="inlineStr">
        <is>
          <t>600/391 Fark</t>
        </is>
      </c>
      <c r="I3" s="59" t="inlineStr">
        <is>
          <t>610/191 Fark</t>
        </is>
      </c>
      <c r="J3" s="59" t="inlineStr">
        <is>
          <t>Beyanname Notu</t>
        </is>
      </c>
      <c r="K3" s="59" t="inlineStr">
        <is>
          <t>Hatalı KDV Nedeni</t>
        </is>
      </c>
      <c r="L3" s="59" t="inlineStr">
        <is>
          <t>Kontrol Edilecek Alan</t>
        </is>
      </c>
    </row>
    <row r="4">
      <c r="A4" s="57" t="inlineStr">
        <is>
          <t>Net KDV</t>
        </is>
      </c>
      <c r="B4" s="58">
        <f>KDV_BEYAN_ICMAL!Q10</f>
        <v/>
      </c>
      <c r="D4" s="40" t="n"/>
      <c r="E4" s="38" t="n"/>
      <c r="F4" s="40" t="n"/>
      <c r="G4" s="40" t="n"/>
      <c r="H4" s="38" t="n"/>
      <c r="I4" s="38" t="n"/>
      <c r="J4" s="40" t="n"/>
    </row>
    <row r="5">
      <c r="A5" s="57" t="inlineStr">
        <is>
          <t>Genel Sonuç</t>
        </is>
      </c>
      <c r="B5" s="60">
        <f>KDV_BEYAN_ICMAL!R10</f>
        <v/>
      </c>
      <c r="D5" s="40" t="n"/>
      <c r="E5" s="38" t="n"/>
      <c r="F5" s="40" t="n"/>
      <c r="G5" s="40" t="n"/>
      <c r="H5" s="38" t="n"/>
      <c r="I5" s="38" t="n"/>
      <c r="J5" s="40" t="n"/>
    </row>
    <row r="6">
      <c r="A6" s="57" t="inlineStr">
        <is>
          <t>Kritik/Küçük Fark Sayısı</t>
        </is>
      </c>
      <c r="B6" s="60">
        <f>SUM(KDV_HESAP_TABANI!AQ2:AQ7)</f>
        <v/>
      </c>
      <c r="D6" s="40" t="n"/>
      <c r="E6" s="38" t="n"/>
      <c r="F6" s="40" t="n"/>
      <c r="G6" s="40" t="n"/>
      <c r="H6" s="38" t="n"/>
      <c r="I6" s="38" t="n"/>
      <c r="J6" s="40" t="n"/>
    </row>
    <row r="7">
      <c r="A7" s="57" t="inlineStr">
        <is>
          <t>Tevkifatlı İndirilecek KDV</t>
        </is>
      </c>
      <c r="B7" s="58">
        <f>SUM(KDV_HESAP_TABANI!AI2:AI7)</f>
        <v/>
      </c>
      <c r="D7" s="40" t="n"/>
      <c r="E7" s="38" t="n"/>
      <c r="F7" s="40" t="n"/>
      <c r="G7" s="40" t="n"/>
      <c r="H7" s="38" t="n"/>
      <c r="I7" s="38" t="n"/>
      <c r="J7" s="40" t="n"/>
    </row>
    <row r="8" ht="72" customHeight="1" s="34">
      <c r="A8" s="57" t="inlineStr">
        <is>
          <t>Dashboard Hata Nedeni</t>
        </is>
      </c>
      <c r="B8" s="61">
        <f>IF(SUM(KDV_HESAP_TABANI!AQ2:AQ7)=0,"Kritik hata yok",IF(KDV_HESAP_TABANI!AQ2&gt;0,KDV_HESAP_TABANI!AR2,IF(KDV_HESAP_TABANI!AQ3&gt;0,KDV_HESAP_TABANI!AR3,IF(KDV_HESAP_TABANI!AQ4&gt;0,KDV_HESAP_TABANI!AR4,IF(KDV_HESAP_TABANI!AQ5&gt;0,KDV_HESAP_TABANI!AR5,IF(KDV_HESAP_TABANI!AQ6&gt;0,KDV_HESAP_TABANI!AR6,KDV_HESAP_TABANI!AR7))))))</f>
        <v/>
      </c>
      <c r="D8" s="62">
        <f>KDV_HESAP_TABANI!A2</f>
        <v/>
      </c>
      <c r="E8" s="63">
        <f>KDV_HESAP_TABANI!AO2</f>
        <v/>
      </c>
      <c r="F8" s="62">
        <f>KDV_HESAP_TABANI!AP2</f>
        <v/>
      </c>
      <c r="G8" s="63">
        <f>KDV_HESAP_TABANI!AQ2</f>
        <v/>
      </c>
      <c r="H8" s="63">
        <f>KDV_HESAP_TABANI!E2+KDV_HESAP_TABANI!J2</f>
        <v/>
      </c>
      <c r="I8" s="63">
        <f>KDV_HESAP_TABANI!O2+KDV_HESAP_TABANI!T2</f>
        <v/>
      </c>
      <c r="J8" s="62">
        <f>KDV_BEYAN_ICMAL!S4</f>
        <v/>
      </c>
      <c r="K8" s="62">
        <f>KDV_HESAP_TABANI!AR2</f>
        <v/>
      </c>
      <c r="L8" s="62">
        <f>KDV_HESAP_TABANI!AS2</f>
        <v/>
      </c>
    </row>
    <row r="9" ht="72" customHeight="1" s="34">
      <c r="D9" s="64">
        <f>KDV_HESAP_TABANI!A3</f>
        <v/>
      </c>
      <c r="E9" s="65">
        <f>KDV_HESAP_TABANI!AO3</f>
        <v/>
      </c>
      <c r="F9" s="64">
        <f>KDV_HESAP_TABANI!AP3</f>
        <v/>
      </c>
      <c r="G9" s="65">
        <f>KDV_HESAP_TABANI!AQ3</f>
        <v/>
      </c>
      <c r="H9" s="65">
        <f>KDV_HESAP_TABANI!E3+KDV_HESAP_TABANI!J3</f>
        <v/>
      </c>
      <c r="I9" s="65">
        <f>KDV_HESAP_TABANI!O3+KDV_HESAP_TABANI!T3</f>
        <v/>
      </c>
      <c r="J9" s="64">
        <f>KDV_BEYAN_ICMAL!S5</f>
        <v/>
      </c>
      <c r="K9" s="64">
        <f>KDV_HESAP_TABANI!AR3</f>
        <v/>
      </c>
      <c r="L9" s="64">
        <f>KDV_HESAP_TABANI!AS3</f>
        <v/>
      </c>
    </row>
    <row r="10" ht="72" customHeight="1" s="34">
      <c r="D10" s="62">
        <f>KDV_HESAP_TABANI!A4</f>
        <v/>
      </c>
      <c r="E10" s="63">
        <f>KDV_HESAP_TABANI!AO4</f>
        <v/>
      </c>
      <c r="F10" s="62">
        <f>KDV_HESAP_TABANI!AP4</f>
        <v/>
      </c>
      <c r="G10" s="63">
        <f>KDV_HESAP_TABANI!AQ4</f>
        <v/>
      </c>
      <c r="H10" s="63">
        <f>KDV_HESAP_TABANI!E4+KDV_HESAP_TABANI!J4</f>
        <v/>
      </c>
      <c r="I10" s="63">
        <f>KDV_HESAP_TABANI!O4+KDV_HESAP_TABANI!T4</f>
        <v/>
      </c>
      <c r="J10" s="62">
        <f>KDV_BEYAN_ICMAL!S6</f>
        <v/>
      </c>
      <c r="K10" s="62">
        <f>KDV_HESAP_TABANI!AR4</f>
        <v/>
      </c>
      <c r="L10" s="62">
        <f>KDV_HESAP_TABANI!AS4</f>
        <v/>
      </c>
    </row>
    <row r="11" ht="72" customHeight="1" s="34">
      <c r="D11" s="64">
        <f>KDV_HESAP_TABANI!A5</f>
        <v/>
      </c>
      <c r="E11" s="65">
        <f>KDV_HESAP_TABANI!AO5</f>
        <v/>
      </c>
      <c r="F11" s="64">
        <f>KDV_HESAP_TABANI!AP5</f>
        <v/>
      </c>
      <c r="G11" s="65">
        <f>KDV_HESAP_TABANI!AQ5</f>
        <v/>
      </c>
      <c r="H11" s="65">
        <f>KDV_HESAP_TABANI!E5+KDV_HESAP_TABANI!J5</f>
        <v/>
      </c>
      <c r="I11" s="65">
        <f>KDV_HESAP_TABANI!O5+KDV_HESAP_TABANI!T5</f>
        <v/>
      </c>
      <c r="J11" s="64">
        <f>KDV_BEYAN_ICMAL!S7</f>
        <v/>
      </c>
      <c r="K11" s="64">
        <f>KDV_HESAP_TABANI!AR5</f>
        <v/>
      </c>
      <c r="L11" s="64">
        <f>KDV_HESAP_TABANI!AS5</f>
        <v/>
      </c>
    </row>
    <row r="12" ht="72" customHeight="1" s="34">
      <c r="D12" s="62">
        <f>KDV_HESAP_TABANI!A6</f>
        <v/>
      </c>
      <c r="E12" s="63">
        <f>KDV_HESAP_TABANI!AO6</f>
        <v/>
      </c>
      <c r="F12" s="62">
        <f>KDV_HESAP_TABANI!AP6</f>
        <v/>
      </c>
      <c r="G12" s="63">
        <f>KDV_HESAP_TABANI!AQ6</f>
        <v/>
      </c>
      <c r="H12" s="63">
        <f>KDV_HESAP_TABANI!E6+KDV_HESAP_TABANI!J6</f>
        <v/>
      </c>
      <c r="I12" s="63">
        <f>KDV_HESAP_TABANI!O6+KDV_HESAP_TABANI!T6</f>
        <v/>
      </c>
      <c r="J12" s="62">
        <f>KDV_BEYAN_ICMAL!S8</f>
        <v/>
      </c>
      <c r="K12" s="62">
        <f>KDV_HESAP_TABANI!AR6</f>
        <v/>
      </c>
      <c r="L12" s="62">
        <f>KDV_HESAP_TABANI!AS6</f>
        <v/>
      </c>
    </row>
    <row r="13" ht="72" customHeight="1" s="34">
      <c r="D13" s="64">
        <f>KDV_HESAP_TABANI!A7</f>
        <v/>
      </c>
      <c r="E13" s="65">
        <f>KDV_HESAP_TABANI!AO7</f>
        <v/>
      </c>
      <c r="F13" s="64">
        <f>KDV_HESAP_TABANI!AP7</f>
        <v/>
      </c>
      <c r="G13" s="65">
        <f>KDV_HESAP_TABANI!AQ7</f>
        <v/>
      </c>
      <c r="H13" s="65">
        <f>KDV_HESAP_TABANI!E7+KDV_HESAP_TABANI!J7</f>
        <v/>
      </c>
      <c r="I13" s="65">
        <f>KDV_HESAP_TABANI!O7+KDV_HESAP_TABANI!T7</f>
        <v/>
      </c>
      <c r="J13" s="64">
        <f>KDV_BEYAN_ICMAL!S9</f>
        <v/>
      </c>
      <c r="K13" s="64">
        <f>KDV_HESAP_TABANI!AR7</f>
        <v/>
      </c>
      <c r="L13" s="64">
        <f>KDV_HESAP_TABANI!AS7</f>
        <v/>
      </c>
    </row>
  </sheetData>
  <mergeCells count="1">
    <mergeCell ref="A1:L1"/>
  </mergeCells>
  <conditionalFormatting sqref="F4:F9">
    <cfRule type="expression" priority="1" dxfId="0">
      <formula>F4="ÖDENECEK KDV"</formula>
    </cfRule>
    <cfRule type="expression" priority="2" dxfId="1">
      <formula>F4="DEVREDEN KDV"</formula>
    </cfRule>
  </conditionalFormatting>
  <conditionalFormatting sqref="G8:G13">
    <cfRule type="cellIs" priority="3" operator="greaterThan" dxfId="3">
      <formula>0</formula>
    </cfRule>
    <cfRule type="cellIs" priority="14" operator="greaterThan" dxfId="6">
      <formula>0</formula>
    </cfRule>
  </conditionalFormatting>
  <conditionalFormatting sqref="F8:F13">
    <cfRule type="expression" priority="4" dxfId="4">
      <formula>$F8="ÖDENECEK KDV"</formula>
    </cfRule>
    <cfRule type="cellIs" priority="7" operator="equal" dxfId="7">
      <formula>"TUTUYOR"</formula>
    </cfRule>
    <cfRule type="cellIs" priority="8" operator="equal" dxfId="6">
      <formula>"TUTMUYOR"</formula>
    </cfRule>
    <cfRule type="cellIs" priority="9" operator="equal" dxfId="8">
      <formula>"KÜÇÜK FARK"</formula>
    </cfRule>
    <cfRule type="cellIs" priority="10" operator="equal" dxfId="9">
      <formula>"HAREKET YOK"</formula>
    </cfRule>
    <cfRule type="cellIs" priority="11" operator="equal" dxfId="10">
      <formula>"ÖDENECEK KDV"</formula>
    </cfRule>
    <cfRule type="cellIs" priority="12" operator="equal" dxfId="7">
      <formula>"DEVREDEN KDV"</formula>
    </cfRule>
    <cfRule type="cellIs" priority="13" operator="equal" dxfId="9">
      <formula>"SIFIR"</formula>
    </cfRule>
  </conditionalFormatting>
  <conditionalFormatting sqref="K8:K13">
    <cfRule type="expression" priority="5" dxfId="4">
      <formula>ISNUMBER(SEARCH("Sorun yok",$K8))</formula>
    </cfRule>
    <cfRule type="expression" priority="6" dxfId="3">
      <formula>NOT(ISNUMBER(SEARCH("Sorun yok",$K8)))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B7280"/>
    <outlinePr summaryBelow="0"/>
    <pageSetUpPr fitToPage="1"/>
  </sheetPr>
  <dimension ref="A1:L2853"/>
  <sheetViews>
    <sheetView showGridLines="0" rightToLeft="0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6" customWidth="1" style="34" min="1" max="1"/>
    <col width="40" customWidth="1" style="34" min="2" max="2"/>
    <col width="9" customWidth="1" style="34" min="3" max="3"/>
    <col width="18" customWidth="1" style="34" min="4" max="4"/>
    <col width="16" customWidth="1" style="34" min="5" max="5"/>
    <col width="16" customWidth="1" style="34" min="6" max="6"/>
    <col width="16" customWidth="1" style="34" min="7" max="7"/>
    <col width="7" customWidth="1" style="34" min="8" max="8"/>
    <col width="16" customWidth="1" style="34" min="9" max="9"/>
    <col width="16" customWidth="1" style="34" min="10" max="10"/>
    <col width="16" customWidth="1" style="34" min="11" max="11"/>
    <col width="7" customWidth="1" style="34" min="12" max="12"/>
  </cols>
  <sheetData>
    <row r="1" ht="32" customHeight="1" s="34">
      <c r="A1" s="66" t="inlineStr">
        <is>
          <t>Hesap Kodu</t>
        </is>
      </c>
      <c r="B1" s="66" t="inlineStr">
        <is>
          <t>Hesap Adı</t>
        </is>
      </c>
      <c r="C1" s="66" t="inlineStr">
        <is>
          <t>Kart Dvz</t>
        </is>
      </c>
      <c r="D1" s="66" t="inlineStr">
        <is>
          <t>Şube</t>
        </is>
      </c>
      <c r="E1" s="66" t="inlineStr">
        <is>
          <t>Borç</t>
        </is>
      </c>
      <c r="F1" s="66" t="inlineStr">
        <is>
          <t>Alacak</t>
        </is>
      </c>
      <c r="G1" s="66" t="inlineStr">
        <is>
          <t>Bakiye</t>
        </is>
      </c>
      <c r="H1" s="66" t="inlineStr">
        <is>
          <t>B/A</t>
        </is>
      </c>
      <c r="I1" s="66" t="inlineStr">
        <is>
          <t>Dvz Borç</t>
        </is>
      </c>
      <c r="J1" s="66" t="inlineStr">
        <is>
          <t>Dvz Alacak</t>
        </is>
      </c>
      <c r="K1" s="66" t="inlineStr">
        <is>
          <t>Dvz Bakiye</t>
        </is>
      </c>
      <c r="L1" s="66" t="inlineStr">
        <is>
          <t>Dvz B/A</t>
        </is>
      </c>
    </row>
    <row r="2" s="34">
      <c r="A2" s="40" t="inlineStr">
        <is>
          <t>1</t>
        </is>
      </c>
      <c r="B2" s="40" t="inlineStr">
        <is>
          <t>DÖNEN VARLIKLAR</t>
        </is>
      </c>
      <c r="C2" s="40" t="inlineStr">
        <is>
          <t>TRY</t>
        </is>
      </c>
      <c r="E2" s="38" t="n">
        <v>8448776236.71</v>
      </c>
      <c r="F2" s="38" t="n">
        <v>7847309321.61</v>
      </c>
      <c r="G2" s="38" t="n">
        <v>601466915.1</v>
      </c>
      <c r="I2" s="38" t="n">
        <v>2435783209.43</v>
      </c>
      <c r="J2" s="38" t="n">
        <v>2293407704.45</v>
      </c>
      <c r="K2" s="38" t="n">
        <v>142375504.98</v>
      </c>
    </row>
    <row r="3" s="34">
      <c r="A3" s="40" t="inlineStr">
        <is>
          <t>10</t>
        </is>
      </c>
      <c r="B3" s="40" t="inlineStr">
        <is>
          <t>HAZIR DEĞERLER</t>
        </is>
      </c>
      <c r="C3" s="40" t="inlineStr">
        <is>
          <t>TRY</t>
        </is>
      </c>
      <c r="E3" s="38" t="n">
        <v>6518573956.18</v>
      </c>
      <c r="F3" s="38" t="n">
        <v>6700829092.01</v>
      </c>
      <c r="G3" s="38" t="n">
        <v>-182255135.83</v>
      </c>
      <c r="I3" s="38" t="n">
        <v>1130804912.21</v>
      </c>
      <c r="J3" s="38" t="n">
        <v>1292758541.57</v>
      </c>
      <c r="K3" s="38" t="n">
        <v>-161953629.36</v>
      </c>
    </row>
    <row r="4" s="34">
      <c r="A4" s="40" t="inlineStr">
        <is>
          <t>100</t>
        </is>
      </c>
      <c r="B4" s="40" t="inlineStr">
        <is>
          <t>KASA</t>
        </is>
      </c>
      <c r="C4" s="40" t="inlineStr">
        <is>
          <t>TRY</t>
        </is>
      </c>
      <c r="E4" s="38" t="n">
        <v>13059627.27</v>
      </c>
      <c r="F4" s="38" t="n">
        <v>11754550.71</v>
      </c>
      <c r="G4" s="38" t="n">
        <v>1305076.56</v>
      </c>
      <c r="I4" s="38" t="n">
        <v>1027591.89</v>
      </c>
      <c r="J4" s="38" t="n">
        <v>561595.1800000001</v>
      </c>
      <c r="K4" s="38" t="n">
        <v>465996.71</v>
      </c>
    </row>
    <row r="5" s="34">
      <c r="A5" s="40" t="inlineStr">
        <is>
          <t>100.01</t>
        </is>
      </c>
      <c r="B5" s="40" t="inlineStr">
        <is>
          <t>TL KASASI</t>
        </is>
      </c>
      <c r="C5" s="40" t="inlineStr">
        <is>
          <t>TRY</t>
        </is>
      </c>
      <c r="E5" s="38" t="n">
        <v>13059627.27</v>
      </c>
      <c r="F5" s="38" t="n">
        <v>11754550.71</v>
      </c>
      <c r="G5" s="38" t="n">
        <v>1305076.56</v>
      </c>
      <c r="I5" s="38" t="n">
        <v>1027591.89</v>
      </c>
      <c r="J5" s="38" t="n">
        <v>561595.1800000001</v>
      </c>
      <c r="K5" s="38" t="n">
        <v>465996.71</v>
      </c>
    </row>
    <row r="6" s="34">
      <c r="A6" s="40" t="inlineStr">
        <is>
          <t>100.01.01</t>
        </is>
      </c>
      <c r="B6" s="40" t="inlineStr">
        <is>
          <t>TL KASASI</t>
        </is>
      </c>
      <c r="C6" s="40" t="inlineStr">
        <is>
          <t>TRY</t>
        </is>
      </c>
      <c r="E6" s="38" t="n">
        <v>785662.53</v>
      </c>
      <c r="F6" s="38" t="n">
        <v>340118.45</v>
      </c>
      <c r="G6" s="38" t="n">
        <v>445544.08</v>
      </c>
      <c r="I6" s="38" t="n">
        <v>785662.53</v>
      </c>
      <c r="J6" s="38" t="n">
        <v>340118.45</v>
      </c>
      <c r="K6" s="38" t="n">
        <v>445544.08</v>
      </c>
    </row>
    <row r="7" s="34">
      <c r="A7" s="40" t="inlineStr">
        <is>
          <t>100.01.01.0001</t>
        </is>
      </c>
      <c r="B7" s="40" t="inlineStr">
        <is>
          <t>TL Ana Kasa</t>
        </is>
      </c>
      <c r="C7" s="40" t="inlineStr">
        <is>
          <t>TRY</t>
        </is>
      </c>
      <c r="D7" s="40" t="inlineStr">
        <is>
          <t>ROYAL ADAM EVE</t>
        </is>
      </c>
      <c r="E7" s="38" t="n">
        <v>0</v>
      </c>
      <c r="F7" s="38" t="n">
        <v>124270</v>
      </c>
      <c r="G7" s="38" t="n">
        <v>-124270</v>
      </c>
      <c r="H7" s="40" t="inlineStr">
        <is>
          <t>Alacak</t>
        </is>
      </c>
      <c r="I7" s="38" t="n">
        <v>0</v>
      </c>
      <c r="J7" s="38" t="n">
        <v>124270</v>
      </c>
      <c r="K7" s="38" t="n">
        <v>-124270</v>
      </c>
      <c r="L7" s="40" t="inlineStr">
        <is>
          <t>Alacak</t>
        </is>
      </c>
    </row>
    <row r="8" s="34">
      <c r="A8" s="40" t="inlineStr">
        <is>
          <t>100.01.01.0001</t>
        </is>
      </c>
      <c r="B8" s="40" t="inlineStr">
        <is>
          <t>TL Ana Kasa</t>
        </is>
      </c>
      <c r="C8" s="40" t="inlineStr">
        <is>
          <t>TRY</t>
        </is>
      </c>
      <c r="D8" s="40" t="inlineStr">
        <is>
          <t>ROYAL ALHAMBRA</t>
        </is>
      </c>
      <c r="E8" s="38" t="n">
        <v>0</v>
      </c>
      <c r="F8" s="38" t="n">
        <v>855.6</v>
      </c>
      <c r="G8" s="38" t="n">
        <v>-855.6</v>
      </c>
      <c r="H8" s="40" t="inlineStr">
        <is>
          <t>Alacak</t>
        </is>
      </c>
      <c r="I8" s="38" t="n">
        <v>0</v>
      </c>
      <c r="J8" s="38" t="n">
        <v>855.6</v>
      </c>
      <c r="K8" s="38" t="n">
        <v>-855.6</v>
      </c>
      <c r="L8" s="40" t="inlineStr">
        <is>
          <t>Alacak</t>
        </is>
      </c>
    </row>
    <row r="9" s="34">
      <c r="A9" s="40" t="inlineStr">
        <is>
          <t>100.01.01.0001</t>
        </is>
      </c>
      <c r="B9" s="40" t="inlineStr">
        <is>
          <t>TL Ana Kasa</t>
        </is>
      </c>
      <c r="C9" s="40" t="inlineStr">
        <is>
          <t>TRY</t>
        </is>
      </c>
      <c r="D9" s="40" t="inlineStr">
        <is>
          <t>ROYAL DRAGON</t>
        </is>
      </c>
      <c r="E9" s="38" t="n">
        <v>0</v>
      </c>
      <c r="F9" s="38" t="n">
        <v>10806.26</v>
      </c>
      <c r="G9" s="38" t="n">
        <v>-10806.26</v>
      </c>
      <c r="H9" s="40" t="inlineStr">
        <is>
          <t>Alacak</t>
        </is>
      </c>
      <c r="I9" s="38" t="n">
        <v>0</v>
      </c>
      <c r="J9" s="38" t="n">
        <v>10806.26</v>
      </c>
      <c r="K9" s="38" t="n">
        <v>-10806.26</v>
      </c>
      <c r="L9" s="40" t="inlineStr">
        <is>
          <t>Alacak</t>
        </is>
      </c>
    </row>
    <row r="10" s="34">
      <c r="A10" s="40" t="inlineStr">
        <is>
          <t>100.01.01.0001</t>
        </is>
      </c>
      <c r="B10" s="40" t="inlineStr">
        <is>
          <t>TL Ana Kasa</t>
        </is>
      </c>
      <c r="C10" s="40" t="inlineStr">
        <is>
          <t>TRY</t>
        </is>
      </c>
      <c r="D10" s="40" t="inlineStr">
        <is>
          <t>ROYAL HOLIDAY</t>
        </is>
      </c>
      <c r="E10" s="38" t="n">
        <v>0</v>
      </c>
      <c r="F10" s="38" t="n">
        <v>110940</v>
      </c>
      <c r="G10" s="38" t="n">
        <v>-110940</v>
      </c>
      <c r="H10" s="40" t="inlineStr">
        <is>
          <t>Alacak</t>
        </is>
      </c>
      <c r="I10" s="38" t="n">
        <v>0</v>
      </c>
      <c r="J10" s="38" t="n">
        <v>110940</v>
      </c>
      <c r="K10" s="38" t="n">
        <v>-110940</v>
      </c>
      <c r="L10" s="40" t="inlineStr">
        <is>
          <t>Alacak</t>
        </is>
      </c>
    </row>
    <row r="11" s="34">
      <c r="A11" s="40" t="inlineStr">
        <is>
          <t>100.01.01.0001</t>
        </is>
      </c>
      <c r="B11" s="40" t="inlineStr">
        <is>
          <t>TL Ana Kasa</t>
        </is>
      </c>
      <c r="C11" s="40" t="inlineStr">
        <is>
          <t>TRY</t>
        </is>
      </c>
      <c r="D11" s="40" t="inlineStr">
        <is>
          <t>ROYAL SEGINUS</t>
        </is>
      </c>
      <c r="E11" s="38" t="n">
        <v>4835.23</v>
      </c>
      <c r="F11" s="38" t="n">
        <v>92007.14999999999</v>
      </c>
      <c r="G11" s="38" t="n">
        <v>-87171.92</v>
      </c>
      <c r="H11" s="40" t="inlineStr">
        <is>
          <t>Alacak</t>
        </is>
      </c>
      <c r="I11" s="38" t="n">
        <v>4835.23</v>
      </c>
      <c r="J11" s="38" t="n">
        <v>92007.14999999999</v>
      </c>
      <c r="K11" s="38" t="n">
        <v>-87171.92</v>
      </c>
      <c r="L11" s="40" t="inlineStr">
        <is>
          <t>Alacak</t>
        </is>
      </c>
    </row>
    <row r="12" s="34">
      <c r="A12" s="40" t="inlineStr">
        <is>
          <t>100.01.01.0001</t>
        </is>
      </c>
      <c r="B12" s="40" t="inlineStr">
        <is>
          <t>TL Ana Kasa</t>
        </is>
      </c>
      <c r="C12" s="40" t="inlineStr">
        <is>
          <t>TRY</t>
        </is>
      </c>
      <c r="D12" s="40" t="inlineStr">
        <is>
          <t>SERTAŞ MERKEZ</t>
        </is>
      </c>
      <c r="E12" s="38" t="n">
        <v>0</v>
      </c>
      <c r="F12" s="38" t="n">
        <v>1239.44</v>
      </c>
      <c r="G12" s="38" t="n">
        <v>-1239.44</v>
      </c>
      <c r="H12" s="40" t="inlineStr">
        <is>
          <t>Alacak</t>
        </is>
      </c>
      <c r="I12" s="38" t="n">
        <v>0</v>
      </c>
      <c r="J12" s="38" t="n">
        <v>1239.44</v>
      </c>
      <c r="K12" s="38" t="n">
        <v>-1239.44</v>
      </c>
      <c r="L12" s="40" t="inlineStr">
        <is>
          <t>Alacak</t>
        </is>
      </c>
    </row>
    <row r="13" s="34">
      <c r="A13" s="40" t="inlineStr">
        <is>
          <t>100.01.01.0002</t>
        </is>
      </c>
      <c r="B13" s="40" t="inlineStr">
        <is>
          <t>Önbüro TL Kasası</t>
        </is>
      </c>
      <c r="C13" s="40" t="inlineStr">
        <is>
          <t>TRY</t>
        </is>
      </c>
      <c r="D13" s="40" t="inlineStr">
        <is>
          <t>ROYAL ADAM EVE</t>
        </is>
      </c>
      <c r="E13" s="38" t="n">
        <v>439734.61</v>
      </c>
      <c r="F13" s="38" t="n">
        <v>0</v>
      </c>
      <c r="G13" s="38" t="n">
        <v>439734.61</v>
      </c>
      <c r="H13" s="40" t="inlineStr">
        <is>
          <t>Borç</t>
        </is>
      </c>
      <c r="I13" s="38" t="n">
        <v>439734.61</v>
      </c>
      <c r="J13" s="38" t="n">
        <v>0</v>
      </c>
      <c r="K13" s="38" t="n">
        <v>439734.61</v>
      </c>
      <c r="L13" s="40" t="inlineStr">
        <is>
          <t>Borç</t>
        </is>
      </c>
    </row>
    <row r="14" s="34">
      <c r="A14" s="40" t="inlineStr">
        <is>
          <t>100.01.01.0002</t>
        </is>
      </c>
      <c r="B14" s="40" t="inlineStr">
        <is>
          <t>Önbüro TL Kasası</t>
        </is>
      </c>
      <c r="C14" s="40" t="inlineStr">
        <is>
          <t>TRY</t>
        </is>
      </c>
      <c r="D14" s="40" t="inlineStr">
        <is>
          <t>ROYAL ALHAMBRA</t>
        </is>
      </c>
      <c r="E14" s="38" t="n">
        <v>1593.67</v>
      </c>
      <c r="F14" s="38" t="n">
        <v>0</v>
      </c>
      <c r="G14" s="38" t="n">
        <v>1593.67</v>
      </c>
      <c r="H14" s="40" t="inlineStr">
        <is>
          <t>Borç</t>
        </is>
      </c>
      <c r="I14" s="38" t="n">
        <v>1593.67</v>
      </c>
      <c r="J14" s="38" t="n">
        <v>0</v>
      </c>
      <c r="K14" s="38" t="n">
        <v>1593.67</v>
      </c>
      <c r="L14" s="40" t="inlineStr">
        <is>
          <t>Borç</t>
        </is>
      </c>
    </row>
    <row r="15" s="34">
      <c r="A15" s="40" t="inlineStr">
        <is>
          <t>100.01.01.0002</t>
        </is>
      </c>
      <c r="B15" s="40" t="inlineStr">
        <is>
          <t>Önbüro TL Kasası</t>
        </is>
      </c>
      <c r="C15" s="40" t="inlineStr">
        <is>
          <t>TRY</t>
        </is>
      </c>
      <c r="D15" s="40" t="inlineStr">
        <is>
          <t>ROYAL DRAGON</t>
        </is>
      </c>
      <c r="E15" s="38" t="n">
        <v>1272.34</v>
      </c>
      <c r="F15" s="38" t="n">
        <v>0</v>
      </c>
      <c r="G15" s="38" t="n">
        <v>1272.34</v>
      </c>
      <c r="H15" s="40" t="inlineStr">
        <is>
          <t>Borç</t>
        </is>
      </c>
      <c r="I15" s="38" t="n">
        <v>1272.34</v>
      </c>
      <c r="J15" s="38" t="n">
        <v>0</v>
      </c>
      <c r="K15" s="38" t="n">
        <v>1272.34</v>
      </c>
      <c r="L15" s="40" t="inlineStr">
        <is>
          <t>Borç</t>
        </is>
      </c>
    </row>
    <row r="16" s="34">
      <c r="A16" s="40" t="inlineStr">
        <is>
          <t>100.01.01.0002</t>
        </is>
      </c>
      <c r="B16" s="40" t="inlineStr">
        <is>
          <t>Önbüro TL Kasası</t>
        </is>
      </c>
      <c r="C16" s="40" t="inlineStr">
        <is>
          <t>TRY</t>
        </is>
      </c>
      <c r="D16" s="40" t="inlineStr">
        <is>
          <t>ROYAL HOLIDAY</t>
        </is>
      </c>
      <c r="E16" s="38" t="n">
        <v>134737.86</v>
      </c>
      <c r="F16" s="38" t="n">
        <v>0</v>
      </c>
      <c r="G16" s="38" t="n">
        <v>134737.86</v>
      </c>
      <c r="H16" s="40" t="inlineStr">
        <is>
          <t>Borç</t>
        </is>
      </c>
      <c r="I16" s="38" t="n">
        <v>134737.86</v>
      </c>
      <c r="J16" s="38" t="n">
        <v>0</v>
      </c>
      <c r="K16" s="38" t="n">
        <v>134737.86</v>
      </c>
      <c r="L16" s="40" t="inlineStr">
        <is>
          <t>Borç</t>
        </is>
      </c>
    </row>
    <row r="17" s="34">
      <c r="A17" s="40" t="inlineStr">
        <is>
          <t>100.01.01.0002</t>
        </is>
      </c>
      <c r="B17" s="40" t="inlineStr">
        <is>
          <t>Önbüro TL Kasası</t>
        </is>
      </c>
      <c r="C17" s="40" t="inlineStr">
        <is>
          <t>TRY</t>
        </is>
      </c>
      <c r="D17" s="40" t="inlineStr">
        <is>
          <t>ROYAL SEGINUS</t>
        </is>
      </c>
      <c r="E17" s="38" t="n">
        <v>203488.82</v>
      </c>
      <c r="F17" s="38" t="n">
        <v>0</v>
      </c>
      <c r="G17" s="38" t="n">
        <v>203488.82</v>
      </c>
      <c r="H17" s="40" t="inlineStr">
        <is>
          <t>Borç</t>
        </is>
      </c>
      <c r="I17" s="38" t="n">
        <v>203488.82</v>
      </c>
      <c r="J17" s="38" t="n">
        <v>0</v>
      </c>
      <c r="K17" s="38" t="n">
        <v>203488.82</v>
      </c>
      <c r="L17" s="40" t="inlineStr">
        <is>
          <t>Borç</t>
        </is>
      </c>
    </row>
    <row r="18" s="34">
      <c r="A18" s="40" t="inlineStr">
        <is>
          <t>100.01.02</t>
        </is>
      </c>
      <c r="B18" s="40" t="inlineStr">
        <is>
          <t>DÖVİZ KASASI</t>
        </is>
      </c>
      <c r="C18" s="40" t="inlineStr">
        <is>
          <t>TRY</t>
        </is>
      </c>
      <c r="E18" s="38" t="n">
        <v>12273964.74</v>
      </c>
      <c r="F18" s="38" t="n">
        <v>11414432.26</v>
      </c>
      <c r="G18" s="38" t="n">
        <v>859532.48</v>
      </c>
      <c r="I18" s="38" t="n">
        <v>241929.36</v>
      </c>
      <c r="J18" s="38" t="n">
        <v>221476.73</v>
      </c>
      <c r="K18" s="38" t="n">
        <v>20452.63</v>
      </c>
    </row>
    <row r="19" s="34">
      <c r="A19" s="40" t="inlineStr">
        <is>
          <t>100.01.02.0001</t>
        </is>
      </c>
      <c r="B19" s="40" t="inlineStr">
        <is>
          <t>Usd Kasası</t>
        </is>
      </c>
      <c r="C19" s="40" t="inlineStr">
        <is>
          <t>USD</t>
        </is>
      </c>
      <c r="D19" s="40" t="inlineStr">
        <is>
          <t>ROYAL ADAM EVE</t>
        </is>
      </c>
      <c r="E19" s="38" t="n">
        <v>448437.79</v>
      </c>
      <c r="F19" s="38" t="n">
        <v>1249035.74</v>
      </c>
      <c r="G19" s="38" t="n">
        <v>-800597.95</v>
      </c>
      <c r="H19" s="40" t="inlineStr">
        <is>
          <t>Alacak</t>
        </is>
      </c>
      <c r="I19" s="38" t="n">
        <v>9700</v>
      </c>
      <c r="J19" s="38" t="n">
        <v>27170</v>
      </c>
      <c r="K19" s="38" t="n">
        <v>-17470</v>
      </c>
      <c r="L19" s="40" t="inlineStr">
        <is>
          <t>Alacak</t>
        </is>
      </c>
    </row>
    <row r="20" s="34">
      <c r="A20" s="40" t="inlineStr">
        <is>
          <t>100.01.02.0001</t>
        </is>
      </c>
      <c r="B20" s="40" t="inlineStr">
        <is>
          <t>Usd Kasası</t>
        </is>
      </c>
      <c r="C20" s="40" t="inlineStr">
        <is>
          <t>USD</t>
        </is>
      </c>
      <c r="D20" s="40" t="inlineStr">
        <is>
          <t>ROYAL HOLIDAY</t>
        </is>
      </c>
      <c r="E20" s="38" t="n">
        <v>0</v>
      </c>
      <c r="F20" s="38" t="n">
        <v>320994.15</v>
      </c>
      <c r="G20" s="38" t="n">
        <v>-320994.15</v>
      </c>
      <c r="H20" s="40" t="inlineStr">
        <is>
          <t>Alacak</t>
        </is>
      </c>
      <c r="I20" s="38" t="n">
        <v>0</v>
      </c>
      <c r="J20" s="38" t="n">
        <v>6968</v>
      </c>
      <c r="K20" s="38" t="n">
        <v>-6968</v>
      </c>
      <c r="L20" s="40" t="inlineStr">
        <is>
          <t>Alacak</t>
        </is>
      </c>
    </row>
    <row r="21" s="34">
      <c r="A21" s="40" t="inlineStr">
        <is>
          <t>100.01.02.0001</t>
        </is>
      </c>
      <c r="B21" s="40" t="inlineStr">
        <is>
          <t>Usd Kasası</t>
        </is>
      </c>
      <c r="C21" s="40" t="inlineStr">
        <is>
          <t>USD</t>
        </is>
      </c>
      <c r="D21" s="40" t="inlineStr">
        <is>
          <t>ROYAL SEGINUS</t>
        </is>
      </c>
      <c r="E21" s="38" t="n">
        <v>0</v>
      </c>
      <c r="F21" s="38" t="n">
        <v>983568.99</v>
      </c>
      <c r="G21" s="38" t="n">
        <v>-983568.99</v>
      </c>
      <c r="H21" s="40" t="inlineStr">
        <is>
          <t>Alacak</t>
        </is>
      </c>
      <c r="I21" s="38" t="n">
        <v>0</v>
      </c>
      <c r="J21" s="38" t="n">
        <v>21371</v>
      </c>
      <c r="K21" s="38" t="n">
        <v>-21371</v>
      </c>
      <c r="L21" s="40" t="inlineStr">
        <is>
          <t>Alacak</t>
        </is>
      </c>
    </row>
    <row r="22" s="34">
      <c r="A22" s="40" t="inlineStr">
        <is>
          <t>100.01.02.0002</t>
        </is>
      </c>
      <c r="B22" s="40" t="inlineStr">
        <is>
          <t>Euro Kasası</t>
        </is>
      </c>
      <c r="C22" s="40" t="inlineStr">
        <is>
          <t>EUR</t>
        </is>
      </c>
      <c r="D22" s="40" t="inlineStr">
        <is>
          <t>GİTAŞ MERKEZ</t>
        </is>
      </c>
      <c r="E22" s="38" t="n">
        <v>72619.27</v>
      </c>
      <c r="F22" s="38" t="n">
        <v>1218641.49</v>
      </c>
      <c r="G22" s="38" t="n">
        <v>-1146022.22</v>
      </c>
      <c r="H22" s="40" t="inlineStr">
        <is>
          <t>Alacak</t>
        </is>
      </c>
      <c r="I22" s="38" t="n">
        <v>1360</v>
      </c>
      <c r="J22" s="38" t="n">
        <v>22914.9</v>
      </c>
      <c r="K22" s="38" t="n">
        <v>-21554.9</v>
      </c>
      <c r="L22" s="40" t="inlineStr">
        <is>
          <t>Alacak</t>
        </is>
      </c>
    </row>
    <row r="23" s="34">
      <c r="A23" s="40" t="inlineStr">
        <is>
          <t>100.01.02.0002</t>
        </is>
      </c>
      <c r="B23" s="40" t="inlineStr">
        <is>
          <t>Euro Kasası</t>
        </is>
      </c>
      <c r="C23" s="40" t="inlineStr">
        <is>
          <t>EUR</t>
        </is>
      </c>
      <c r="D23" s="40" t="inlineStr">
        <is>
          <t>ROYAL ADAM EVE</t>
        </is>
      </c>
      <c r="E23" s="38" t="n">
        <v>82567.84</v>
      </c>
      <c r="F23" s="38" t="n">
        <v>2315611.36</v>
      </c>
      <c r="G23" s="38" t="n">
        <v>-2233043.52</v>
      </c>
      <c r="H23" s="40" t="inlineStr">
        <is>
          <t>Alacak</t>
        </is>
      </c>
      <c r="I23" s="38" t="n">
        <v>1540</v>
      </c>
      <c r="J23" s="38" t="n">
        <v>43452.83</v>
      </c>
      <c r="K23" s="38" t="n">
        <v>-41912.83</v>
      </c>
      <c r="L23" s="40" t="inlineStr">
        <is>
          <t>Alacak</t>
        </is>
      </c>
    </row>
    <row r="24" s="34">
      <c r="A24" s="40" t="inlineStr">
        <is>
          <t>100.01.02.0002</t>
        </is>
      </c>
      <c r="B24" s="40" t="inlineStr">
        <is>
          <t>Euro Kasası</t>
        </is>
      </c>
      <c r="C24" s="40" t="inlineStr">
        <is>
          <t>EUR</t>
        </is>
      </c>
      <c r="D24" s="40" t="inlineStr">
        <is>
          <t>ROYAL DRAGON</t>
        </is>
      </c>
      <c r="E24" s="38" t="n">
        <v>0</v>
      </c>
      <c r="F24" s="38" t="n">
        <v>514211.74</v>
      </c>
      <c r="G24" s="38" t="n">
        <v>-514211.74</v>
      </c>
      <c r="H24" s="40" t="inlineStr">
        <is>
          <t>Alacak</t>
        </is>
      </c>
      <c r="I24" s="38" t="n">
        <v>0</v>
      </c>
      <c r="J24" s="38" t="n">
        <v>9675</v>
      </c>
      <c r="K24" s="38" t="n">
        <v>-9675</v>
      </c>
      <c r="L24" s="40" t="inlineStr">
        <is>
          <t>Alacak</t>
        </is>
      </c>
    </row>
    <row r="25" s="34">
      <c r="A25" s="40" t="inlineStr">
        <is>
          <t>100.01.02.0002</t>
        </is>
      </c>
      <c r="B25" s="40" t="inlineStr">
        <is>
          <t>Euro Kasası</t>
        </is>
      </c>
      <c r="C25" s="40" t="inlineStr">
        <is>
          <t>EUR</t>
        </is>
      </c>
      <c r="D25" s="40" t="inlineStr">
        <is>
          <t>ROYAL HOLIDAY</t>
        </is>
      </c>
      <c r="E25" s="38" t="n">
        <v>0</v>
      </c>
      <c r="F25" s="38" t="n">
        <v>524294.5600000001</v>
      </c>
      <c r="G25" s="38" t="n">
        <v>-524294.5600000001</v>
      </c>
      <c r="H25" s="40" t="inlineStr">
        <is>
          <t>Alacak</t>
        </is>
      </c>
      <c r="I25" s="38" t="n">
        <v>0</v>
      </c>
      <c r="J25" s="38" t="n">
        <v>9840</v>
      </c>
      <c r="K25" s="38" t="n">
        <v>-9840</v>
      </c>
      <c r="L25" s="40" t="inlineStr">
        <is>
          <t>Alacak</t>
        </is>
      </c>
    </row>
    <row r="26" s="34">
      <c r="A26" s="40" t="inlineStr">
        <is>
          <t>100.01.02.0002</t>
        </is>
      </c>
      <c r="B26" s="40" t="inlineStr">
        <is>
          <t>Euro Kasası</t>
        </is>
      </c>
      <c r="C26" s="40" t="inlineStr">
        <is>
          <t>EUR</t>
        </is>
      </c>
      <c r="D26" s="40" t="inlineStr">
        <is>
          <t>ROYAL SEGINUS</t>
        </is>
      </c>
      <c r="E26" s="38" t="n">
        <v>465808.56</v>
      </c>
      <c r="F26" s="38" t="n">
        <v>4153038.83</v>
      </c>
      <c r="G26" s="38" t="n">
        <v>-3687230.27</v>
      </c>
      <c r="H26" s="40" t="inlineStr">
        <is>
          <t>Alacak</t>
        </is>
      </c>
      <c r="I26" s="38" t="n">
        <v>8725</v>
      </c>
      <c r="J26" s="38" t="n">
        <v>77895</v>
      </c>
      <c r="K26" s="38" t="n">
        <v>-69170</v>
      </c>
      <c r="L26" s="40" t="inlineStr">
        <is>
          <t>Alacak</t>
        </is>
      </c>
    </row>
    <row r="27" s="34">
      <c r="A27" s="40" t="inlineStr">
        <is>
          <t>100.01.02.0002</t>
        </is>
      </c>
      <c r="B27" s="40" t="inlineStr">
        <is>
          <t>Euro Kasası</t>
        </is>
      </c>
      <c r="C27" s="40" t="inlineStr">
        <is>
          <t>EUR</t>
        </is>
      </c>
      <c r="D27" s="40" t="inlineStr">
        <is>
          <t>SERTAŞ MERKEZ</t>
        </is>
      </c>
      <c r="E27" s="38" t="n">
        <v>40012.89</v>
      </c>
      <c r="F27" s="38" t="n">
        <v>0</v>
      </c>
      <c r="G27" s="38" t="n">
        <v>40012.89</v>
      </c>
      <c r="H27" s="40" t="inlineStr">
        <is>
          <t>Borç</t>
        </is>
      </c>
      <c r="I27" s="38" t="n">
        <v>750</v>
      </c>
      <c r="J27" s="38" t="n">
        <v>0</v>
      </c>
      <c r="K27" s="38" t="n">
        <v>750</v>
      </c>
      <c r="L27" s="40" t="inlineStr">
        <is>
          <t>Borç</t>
        </is>
      </c>
    </row>
    <row r="28" s="34">
      <c r="A28" s="40" t="inlineStr">
        <is>
          <t>100.01.02.0003</t>
        </is>
      </c>
      <c r="B28" s="40" t="inlineStr">
        <is>
          <t>Gbp Kasası</t>
        </is>
      </c>
      <c r="C28" s="40" t="inlineStr">
        <is>
          <t>GBP</t>
        </is>
      </c>
      <c r="D28" s="40" t="inlineStr">
        <is>
          <t>ROYAL ADAM EVE</t>
        </is>
      </c>
      <c r="E28" s="38" t="n">
        <v>0</v>
      </c>
      <c r="F28" s="38" t="n">
        <v>39087.3</v>
      </c>
      <c r="G28" s="38" t="n">
        <v>-39087.3</v>
      </c>
      <c r="H28" s="40" t="inlineStr">
        <is>
          <t>Alacak</t>
        </is>
      </c>
      <c r="I28" s="38" t="n">
        <v>0</v>
      </c>
      <c r="J28" s="38" t="n">
        <v>640</v>
      </c>
      <c r="K28" s="38" t="n">
        <v>-640</v>
      </c>
      <c r="L28" s="40" t="inlineStr">
        <is>
          <t>Alacak</t>
        </is>
      </c>
    </row>
    <row r="29" s="34">
      <c r="A29" s="40" t="inlineStr">
        <is>
          <t>100.01.02.0003</t>
        </is>
      </c>
      <c r="B29" s="40" t="inlineStr">
        <is>
          <t>Gbp Kasası</t>
        </is>
      </c>
      <c r="C29" s="40" t="inlineStr">
        <is>
          <t>GBP</t>
        </is>
      </c>
      <c r="D29" s="40" t="inlineStr">
        <is>
          <t>ROYAL HOLIDAY</t>
        </is>
      </c>
      <c r="E29" s="38" t="n">
        <v>0</v>
      </c>
      <c r="F29" s="38" t="n">
        <v>95948.10000000001</v>
      </c>
      <c r="G29" s="38" t="n">
        <v>-95948.10000000001</v>
      </c>
      <c r="H29" s="40" t="inlineStr">
        <is>
          <t>Alacak</t>
        </is>
      </c>
      <c r="I29" s="38" t="n">
        <v>0</v>
      </c>
      <c r="J29" s="38" t="n">
        <v>1550</v>
      </c>
      <c r="K29" s="38" t="n">
        <v>-1550</v>
      </c>
      <c r="L29" s="40" t="inlineStr">
        <is>
          <t>Alacak</t>
        </is>
      </c>
    </row>
    <row r="30" s="34">
      <c r="A30" s="40" t="inlineStr">
        <is>
          <t>100.01.02.0005</t>
        </is>
      </c>
      <c r="B30" s="40" t="inlineStr">
        <is>
          <t>Önbüro Euro Kasası</t>
        </is>
      </c>
      <c r="C30" s="40" t="inlineStr">
        <is>
          <t>EUR</t>
        </is>
      </c>
      <c r="D30" s="40" t="inlineStr">
        <is>
          <t>ROYAL ADAM EVE</t>
        </is>
      </c>
      <c r="E30" s="38" t="n">
        <v>2731750.12</v>
      </c>
      <c r="F30" s="38" t="n">
        <v>0</v>
      </c>
      <c r="G30" s="38" t="n">
        <v>2731750.12</v>
      </c>
      <c r="H30" s="40" t="inlineStr">
        <is>
          <t>Borç</t>
        </is>
      </c>
      <c r="I30" s="38" t="n">
        <v>51329.5</v>
      </c>
      <c r="J30" s="38" t="n">
        <v>0</v>
      </c>
      <c r="K30" s="38" t="n">
        <v>51329.5</v>
      </c>
      <c r="L30" s="40" t="inlineStr">
        <is>
          <t>Borç</t>
        </is>
      </c>
    </row>
    <row r="31" s="34">
      <c r="A31" s="40" t="inlineStr">
        <is>
          <t>100.01.02.0005</t>
        </is>
      </c>
      <c r="B31" s="40" t="inlineStr">
        <is>
          <t>Önbüro Euro Kasası</t>
        </is>
      </c>
      <c r="C31" s="40" t="inlineStr">
        <is>
          <t>EUR</t>
        </is>
      </c>
      <c r="D31" s="40" t="inlineStr">
        <is>
          <t>ROYAL ALHAMBRA</t>
        </is>
      </c>
      <c r="E31" s="38" t="n">
        <v>407254.57</v>
      </c>
      <c r="F31" s="38" t="n">
        <v>0</v>
      </c>
      <c r="G31" s="38" t="n">
        <v>407254.57</v>
      </c>
      <c r="H31" s="40" t="inlineStr">
        <is>
          <t>Borç</t>
        </is>
      </c>
      <c r="I31" s="38" t="n">
        <v>7659.67</v>
      </c>
      <c r="J31" s="38" t="n">
        <v>0</v>
      </c>
      <c r="K31" s="38" t="n">
        <v>7659.67</v>
      </c>
      <c r="L31" s="40" t="inlineStr">
        <is>
          <t>Borç</t>
        </is>
      </c>
    </row>
    <row r="32" s="34">
      <c r="A32" s="40" t="inlineStr">
        <is>
          <t>100.01.02.0005</t>
        </is>
      </c>
      <c r="B32" s="40" t="inlineStr">
        <is>
          <t>Önbüro Euro Kasası</t>
        </is>
      </c>
      <c r="C32" s="40" t="inlineStr">
        <is>
          <t>EUR</t>
        </is>
      </c>
      <c r="D32" s="40" t="inlineStr">
        <is>
          <t>ROYAL DRAGON</t>
        </is>
      </c>
      <c r="E32" s="38" t="n">
        <v>899114.75</v>
      </c>
      <c r="F32" s="38" t="n">
        <v>0</v>
      </c>
      <c r="G32" s="38" t="n">
        <v>899114.75</v>
      </c>
      <c r="H32" s="40" t="inlineStr">
        <is>
          <t>Borç</t>
        </is>
      </c>
      <c r="I32" s="38" t="n">
        <v>16906.45</v>
      </c>
      <c r="J32" s="38" t="n">
        <v>0</v>
      </c>
      <c r="K32" s="38" t="n">
        <v>16906.45</v>
      </c>
      <c r="L32" s="40" t="inlineStr">
        <is>
          <t>Borç</t>
        </is>
      </c>
    </row>
    <row r="33" s="34">
      <c r="A33" s="40" t="inlineStr">
        <is>
          <t>100.01.02.0005</t>
        </is>
      </c>
      <c r="B33" s="40" t="inlineStr">
        <is>
          <t>Önbüro Euro Kasası</t>
        </is>
      </c>
      <c r="C33" s="40" t="inlineStr">
        <is>
          <t>EUR</t>
        </is>
      </c>
      <c r="D33" s="40" t="inlineStr">
        <is>
          <t>ROYAL HOLIDAY</t>
        </is>
      </c>
      <c r="E33" s="38" t="n">
        <v>1187523.89</v>
      </c>
      <c r="F33" s="38" t="n">
        <v>0</v>
      </c>
      <c r="G33" s="38" t="n">
        <v>1187523.89</v>
      </c>
      <c r="H33" s="40" t="inlineStr">
        <is>
          <t>Borç</t>
        </is>
      </c>
      <c r="I33" s="38" t="n">
        <v>22306.68</v>
      </c>
      <c r="J33" s="38" t="n">
        <v>0</v>
      </c>
      <c r="K33" s="38" t="n">
        <v>22306.68</v>
      </c>
      <c r="L33" s="40" t="inlineStr">
        <is>
          <t>Borç</t>
        </is>
      </c>
    </row>
    <row r="34" s="34">
      <c r="A34" s="40" t="inlineStr">
        <is>
          <t>100.01.02.0005</t>
        </is>
      </c>
      <c r="B34" s="40" t="inlineStr">
        <is>
          <t>Önbüro Euro Kasası</t>
        </is>
      </c>
      <c r="C34" s="40" t="inlineStr">
        <is>
          <t>EUR</t>
        </is>
      </c>
      <c r="D34" s="40" t="inlineStr">
        <is>
          <t>ROYAL SEGINUS</t>
        </is>
      </c>
      <c r="E34" s="38" t="n">
        <v>2242176.06</v>
      </c>
      <c r="F34" s="38" t="n">
        <v>0</v>
      </c>
      <c r="G34" s="38" t="n">
        <v>2242176.06</v>
      </c>
      <c r="H34" s="40" t="inlineStr">
        <is>
          <t>Borç</t>
        </is>
      </c>
      <c r="I34" s="38" t="n">
        <v>42160.61</v>
      </c>
      <c r="J34" s="38" t="n">
        <v>0</v>
      </c>
      <c r="K34" s="38" t="n">
        <v>42160.61</v>
      </c>
      <c r="L34" s="40" t="inlineStr">
        <is>
          <t>Borç</t>
        </is>
      </c>
    </row>
    <row r="35" s="34">
      <c r="A35" s="40" t="inlineStr">
        <is>
          <t>100.01.02.0006</t>
        </is>
      </c>
      <c r="B35" s="40" t="inlineStr">
        <is>
          <t>Önbüro Usd Kasası</t>
        </is>
      </c>
      <c r="C35" s="40" t="inlineStr">
        <is>
          <t>USD</t>
        </is>
      </c>
      <c r="D35" s="40" t="inlineStr">
        <is>
          <t>ROYAL ADAM EVE</t>
        </is>
      </c>
      <c r="E35" s="38" t="n">
        <v>1114052.03</v>
      </c>
      <c r="F35" s="38" t="n">
        <v>0</v>
      </c>
      <c r="G35" s="38" t="n">
        <v>1114052.03</v>
      </c>
      <c r="H35" s="40" t="inlineStr">
        <is>
          <t>Borç</t>
        </is>
      </c>
      <c r="I35" s="38" t="n">
        <v>24156.06</v>
      </c>
      <c r="J35" s="38" t="n">
        <v>0</v>
      </c>
      <c r="K35" s="38" t="n">
        <v>24156.06</v>
      </c>
      <c r="L35" s="40" t="inlineStr">
        <is>
          <t>Borç</t>
        </is>
      </c>
    </row>
    <row r="36" s="34">
      <c r="A36" s="40" t="inlineStr">
        <is>
          <t>100.01.02.0006</t>
        </is>
      </c>
      <c r="B36" s="40" t="inlineStr">
        <is>
          <t>Önbüro Usd Kasası</t>
        </is>
      </c>
      <c r="C36" s="40" t="inlineStr">
        <is>
          <t>USD</t>
        </is>
      </c>
      <c r="D36" s="40" t="inlineStr">
        <is>
          <t>ROYAL ALHAMBRA</t>
        </is>
      </c>
      <c r="E36" s="38" t="n">
        <v>71738.17999999999</v>
      </c>
      <c r="F36" s="38" t="n">
        <v>0</v>
      </c>
      <c r="G36" s="38" t="n">
        <v>71738.17999999999</v>
      </c>
      <c r="H36" s="40" t="inlineStr">
        <is>
          <t>Borç</t>
        </is>
      </c>
      <c r="I36" s="38" t="n">
        <v>1547.16</v>
      </c>
      <c r="J36" s="38" t="n">
        <v>0</v>
      </c>
      <c r="K36" s="38" t="n">
        <v>1547.16</v>
      </c>
      <c r="L36" s="40" t="inlineStr">
        <is>
          <t>Borç</t>
        </is>
      </c>
    </row>
    <row r="37" s="34">
      <c r="A37" s="40" t="inlineStr">
        <is>
          <t>100.01.02.0006</t>
        </is>
      </c>
      <c r="B37" s="40" t="inlineStr">
        <is>
          <t>Önbüro Usd Kasası</t>
        </is>
      </c>
      <c r="C37" s="40" t="inlineStr">
        <is>
          <t>USD</t>
        </is>
      </c>
      <c r="D37" s="40" t="inlineStr">
        <is>
          <t>ROYAL DRAGON</t>
        </is>
      </c>
      <c r="E37" s="38" t="n">
        <v>796.84</v>
      </c>
      <c r="F37" s="38" t="n">
        <v>0</v>
      </c>
      <c r="G37" s="38" t="n">
        <v>796.84</v>
      </c>
      <c r="H37" s="40" t="inlineStr">
        <is>
          <t>Borç</t>
        </is>
      </c>
      <c r="I37" s="38" t="n">
        <v>17.46</v>
      </c>
      <c r="J37" s="38" t="n">
        <v>0</v>
      </c>
      <c r="K37" s="38" t="n">
        <v>17.46</v>
      </c>
      <c r="L37" s="40" t="inlineStr">
        <is>
          <t>Borç</t>
        </is>
      </c>
    </row>
    <row r="38" s="34">
      <c r="A38" s="40" t="inlineStr">
        <is>
          <t>100.01.02.0006</t>
        </is>
      </c>
      <c r="B38" s="40" t="inlineStr">
        <is>
          <t>Önbüro Usd Kasası</t>
        </is>
      </c>
      <c r="C38" s="40" t="inlineStr">
        <is>
          <t>USD</t>
        </is>
      </c>
      <c r="D38" s="40" t="inlineStr">
        <is>
          <t>ROYAL HOLIDAY</t>
        </is>
      </c>
      <c r="E38" s="38" t="n">
        <v>1301394.79</v>
      </c>
      <c r="F38" s="38" t="n">
        <v>0</v>
      </c>
      <c r="G38" s="38" t="n">
        <v>1301394.79</v>
      </c>
      <c r="H38" s="40" t="inlineStr">
        <is>
          <t>Borç</t>
        </is>
      </c>
      <c r="I38" s="38" t="n">
        <v>28376.27</v>
      </c>
      <c r="J38" s="38" t="n">
        <v>0</v>
      </c>
      <c r="K38" s="38" t="n">
        <v>28376.27</v>
      </c>
      <c r="L38" s="40" t="inlineStr">
        <is>
          <t>Borç</t>
        </is>
      </c>
    </row>
    <row r="39" s="34">
      <c r="A39" s="40" t="inlineStr">
        <is>
          <t>100.01.02.0006</t>
        </is>
      </c>
      <c r="B39" s="40" t="inlineStr">
        <is>
          <t>Önbüro Usd Kasası</t>
        </is>
      </c>
      <c r="C39" s="40" t="inlineStr">
        <is>
          <t>USD</t>
        </is>
      </c>
      <c r="D39" s="40" t="inlineStr">
        <is>
          <t>ROYAL SEGINUS</t>
        </is>
      </c>
      <c r="E39" s="38" t="n">
        <v>1045441.42</v>
      </c>
      <c r="F39" s="38" t="n">
        <v>0</v>
      </c>
      <c r="G39" s="38" t="n">
        <v>1045441.42</v>
      </c>
      <c r="H39" s="40" t="inlineStr">
        <is>
          <t>Borç</t>
        </is>
      </c>
      <c r="I39" s="38" t="n">
        <v>22737.94</v>
      </c>
      <c r="J39" s="38" t="n">
        <v>0</v>
      </c>
      <c r="K39" s="38" t="n">
        <v>22737.94</v>
      </c>
      <c r="L39" s="40" t="inlineStr">
        <is>
          <t>Borç</t>
        </is>
      </c>
    </row>
    <row r="40" s="34">
      <c r="A40" s="40" t="inlineStr">
        <is>
          <t>100.01.02.0008</t>
        </is>
      </c>
      <c r="B40" s="40" t="inlineStr">
        <is>
          <t>Önbüro Gbp Kasası</t>
        </is>
      </c>
      <c r="C40" s="40" t="inlineStr">
        <is>
          <t>GBP</t>
        </is>
      </c>
      <c r="D40" s="40" t="inlineStr">
        <is>
          <t>ROYAL ADAM EVE</t>
        </is>
      </c>
      <c r="E40" s="38" t="n">
        <v>39683.66</v>
      </c>
      <c r="F40" s="38" t="n">
        <v>0</v>
      </c>
      <c r="G40" s="38" t="n">
        <v>39683.66</v>
      </c>
      <c r="H40" s="40" t="inlineStr">
        <is>
          <t>Borç</t>
        </is>
      </c>
      <c r="I40" s="38" t="n">
        <v>650</v>
      </c>
      <c r="J40" s="38" t="n">
        <v>0</v>
      </c>
      <c r="K40" s="38" t="n">
        <v>650</v>
      </c>
      <c r="L40" s="40" t="inlineStr">
        <is>
          <t>Borç</t>
        </is>
      </c>
    </row>
    <row r="41" s="34">
      <c r="A41" s="40" t="inlineStr">
        <is>
          <t>100.01.02.0008</t>
        </is>
      </c>
      <c r="B41" s="40" t="inlineStr">
        <is>
          <t>Önbüro Gbp Kasası</t>
        </is>
      </c>
      <c r="C41" s="40" t="inlineStr">
        <is>
          <t>GBP</t>
        </is>
      </c>
      <c r="D41" s="40" t="inlineStr">
        <is>
          <t>ROYAL HOLIDAY</t>
        </is>
      </c>
      <c r="E41" s="38" t="n">
        <v>101533.39</v>
      </c>
      <c r="F41" s="38" t="n">
        <v>0</v>
      </c>
      <c r="G41" s="38" t="n">
        <v>101533.39</v>
      </c>
      <c r="H41" s="40" t="inlineStr">
        <is>
          <t>Borç</t>
        </is>
      </c>
      <c r="I41" s="38" t="n">
        <v>1646.44</v>
      </c>
      <c r="J41" s="38" t="n">
        <v>0</v>
      </c>
      <c r="K41" s="38" t="n">
        <v>1646.44</v>
      </c>
      <c r="L41" s="40" t="inlineStr">
        <is>
          <t>Borç</t>
        </is>
      </c>
    </row>
    <row r="42" s="34">
      <c r="A42" s="40" t="inlineStr">
        <is>
          <t>100.01.02.0008</t>
        </is>
      </c>
      <c r="B42" s="40" t="inlineStr">
        <is>
          <t>Önbüro Gbp Kasası</t>
        </is>
      </c>
      <c r="C42" s="40" t="inlineStr">
        <is>
          <t>GBP</t>
        </is>
      </c>
      <c r="D42" s="40" t="inlineStr">
        <is>
          <t>ROYAL SEGINUS</t>
        </is>
      </c>
      <c r="E42" s="38" t="n">
        <v>22058.69</v>
      </c>
      <c r="F42" s="38" t="n">
        <v>0</v>
      </c>
      <c r="G42" s="38" t="n">
        <v>22058.69</v>
      </c>
      <c r="H42" s="40" t="inlineStr">
        <is>
          <t>Borç</t>
        </is>
      </c>
      <c r="I42" s="38" t="n">
        <v>360.12</v>
      </c>
      <c r="J42" s="38" t="n">
        <v>0</v>
      </c>
      <c r="K42" s="38" t="n">
        <v>360.12</v>
      </c>
      <c r="L42" s="40" t="inlineStr">
        <is>
          <t>Borç</t>
        </is>
      </c>
    </row>
    <row r="43" s="34">
      <c r="A43" s="40" t="inlineStr">
        <is>
          <t>101</t>
        </is>
      </c>
      <c r="B43" s="40" t="inlineStr">
        <is>
          <t>ALINAN ÇEKLER</t>
        </is>
      </c>
      <c r="C43" s="40" t="inlineStr">
        <is>
          <t>TRY</t>
        </is>
      </c>
      <c r="E43" s="38" t="n">
        <v>16368625.34</v>
      </c>
      <c r="F43" s="38" t="n">
        <v>519650992.76</v>
      </c>
      <c r="G43" s="38" t="n">
        <v>-503282367.42</v>
      </c>
      <c r="I43" s="38" t="n">
        <v>1538430</v>
      </c>
      <c r="J43" s="38" t="n">
        <v>89401719.40000001</v>
      </c>
      <c r="K43" s="38" t="n">
        <v>-87863289.40000001</v>
      </c>
    </row>
    <row r="44" s="34">
      <c r="A44" s="40" t="inlineStr">
        <is>
          <t>101.01</t>
        </is>
      </c>
      <c r="B44" s="40" t="inlineStr">
        <is>
          <t>ALINAN ÇEKLER</t>
        </is>
      </c>
      <c r="C44" s="40" t="inlineStr">
        <is>
          <t>TRY</t>
        </is>
      </c>
      <c r="E44" s="38" t="n">
        <v>16368625.34</v>
      </c>
      <c r="F44" s="38" t="n">
        <v>519650992.76</v>
      </c>
      <c r="G44" s="38" t="n">
        <v>-503282367.42</v>
      </c>
      <c r="I44" s="38" t="n">
        <v>1538430</v>
      </c>
      <c r="J44" s="38" t="n">
        <v>89401719.40000001</v>
      </c>
      <c r="K44" s="38" t="n">
        <v>-87863289.40000001</v>
      </c>
    </row>
    <row r="45" s="34">
      <c r="A45" s="40" t="inlineStr">
        <is>
          <t>101.01.01</t>
        </is>
      </c>
      <c r="B45" s="40" t="inlineStr">
        <is>
          <t>PORTFOYDEKİ TL ÇEKLER</t>
        </is>
      </c>
      <c r="C45" s="40" t="inlineStr">
        <is>
          <t>TRY</t>
        </is>
      </c>
      <c r="E45" s="38" t="n">
        <v>1260000</v>
      </c>
      <c r="F45" s="38" t="n">
        <v>81150919.40000001</v>
      </c>
      <c r="G45" s="38" t="n">
        <v>-79890919.40000001</v>
      </c>
      <c r="I45" s="38" t="n">
        <v>1260000</v>
      </c>
      <c r="J45" s="38" t="n">
        <v>81150919.40000001</v>
      </c>
      <c r="K45" s="38" t="n">
        <v>-79890919.40000001</v>
      </c>
    </row>
    <row r="46" s="34">
      <c r="A46" s="40" t="inlineStr">
        <is>
          <t>101.01.01.0004</t>
        </is>
      </c>
      <c r="B46" s="40" t="inlineStr">
        <is>
          <t>Nisan Vadeli Alınan TL Çekler</t>
        </is>
      </c>
      <c r="C46" s="40" t="inlineStr">
        <is>
          <t>TRY</t>
        </is>
      </c>
      <c r="D46" s="40" t="inlineStr">
        <is>
          <t>ROYAL SEGINUS</t>
        </is>
      </c>
      <c r="E46" s="38" t="n">
        <v>0</v>
      </c>
      <c r="F46" s="38" t="n">
        <v>560000</v>
      </c>
      <c r="G46" s="38" t="n">
        <v>-560000</v>
      </c>
      <c r="H46" s="40" t="inlineStr">
        <is>
          <t>Alacak</t>
        </is>
      </c>
      <c r="I46" s="38" t="n">
        <v>0</v>
      </c>
      <c r="J46" s="38" t="n">
        <v>560000</v>
      </c>
      <c r="K46" s="38" t="n">
        <v>-560000</v>
      </c>
      <c r="L46" s="40" t="inlineStr">
        <is>
          <t>Alacak</t>
        </is>
      </c>
    </row>
    <row r="47" s="34">
      <c r="A47" s="40" t="inlineStr">
        <is>
          <t>101.01.01.0004</t>
        </is>
      </c>
      <c r="B47" s="40" t="inlineStr">
        <is>
          <t>Nisan Vadeli Alınan TL Çekler</t>
        </is>
      </c>
      <c r="C47" s="40" t="inlineStr">
        <is>
          <t>TRY</t>
        </is>
      </c>
      <c r="D47" s="40" t="inlineStr">
        <is>
          <t>STONE ÇARŞI</t>
        </is>
      </c>
      <c r="E47" s="38" t="n">
        <v>560000</v>
      </c>
      <c r="F47" s="38" t="n">
        <v>560000</v>
      </c>
      <c r="G47" s="38" t="n">
        <v>0</v>
      </c>
      <c r="I47" s="38" t="n">
        <v>560000</v>
      </c>
      <c r="J47" s="38" t="n">
        <v>560000</v>
      </c>
      <c r="K47" s="38" t="n">
        <v>0</v>
      </c>
    </row>
    <row r="48" s="34">
      <c r="A48" s="40" t="inlineStr">
        <is>
          <t>101.01.01.0005</t>
        </is>
      </c>
      <c r="B48" s="40" t="inlineStr">
        <is>
          <t>Mayıs Vadeli Alınan TL Çekler</t>
        </is>
      </c>
      <c r="C48" s="40" t="inlineStr">
        <is>
          <t>TRY</t>
        </is>
      </c>
      <c r="D48" s="40" t="inlineStr">
        <is>
          <t>ROYAL SEGINUS</t>
        </is>
      </c>
      <c r="E48" s="38" t="n">
        <v>0</v>
      </c>
      <c r="F48" s="38" t="n">
        <v>700000</v>
      </c>
      <c r="G48" s="38" t="n">
        <v>-700000</v>
      </c>
      <c r="H48" s="40" t="inlineStr">
        <is>
          <t>Alacak</t>
        </is>
      </c>
      <c r="I48" s="38" t="n">
        <v>0</v>
      </c>
      <c r="J48" s="38" t="n">
        <v>700000</v>
      </c>
      <c r="K48" s="38" t="n">
        <v>-700000</v>
      </c>
      <c r="L48" s="40" t="inlineStr">
        <is>
          <t>Alacak</t>
        </is>
      </c>
    </row>
    <row r="49" s="34">
      <c r="A49" s="40" t="inlineStr">
        <is>
          <t>101.01.01.0005</t>
        </is>
      </c>
      <c r="B49" s="40" t="inlineStr">
        <is>
          <t>Mayıs Vadeli Alınan TL Çekler</t>
        </is>
      </c>
      <c r="C49" s="40" t="inlineStr">
        <is>
          <t>TRY</t>
        </is>
      </c>
      <c r="D49" s="40" t="inlineStr">
        <is>
          <t>SERTAŞ MERKEZ</t>
        </is>
      </c>
      <c r="E49" s="38" t="n">
        <v>0</v>
      </c>
      <c r="F49" s="38" t="n">
        <v>816400</v>
      </c>
      <c r="G49" s="38" t="n">
        <v>-816400</v>
      </c>
      <c r="H49" s="40" t="inlineStr">
        <is>
          <t>Alacak</t>
        </is>
      </c>
      <c r="I49" s="38" t="n">
        <v>0</v>
      </c>
      <c r="J49" s="38" t="n">
        <v>816400</v>
      </c>
      <c r="K49" s="38" t="n">
        <v>-816400</v>
      </c>
      <c r="L49" s="40" t="inlineStr">
        <is>
          <t>Alacak</t>
        </is>
      </c>
    </row>
    <row r="50" s="34">
      <c r="A50" s="40" t="inlineStr">
        <is>
          <t>101.01.01.0005</t>
        </is>
      </c>
      <c r="B50" s="40" t="inlineStr">
        <is>
          <t>Mayıs Vadeli Alınan TL Çekler</t>
        </is>
      </c>
      <c r="C50" s="40" t="inlineStr">
        <is>
          <t>TRY</t>
        </is>
      </c>
      <c r="D50" s="40" t="inlineStr">
        <is>
          <t>STONE ÇARŞI</t>
        </is>
      </c>
      <c r="E50" s="38" t="n">
        <v>700000</v>
      </c>
      <c r="F50" s="38" t="n">
        <v>700000</v>
      </c>
      <c r="G50" s="38" t="n">
        <v>0</v>
      </c>
      <c r="I50" s="38" t="n">
        <v>700000</v>
      </c>
      <c r="J50" s="38" t="n">
        <v>700000</v>
      </c>
      <c r="K50" s="38" t="n">
        <v>0</v>
      </c>
    </row>
    <row r="51" s="34">
      <c r="A51" s="40" t="inlineStr">
        <is>
          <t>101.01.01.0006</t>
        </is>
      </c>
      <c r="B51" s="40" t="inlineStr">
        <is>
          <t>Haziran Vadeli Alınan TL Çekler</t>
        </is>
      </c>
      <c r="C51" s="40" t="inlineStr">
        <is>
          <t>TRY</t>
        </is>
      </c>
      <c r="D51" s="40" t="inlineStr">
        <is>
          <t>ROYAL SEGINUS</t>
        </is>
      </c>
      <c r="E51" s="38" t="n">
        <v>0</v>
      </c>
      <c r="F51" s="38" t="n">
        <v>12000000</v>
      </c>
      <c r="G51" s="38" t="n">
        <v>-12000000</v>
      </c>
      <c r="H51" s="40" t="inlineStr">
        <is>
          <t>Alacak</t>
        </is>
      </c>
      <c r="I51" s="38" t="n">
        <v>0</v>
      </c>
      <c r="J51" s="38" t="n">
        <v>12000000</v>
      </c>
      <c r="K51" s="38" t="n">
        <v>-12000000</v>
      </c>
      <c r="L51" s="40" t="inlineStr">
        <is>
          <t>Alacak</t>
        </is>
      </c>
    </row>
    <row r="52" s="34">
      <c r="A52" s="40" t="inlineStr">
        <is>
          <t>101.01.01.0006</t>
        </is>
      </c>
      <c r="B52" s="40" t="inlineStr">
        <is>
          <t>Haziran Vadeli Alınan TL Çekler</t>
        </is>
      </c>
      <c r="C52" s="40" t="inlineStr">
        <is>
          <t>TRY</t>
        </is>
      </c>
      <c r="D52" s="40" t="inlineStr">
        <is>
          <t>SERTAŞ MERKEZ</t>
        </is>
      </c>
      <c r="E52" s="38" t="n">
        <v>0</v>
      </c>
      <c r="F52" s="38" t="n">
        <v>24398203.78</v>
      </c>
      <c r="G52" s="38" t="n">
        <v>-24398203.78</v>
      </c>
      <c r="H52" s="40" t="inlineStr">
        <is>
          <t>Alacak</t>
        </is>
      </c>
      <c r="I52" s="38" t="n">
        <v>0</v>
      </c>
      <c r="J52" s="38" t="n">
        <v>24398203.78</v>
      </c>
      <c r="K52" s="38" t="n">
        <v>-24398203.78</v>
      </c>
      <c r="L52" s="40" t="inlineStr">
        <is>
          <t>Alacak</t>
        </is>
      </c>
    </row>
    <row r="53" s="34">
      <c r="A53" s="40" t="inlineStr">
        <is>
          <t>101.01.01.0007</t>
        </is>
      </c>
      <c r="B53" s="40" t="inlineStr">
        <is>
          <t>Temmuz Vadeli Alınan TL Çekler</t>
        </is>
      </c>
      <c r="C53" s="40" t="inlineStr">
        <is>
          <t>TRY</t>
        </is>
      </c>
      <c r="D53" s="40" t="inlineStr">
        <is>
          <t>ROYAL ADAM EVE</t>
        </is>
      </c>
      <c r="E53" s="38" t="n">
        <v>0</v>
      </c>
      <c r="F53" s="38" t="n">
        <v>52115.62</v>
      </c>
      <c r="G53" s="38" t="n">
        <v>-52115.62</v>
      </c>
      <c r="H53" s="40" t="inlineStr">
        <is>
          <t>Alacak</t>
        </is>
      </c>
      <c r="I53" s="38" t="n">
        <v>0</v>
      </c>
      <c r="J53" s="38" t="n">
        <v>52115.62</v>
      </c>
      <c r="K53" s="38" t="n">
        <v>-52115.62</v>
      </c>
      <c r="L53" s="40" t="inlineStr">
        <is>
          <t>Alacak</t>
        </is>
      </c>
    </row>
    <row r="54" s="34">
      <c r="A54" s="40" t="inlineStr">
        <is>
          <t>101.01.01.0012</t>
        </is>
      </c>
      <c r="B54" s="40" t="inlineStr">
        <is>
          <t>Aralık Vadeli Alınan TL Çekler</t>
        </is>
      </c>
      <c r="C54" s="40" t="inlineStr">
        <is>
          <t>TRY</t>
        </is>
      </c>
      <c r="D54" s="40" t="inlineStr">
        <is>
          <t>ROYAL ADAM EVE</t>
        </is>
      </c>
      <c r="E54" s="38" t="n">
        <v>0</v>
      </c>
      <c r="F54" s="38" t="n">
        <v>18934200</v>
      </c>
      <c r="G54" s="38" t="n">
        <v>-18934200</v>
      </c>
      <c r="H54" s="40" t="inlineStr">
        <is>
          <t>Alacak</t>
        </is>
      </c>
      <c r="I54" s="38" t="n">
        <v>0</v>
      </c>
      <c r="J54" s="38" t="n">
        <v>18934200</v>
      </c>
      <c r="K54" s="38" t="n">
        <v>-18934200</v>
      </c>
      <c r="L54" s="40" t="inlineStr">
        <is>
          <t>Alacak</t>
        </is>
      </c>
    </row>
    <row r="55" s="34">
      <c r="A55" s="40" t="inlineStr">
        <is>
          <t>101.01.01.0012</t>
        </is>
      </c>
      <c r="B55" s="40" t="inlineStr">
        <is>
          <t>Aralık Vadeli Alınan TL Çekler</t>
        </is>
      </c>
      <c r="C55" s="40" t="inlineStr">
        <is>
          <t>TRY</t>
        </is>
      </c>
      <c r="D55" s="40" t="inlineStr">
        <is>
          <t>ROYAL ALHAMBRA</t>
        </is>
      </c>
      <c r="E55" s="38" t="n">
        <v>0</v>
      </c>
      <c r="F55" s="38" t="n">
        <v>21480000</v>
      </c>
      <c r="G55" s="38" t="n">
        <v>-21480000</v>
      </c>
      <c r="H55" s="40" t="inlineStr">
        <is>
          <t>Alacak</t>
        </is>
      </c>
      <c r="I55" s="38" t="n">
        <v>0</v>
      </c>
      <c r="J55" s="38" t="n">
        <v>21480000</v>
      </c>
      <c r="K55" s="38" t="n">
        <v>-21480000</v>
      </c>
      <c r="L55" s="40" t="inlineStr">
        <is>
          <t>Alacak</t>
        </is>
      </c>
    </row>
    <row r="56" s="34">
      <c r="A56" s="40" t="inlineStr">
        <is>
          <t>101.01.01.0012</t>
        </is>
      </c>
      <c r="B56" s="40" t="inlineStr">
        <is>
          <t>Aralık Vadeli Alınan TL Çekler</t>
        </is>
      </c>
      <c r="C56" s="40" t="inlineStr">
        <is>
          <t>TRY</t>
        </is>
      </c>
      <c r="D56" s="40" t="inlineStr">
        <is>
          <t>STONE ÇARŞI</t>
        </is>
      </c>
      <c r="E56" s="38" t="n">
        <v>0</v>
      </c>
      <c r="F56" s="38" t="n">
        <v>950000</v>
      </c>
      <c r="G56" s="38" t="n">
        <v>-950000</v>
      </c>
      <c r="H56" s="40" t="inlineStr">
        <is>
          <t>Alacak</t>
        </is>
      </c>
      <c r="I56" s="38" t="n">
        <v>0</v>
      </c>
      <c r="J56" s="38" t="n">
        <v>950000</v>
      </c>
      <c r="K56" s="38" t="n">
        <v>-950000</v>
      </c>
      <c r="L56" s="40" t="inlineStr">
        <is>
          <t>Alacak</t>
        </is>
      </c>
    </row>
    <row r="57" s="34">
      <c r="A57" s="40" t="inlineStr">
        <is>
          <t>101.01.03</t>
        </is>
      </c>
      <c r="B57" s="40" t="inlineStr">
        <is>
          <t>PORTFOYDEKİ EUR ÇEKLER</t>
        </is>
      </c>
      <c r="C57" s="40" t="inlineStr">
        <is>
          <t>EUR</t>
        </is>
      </c>
      <c r="E57" s="38" t="n">
        <v>15108625.34</v>
      </c>
      <c r="F57" s="38" t="n">
        <v>438500073.36</v>
      </c>
      <c r="G57" s="38" t="n">
        <v>-423391448.02</v>
      </c>
      <c r="I57" s="38" t="n">
        <v>278430</v>
      </c>
      <c r="J57" s="38" t="n">
        <v>8250800</v>
      </c>
      <c r="K57" s="38" t="n">
        <v>-7972370</v>
      </c>
    </row>
    <row r="58" s="34">
      <c r="A58" s="40" t="inlineStr">
        <is>
          <t>101.01.03.0005</t>
        </is>
      </c>
      <c r="B58" s="40" t="inlineStr">
        <is>
          <t>Mayıs Vadeli Alınan Eur Çekler</t>
        </is>
      </c>
      <c r="C58" s="40" t="inlineStr">
        <is>
          <t>EUR</t>
        </is>
      </c>
      <c r="D58" s="40" t="inlineStr">
        <is>
          <t>GİTAŞ MERKEZ</t>
        </is>
      </c>
      <c r="E58" s="38" t="n">
        <v>0</v>
      </c>
      <c r="F58" s="38" t="n">
        <v>53122400</v>
      </c>
      <c r="G58" s="38" t="n">
        <v>-53122400</v>
      </c>
      <c r="H58" s="40" t="inlineStr">
        <is>
          <t>Alacak</t>
        </is>
      </c>
      <c r="I58" s="38" t="n">
        <v>0</v>
      </c>
      <c r="J58" s="38" t="n">
        <v>1000000</v>
      </c>
      <c r="K58" s="38" t="n">
        <v>-1000000</v>
      </c>
      <c r="L58" s="40" t="inlineStr">
        <is>
          <t>Alacak</t>
        </is>
      </c>
    </row>
    <row r="59" s="34">
      <c r="A59" s="40" t="inlineStr">
        <is>
          <t>101.01.03.0005</t>
        </is>
      </c>
      <c r="B59" s="40" t="inlineStr">
        <is>
          <t>Mayıs Vadeli Alınan Eur Çekler</t>
        </is>
      </c>
      <c r="C59" s="40" t="inlineStr">
        <is>
          <t>EUR</t>
        </is>
      </c>
      <c r="D59" s="40" t="inlineStr">
        <is>
          <t>ROYAL ADAM EVE</t>
        </is>
      </c>
      <c r="E59" s="38" t="n">
        <v>0</v>
      </c>
      <c r="F59" s="38" t="n">
        <v>5312240</v>
      </c>
      <c r="G59" s="38" t="n">
        <v>-5312240</v>
      </c>
      <c r="H59" s="40" t="inlineStr">
        <is>
          <t>Alacak</t>
        </is>
      </c>
      <c r="I59" s="38" t="n">
        <v>0</v>
      </c>
      <c r="J59" s="38" t="n">
        <v>100000</v>
      </c>
      <c r="K59" s="38" t="n">
        <v>-100000</v>
      </c>
      <c r="L59" s="40" t="inlineStr">
        <is>
          <t>Alacak</t>
        </is>
      </c>
    </row>
    <row r="60" s="34">
      <c r="A60" s="40" t="inlineStr">
        <is>
          <t>101.01.03.0005</t>
        </is>
      </c>
      <c r="B60" s="40" t="inlineStr">
        <is>
          <t>Mayıs Vadeli Alınan Eur Çekler</t>
        </is>
      </c>
      <c r="C60" s="40" t="inlineStr">
        <is>
          <t>EUR</t>
        </is>
      </c>
      <c r="D60" s="40" t="inlineStr">
        <is>
          <t>ROYAL ALHAMBRA</t>
        </is>
      </c>
      <c r="E60" s="38" t="n">
        <v>0</v>
      </c>
      <c r="F60" s="38" t="n">
        <v>18592840</v>
      </c>
      <c r="G60" s="38" t="n">
        <v>-18592840</v>
      </c>
      <c r="H60" s="40" t="inlineStr">
        <is>
          <t>Alacak</t>
        </is>
      </c>
      <c r="I60" s="38" t="n">
        <v>0</v>
      </c>
      <c r="J60" s="38" t="n">
        <v>350000</v>
      </c>
      <c r="K60" s="38" t="n">
        <v>-350000</v>
      </c>
      <c r="L60" s="40" t="inlineStr">
        <is>
          <t>Alacak</t>
        </is>
      </c>
    </row>
    <row r="61" s="34">
      <c r="A61" s="40" t="inlineStr">
        <is>
          <t>101.01.03.0005</t>
        </is>
      </c>
      <c r="B61" s="40" t="inlineStr">
        <is>
          <t>Mayıs Vadeli Alınan Eur Çekler</t>
        </is>
      </c>
      <c r="C61" s="40" t="inlineStr">
        <is>
          <t>EUR</t>
        </is>
      </c>
      <c r="D61" s="40" t="inlineStr">
        <is>
          <t>ROYAL SEGINUS</t>
        </is>
      </c>
      <c r="E61" s="38" t="n">
        <v>3043.44</v>
      </c>
      <c r="F61" s="38" t="n">
        <v>29794085.36</v>
      </c>
      <c r="G61" s="38" t="n">
        <v>-29791041.92</v>
      </c>
      <c r="H61" s="40" t="inlineStr">
        <is>
          <t>Alacak</t>
        </is>
      </c>
      <c r="I61" s="38" t="n">
        <v>0</v>
      </c>
      <c r="J61" s="38" t="n">
        <v>560800</v>
      </c>
      <c r="K61" s="38" t="n">
        <v>-560800</v>
      </c>
      <c r="L61" s="40" t="inlineStr">
        <is>
          <t>Alacak</t>
        </is>
      </c>
    </row>
    <row r="62" s="34">
      <c r="A62" s="40" t="inlineStr">
        <is>
          <t>101.01.03.0005</t>
        </is>
      </c>
      <c r="B62" s="40" t="inlineStr">
        <is>
          <t>Mayıs Vadeli Alınan Eur Çekler</t>
        </is>
      </c>
      <c r="C62" s="40" t="inlineStr">
        <is>
          <t>EUR</t>
        </is>
      </c>
      <c r="D62" s="40" t="inlineStr">
        <is>
          <t>SERTAŞ MERKEZ</t>
        </is>
      </c>
      <c r="E62" s="38" t="n">
        <v>239530</v>
      </c>
      <c r="F62" s="38" t="n">
        <v>98515970</v>
      </c>
      <c r="G62" s="38" t="n">
        <v>-98276440</v>
      </c>
      <c r="H62" s="40" t="inlineStr">
        <is>
          <t>Alacak</t>
        </is>
      </c>
      <c r="I62" s="38" t="n">
        <v>0</v>
      </c>
      <c r="J62" s="38" t="n">
        <v>1850000</v>
      </c>
      <c r="K62" s="38" t="n">
        <v>-1850000</v>
      </c>
      <c r="L62" s="40" t="inlineStr">
        <is>
          <t>Alacak</t>
        </is>
      </c>
    </row>
    <row r="63" s="34">
      <c r="A63" s="40" t="inlineStr">
        <is>
          <t>101.01.03.0006</t>
        </is>
      </c>
      <c r="B63" s="40" t="inlineStr">
        <is>
          <t>Haziran Vadeli Alınan Eur Çekler</t>
        </is>
      </c>
      <c r="C63" s="40" t="inlineStr">
        <is>
          <t>EUR</t>
        </is>
      </c>
      <c r="D63" s="40" t="inlineStr">
        <is>
          <t>GİTAŞ MERKEZ</t>
        </is>
      </c>
      <c r="E63" s="38" t="n">
        <v>0</v>
      </c>
      <c r="F63" s="38" t="n">
        <v>116869280</v>
      </c>
      <c r="G63" s="38" t="n">
        <v>-116869280</v>
      </c>
      <c r="H63" s="40" t="inlineStr">
        <is>
          <t>Alacak</t>
        </is>
      </c>
      <c r="I63" s="38" t="n">
        <v>0</v>
      </c>
      <c r="J63" s="38" t="n">
        <v>2200000</v>
      </c>
      <c r="K63" s="38" t="n">
        <v>-2200000</v>
      </c>
      <c r="L63" s="40" t="inlineStr">
        <is>
          <t>Alacak</t>
        </is>
      </c>
    </row>
    <row r="64" s="34">
      <c r="A64" s="40" t="inlineStr">
        <is>
          <t>101.01.03.0006</t>
        </is>
      </c>
      <c r="B64" s="40" t="inlineStr">
        <is>
          <t>Haziran Vadeli Alınan Eur Çekler</t>
        </is>
      </c>
      <c r="C64" s="40" t="inlineStr">
        <is>
          <t>EUR</t>
        </is>
      </c>
      <c r="D64" s="40" t="inlineStr">
        <is>
          <t>ROYAL ADAM EVE</t>
        </is>
      </c>
      <c r="E64" s="38" t="n">
        <v>0</v>
      </c>
      <c r="F64" s="38" t="n">
        <v>61264500</v>
      </c>
      <c r="G64" s="38" t="n">
        <v>-61264500</v>
      </c>
      <c r="H64" s="40" t="inlineStr">
        <is>
          <t>Alacak</t>
        </is>
      </c>
      <c r="I64" s="38" t="n">
        <v>0</v>
      </c>
      <c r="J64" s="38" t="n">
        <v>1150000</v>
      </c>
      <c r="K64" s="38" t="n">
        <v>-1150000</v>
      </c>
      <c r="L64" s="40" t="inlineStr">
        <is>
          <t>Alacak</t>
        </is>
      </c>
    </row>
    <row r="65" s="34">
      <c r="A65" s="40" t="inlineStr">
        <is>
          <t>101.01.03.0006</t>
        </is>
      </c>
      <c r="B65" s="40" t="inlineStr">
        <is>
          <t>Haziran Vadeli Alınan Eur Çekler</t>
        </is>
      </c>
      <c r="C65" s="40" t="inlineStr">
        <is>
          <t>EUR</t>
        </is>
      </c>
      <c r="D65" s="40" t="inlineStr">
        <is>
          <t>ROYAL ALHAMBRA</t>
        </is>
      </c>
      <c r="E65" s="38" t="n">
        <v>0</v>
      </c>
      <c r="F65" s="38" t="n">
        <v>5312240</v>
      </c>
      <c r="G65" s="38" t="n">
        <v>-5312240</v>
      </c>
      <c r="H65" s="40" t="inlineStr">
        <is>
          <t>Alacak</t>
        </is>
      </c>
      <c r="I65" s="38" t="n">
        <v>0</v>
      </c>
      <c r="J65" s="38" t="n">
        <v>100000</v>
      </c>
      <c r="K65" s="38" t="n">
        <v>-100000</v>
      </c>
      <c r="L65" s="40" t="inlineStr">
        <is>
          <t>Alacak</t>
        </is>
      </c>
    </row>
    <row r="66" s="34">
      <c r="A66" s="40" t="inlineStr">
        <is>
          <t>101.01.03.0006</t>
        </is>
      </c>
      <c r="B66" s="40" t="inlineStr">
        <is>
          <t>Haziran Vadeli Alınan Eur Çekler</t>
        </is>
      </c>
      <c r="C66" s="40" t="inlineStr">
        <is>
          <t>EUR</t>
        </is>
      </c>
      <c r="D66" s="40" t="inlineStr">
        <is>
          <t>ROYAL SEGINUS</t>
        </is>
      </c>
      <c r="E66" s="38" t="n">
        <v>0</v>
      </c>
      <c r="F66" s="38" t="n">
        <v>10624480</v>
      </c>
      <c r="G66" s="38" t="n">
        <v>-10624480</v>
      </c>
      <c r="H66" s="40" t="inlineStr">
        <is>
          <t>Alacak</t>
        </is>
      </c>
      <c r="I66" s="38" t="n">
        <v>0</v>
      </c>
      <c r="J66" s="38" t="n">
        <v>200000</v>
      </c>
      <c r="K66" s="38" t="n">
        <v>-200000</v>
      </c>
      <c r="L66" s="40" t="inlineStr">
        <is>
          <t>Alacak</t>
        </is>
      </c>
    </row>
    <row r="67" s="34">
      <c r="A67" s="40" t="inlineStr">
        <is>
          <t>101.01.03.0006</t>
        </is>
      </c>
      <c r="B67" s="40" t="inlineStr">
        <is>
          <t>Haziran Vadeli Alınan Eur Çekler</t>
        </is>
      </c>
      <c r="C67" s="40" t="inlineStr">
        <is>
          <t>EUR</t>
        </is>
      </c>
      <c r="D67" s="40" t="inlineStr">
        <is>
          <t>SERTAŞ MERKEZ</t>
        </is>
      </c>
      <c r="E67" s="38" t="n">
        <v>0</v>
      </c>
      <c r="F67" s="38" t="n">
        <v>39092038</v>
      </c>
      <c r="G67" s="38" t="n">
        <v>-39092038</v>
      </c>
      <c r="H67" s="40" t="inlineStr">
        <is>
          <t>Alacak</t>
        </is>
      </c>
      <c r="I67" s="38" t="n">
        <v>0</v>
      </c>
      <c r="J67" s="38" t="n">
        <v>740000</v>
      </c>
      <c r="K67" s="38" t="n">
        <v>-740000</v>
      </c>
      <c r="L67" s="40" t="inlineStr">
        <is>
          <t>Alacak</t>
        </is>
      </c>
    </row>
    <row r="68" s="34">
      <c r="A68" s="40" t="inlineStr">
        <is>
          <t>101.01.03.0007</t>
        </is>
      </c>
      <c r="B68" s="40" t="inlineStr">
        <is>
          <t>Temmuz Vadeli Alınan Eur Çekler</t>
        </is>
      </c>
      <c r="C68" s="40" t="inlineStr">
        <is>
          <t>EUR</t>
        </is>
      </c>
      <c r="D68" s="40" t="inlineStr">
        <is>
          <t>SERTAŞ MERKEZ</t>
        </is>
      </c>
      <c r="E68" s="38" t="n">
        <v>6676950</v>
      </c>
      <c r="F68" s="38" t="n">
        <v>0</v>
      </c>
      <c r="G68" s="38" t="n">
        <v>6676950</v>
      </c>
      <c r="H68" s="40" t="inlineStr">
        <is>
          <t>Borç</t>
        </is>
      </c>
      <c r="I68" s="38" t="n">
        <v>125000</v>
      </c>
      <c r="J68" s="38" t="n">
        <v>0</v>
      </c>
      <c r="K68" s="38" t="n">
        <v>125000</v>
      </c>
      <c r="L68" s="40" t="inlineStr">
        <is>
          <t>Borç</t>
        </is>
      </c>
    </row>
    <row r="69" s="34">
      <c r="A69" s="40" t="inlineStr">
        <is>
          <t>101.01.03.0008</t>
        </is>
      </c>
      <c r="B69" s="40" t="inlineStr">
        <is>
          <t>Ağustos Vadeli Alınan Eur Çekler</t>
        </is>
      </c>
      <c r="C69" s="40" t="inlineStr">
        <is>
          <t>EUR</t>
        </is>
      </c>
      <c r="D69" s="40" t="inlineStr">
        <is>
          <t>SERTAŞ MERKEZ</t>
        </is>
      </c>
      <c r="E69" s="38" t="n">
        <v>8189101.9</v>
      </c>
      <c r="F69" s="38" t="n">
        <v>0</v>
      </c>
      <c r="G69" s="38" t="n">
        <v>8189101.9</v>
      </c>
      <c r="H69" s="40" t="inlineStr">
        <is>
          <t>Borç</t>
        </is>
      </c>
      <c r="I69" s="38" t="n">
        <v>153430</v>
      </c>
      <c r="J69" s="38" t="n">
        <v>0</v>
      </c>
      <c r="K69" s="38" t="n">
        <v>153430</v>
      </c>
      <c r="L69" s="40" t="inlineStr">
        <is>
          <t>Borç</t>
        </is>
      </c>
    </row>
    <row r="70" s="34">
      <c r="A70" s="40" t="inlineStr">
        <is>
          <t>102</t>
        </is>
      </c>
      <c r="B70" s="40" t="inlineStr">
        <is>
          <t>BANKALAR</t>
        </is>
      </c>
      <c r="C70" s="40" t="inlineStr">
        <is>
          <t>TRY</t>
        </is>
      </c>
      <c r="E70" s="38" t="n">
        <v>6358704671.57</v>
      </c>
      <c r="F70" s="38" t="n">
        <v>5972006515.64</v>
      </c>
      <c r="G70" s="38" t="n">
        <v>386698155.93</v>
      </c>
      <c r="I70" s="38" t="n">
        <v>1028465103.36</v>
      </c>
      <c r="J70" s="38" t="n">
        <v>1042953855.94</v>
      </c>
      <c r="K70" s="38" t="n">
        <v>-14488752.58</v>
      </c>
    </row>
    <row r="71" s="34">
      <c r="A71" s="40" t="inlineStr">
        <is>
          <t>102.01</t>
        </is>
      </c>
      <c r="B71" s="40" t="inlineStr">
        <is>
          <t>BANKALAR</t>
        </is>
      </c>
      <c r="C71" s="40" t="inlineStr">
        <is>
          <t>TRY</t>
        </is>
      </c>
      <c r="E71" s="38" t="n">
        <v>6358704671.57</v>
      </c>
      <c r="F71" s="38" t="n">
        <v>5972006515.64</v>
      </c>
      <c r="G71" s="38" t="n">
        <v>386698155.93</v>
      </c>
      <c r="I71" s="38" t="n">
        <v>1028465103.36</v>
      </c>
      <c r="J71" s="38" t="n">
        <v>1042953855.94</v>
      </c>
      <c r="K71" s="38" t="n">
        <v>-14488752.58</v>
      </c>
    </row>
    <row r="72" s="34">
      <c r="A72" s="40" t="inlineStr">
        <is>
          <t>102.01.01</t>
        </is>
      </c>
      <c r="B72" s="40" t="inlineStr">
        <is>
          <t>BANKALAR TL HESABI</t>
        </is>
      </c>
      <c r="C72" s="40" t="inlineStr">
        <is>
          <t>TRY</t>
        </is>
      </c>
      <c r="E72" s="38" t="n">
        <v>853307842.63</v>
      </c>
      <c r="F72" s="38" t="n">
        <v>857279687.12</v>
      </c>
      <c r="G72" s="38" t="n">
        <v>-3971844.49</v>
      </c>
      <c r="I72" s="38" t="n">
        <v>853307842.63</v>
      </c>
      <c r="J72" s="38" t="n">
        <v>857279687.12</v>
      </c>
      <c r="K72" s="38" t="n">
        <v>-3971844.49</v>
      </c>
    </row>
    <row r="73" s="34">
      <c r="A73" s="40" t="inlineStr">
        <is>
          <t>102.01.01.0001</t>
        </is>
      </c>
      <c r="B73" s="40" t="inlineStr">
        <is>
          <t>Akbank TL-Gt TR780004600849888000003719</t>
        </is>
      </c>
      <c r="C73" s="40" t="inlineStr">
        <is>
          <t>TRY</t>
        </is>
      </c>
      <c r="D73" s="40" t="inlineStr">
        <is>
          <t>GİTAŞ MERKEZ</t>
        </is>
      </c>
      <c r="E73" s="38" t="n">
        <v>560629.05</v>
      </c>
      <c r="F73" s="38" t="n">
        <v>715633.3199999999</v>
      </c>
      <c r="G73" s="38" t="n">
        <v>-155004.27</v>
      </c>
      <c r="H73" s="40" t="inlineStr">
        <is>
          <t>Alacak</t>
        </is>
      </c>
      <c r="I73" s="38" t="n">
        <v>560629.05</v>
      </c>
      <c r="J73" s="38" t="n">
        <v>715633.3199999999</v>
      </c>
      <c r="K73" s="38" t="n">
        <v>-155004.27</v>
      </c>
      <c r="L73" s="40" t="inlineStr">
        <is>
          <t>Alacak</t>
        </is>
      </c>
    </row>
    <row r="74" s="34">
      <c r="A74" s="40" t="inlineStr">
        <is>
          <t>102.01.01.0002</t>
        </is>
      </c>
      <c r="B74" s="40" t="inlineStr">
        <is>
          <t>Akbank TL TR190004600849888000002550</t>
        </is>
      </c>
      <c r="C74" s="40" t="inlineStr">
        <is>
          <t>TRY</t>
        </is>
      </c>
      <c r="D74" s="40" t="inlineStr">
        <is>
          <t>SERTAŞ MERKEZ</t>
        </is>
      </c>
      <c r="E74" s="38" t="n">
        <v>130023663</v>
      </c>
      <c r="F74" s="38" t="n">
        <v>129869264.35</v>
      </c>
      <c r="G74" s="38" t="n">
        <v>154398.65</v>
      </c>
      <c r="H74" s="40" t="inlineStr">
        <is>
          <t>Borç</t>
        </is>
      </c>
      <c r="I74" s="38" t="n">
        <v>130023663</v>
      </c>
      <c r="J74" s="38" t="n">
        <v>129869264.35</v>
      </c>
      <c r="K74" s="38" t="n">
        <v>154398.65</v>
      </c>
      <c r="L74" s="40" t="inlineStr">
        <is>
          <t>Borç</t>
        </is>
      </c>
    </row>
    <row r="75" s="34">
      <c r="A75" s="40" t="inlineStr">
        <is>
          <t>102.01.01.0003</t>
        </is>
      </c>
      <c r="B75" s="40" t="inlineStr">
        <is>
          <t>Akbank TL TR840004600849888000001671</t>
        </is>
      </c>
      <c r="C75" s="40" t="inlineStr">
        <is>
          <t>TRY</t>
        </is>
      </c>
      <c r="D75" s="40" t="inlineStr">
        <is>
          <t>ROYAL ADAM EVE</t>
        </is>
      </c>
      <c r="E75" s="38" t="n">
        <v>3028810.35</v>
      </c>
      <c r="F75" s="38" t="n">
        <v>3121436.77</v>
      </c>
      <c r="G75" s="38" t="n">
        <v>-92626.42</v>
      </c>
      <c r="H75" s="40" t="inlineStr">
        <is>
          <t>Alacak</t>
        </is>
      </c>
      <c r="I75" s="38" t="n">
        <v>3028810.35</v>
      </c>
      <c r="J75" s="38" t="n">
        <v>3121436.77</v>
      </c>
      <c r="K75" s="38" t="n">
        <v>-92626.42</v>
      </c>
      <c r="L75" s="40" t="inlineStr">
        <is>
          <t>Alacak</t>
        </is>
      </c>
    </row>
    <row r="76" s="34">
      <c r="A76" s="40" t="inlineStr">
        <is>
          <t>102.01.01.0004</t>
        </is>
      </c>
      <c r="B76" s="40" t="inlineStr">
        <is>
          <t>Denizbank TL TR540013400000055495400042</t>
        </is>
      </c>
      <c r="C76" s="40" t="inlineStr">
        <is>
          <t>TRY</t>
        </is>
      </c>
      <c r="D76" s="40" t="inlineStr">
        <is>
          <t>GİTAŞ MERKEZ</t>
        </is>
      </c>
      <c r="E76" s="38" t="n">
        <v>22004.22</v>
      </c>
      <c r="F76" s="38" t="n">
        <v>0</v>
      </c>
      <c r="G76" s="38" t="n">
        <v>22004.22</v>
      </c>
      <c r="H76" s="40" t="inlineStr">
        <is>
          <t>Borç</t>
        </is>
      </c>
      <c r="I76" s="38" t="n">
        <v>22004.22</v>
      </c>
      <c r="J76" s="38" t="n">
        <v>0</v>
      </c>
      <c r="K76" s="38" t="n">
        <v>22004.22</v>
      </c>
      <c r="L76" s="40" t="inlineStr">
        <is>
          <t>Borç</t>
        </is>
      </c>
    </row>
    <row r="77" s="34">
      <c r="A77" s="40" t="inlineStr">
        <is>
          <t>102.01.01.0005</t>
        </is>
      </c>
      <c r="B77" s="40" t="inlineStr">
        <is>
          <t>Denizbank TL TR320013400000073738800083</t>
        </is>
      </c>
      <c r="C77" s="40" t="inlineStr">
        <is>
          <t>TRY</t>
        </is>
      </c>
      <c r="D77" s="40" t="inlineStr">
        <is>
          <t>SERTAŞ MERKEZ</t>
        </is>
      </c>
      <c r="E77" s="38" t="n">
        <v>735.25</v>
      </c>
      <c r="F77" s="38" t="n">
        <v>2285.54</v>
      </c>
      <c r="G77" s="38" t="n">
        <v>-1550.29</v>
      </c>
      <c r="H77" s="40" t="inlineStr">
        <is>
          <t>Alacak</t>
        </is>
      </c>
      <c r="I77" s="38" t="n">
        <v>735.25</v>
      </c>
      <c r="J77" s="38" t="n">
        <v>2285.54</v>
      </c>
      <c r="K77" s="38" t="n">
        <v>-1550.29</v>
      </c>
      <c r="L77" s="40" t="inlineStr">
        <is>
          <t>Alacak</t>
        </is>
      </c>
    </row>
    <row r="78" s="34">
      <c r="A78" s="40" t="inlineStr">
        <is>
          <t>102.01.01.0007</t>
        </is>
      </c>
      <c r="B78" s="40" t="inlineStr">
        <is>
          <t>Garanti TL-Gt TR820006200001400006296997</t>
        </is>
      </c>
      <c r="C78" s="40" t="inlineStr">
        <is>
          <t>TRY</t>
        </is>
      </c>
      <c r="D78" s="40" t="inlineStr">
        <is>
          <t>GİTAŞ MERKEZ</t>
        </is>
      </c>
      <c r="E78" s="38" t="n">
        <v>2689646.7</v>
      </c>
      <c r="F78" s="38" t="n">
        <v>2968871.31</v>
      </c>
      <c r="G78" s="38" t="n">
        <v>-279224.61</v>
      </c>
      <c r="H78" s="40" t="inlineStr">
        <is>
          <t>Alacak</t>
        </is>
      </c>
      <c r="I78" s="38" t="n">
        <v>2689646.7</v>
      </c>
      <c r="J78" s="38" t="n">
        <v>2968871.31</v>
      </c>
      <c r="K78" s="38" t="n">
        <v>-279224.61</v>
      </c>
      <c r="L78" s="40" t="inlineStr">
        <is>
          <t>Alacak</t>
        </is>
      </c>
    </row>
    <row r="79" s="34">
      <c r="A79" s="40" t="inlineStr">
        <is>
          <t>102.01.01.0009</t>
        </is>
      </c>
      <c r="B79" s="40" t="inlineStr">
        <is>
          <t>Garanti TL TR980006200001400006297000</t>
        </is>
      </c>
      <c r="C79" s="40" t="inlineStr">
        <is>
          <t>TRY</t>
        </is>
      </c>
      <c r="D79" s="40" t="inlineStr">
        <is>
          <t>SERTAŞ MERKEZ</t>
        </is>
      </c>
      <c r="E79" s="38" t="n">
        <v>4362725.22</v>
      </c>
      <c r="F79" s="38" t="n">
        <v>4551522.75</v>
      </c>
      <c r="G79" s="38" t="n">
        <v>-188797.53</v>
      </c>
      <c r="H79" s="40" t="inlineStr">
        <is>
          <t>Alacak</t>
        </is>
      </c>
      <c r="I79" s="38" t="n">
        <v>4362725.22</v>
      </c>
      <c r="J79" s="38" t="n">
        <v>4551522.75</v>
      </c>
      <c r="K79" s="38" t="n">
        <v>-188797.53</v>
      </c>
      <c r="L79" s="40" t="inlineStr">
        <is>
          <t>Alacak</t>
        </is>
      </c>
    </row>
    <row r="80" s="34">
      <c r="A80" s="40" t="inlineStr">
        <is>
          <t>102.01.01.0010</t>
        </is>
      </c>
      <c r="B80" s="40" t="inlineStr">
        <is>
          <t>Garanti TL TR020006200001400006297855</t>
        </is>
      </c>
      <c r="C80" s="40" t="inlineStr">
        <is>
          <t>TRY</t>
        </is>
      </c>
      <c r="D80" s="40" t="inlineStr">
        <is>
          <t>ROYAL ADAM EVE</t>
        </is>
      </c>
      <c r="E80" s="38" t="n">
        <v>2388161.43</v>
      </c>
      <c r="F80" s="38" t="n">
        <v>3212833.56</v>
      </c>
      <c r="G80" s="38" t="n">
        <v>-824672.13</v>
      </c>
      <c r="H80" s="40" t="inlineStr">
        <is>
          <t>Alacak</t>
        </is>
      </c>
      <c r="I80" s="38" t="n">
        <v>2388161.43</v>
      </c>
      <c r="J80" s="38" t="n">
        <v>3212833.56</v>
      </c>
      <c r="K80" s="38" t="n">
        <v>-824672.13</v>
      </c>
      <c r="L80" s="40" t="inlineStr">
        <is>
          <t>Alacak</t>
        </is>
      </c>
    </row>
    <row r="81" s="34">
      <c r="A81" s="40" t="inlineStr">
        <is>
          <t>102.01.01.0012</t>
        </is>
      </c>
      <c r="B81" s="40" t="inlineStr">
        <is>
          <t>Halkbank TL TR830001200962400010260227</t>
        </is>
      </c>
      <c r="C81" s="40" t="inlineStr">
        <is>
          <t>TRY</t>
        </is>
      </c>
      <c r="D81" s="40" t="inlineStr">
        <is>
          <t>SERTAŞ MERKEZ</t>
        </is>
      </c>
      <c r="E81" s="38" t="n">
        <v>13702914.94</v>
      </c>
      <c r="F81" s="38" t="n">
        <v>13705000</v>
      </c>
      <c r="G81" s="38" t="n">
        <v>-2085.06</v>
      </c>
      <c r="H81" s="40" t="inlineStr">
        <is>
          <t>Alacak</t>
        </is>
      </c>
      <c r="I81" s="38" t="n">
        <v>13702914.94</v>
      </c>
      <c r="J81" s="38" t="n">
        <v>13705000</v>
      </c>
      <c r="K81" s="38" t="n">
        <v>-2085.06</v>
      </c>
      <c r="L81" s="40" t="inlineStr">
        <is>
          <t>Alacak</t>
        </is>
      </c>
    </row>
    <row r="82" s="34">
      <c r="A82" s="40" t="inlineStr">
        <is>
          <t>102.01.01.0013</t>
        </is>
      </c>
      <c r="B82" s="40" t="inlineStr">
        <is>
          <t>Halkbank TL TR350001200962400010260800</t>
        </is>
      </c>
      <c r="C82" s="40" t="inlineStr">
        <is>
          <t>TRY</t>
        </is>
      </c>
      <c r="D82" s="40" t="inlineStr">
        <is>
          <t>ROYAL ADAM EVE</t>
        </is>
      </c>
      <c r="E82" s="38" t="n">
        <v>80000</v>
      </c>
      <c r="F82" s="38" t="n">
        <v>178761.9</v>
      </c>
      <c r="G82" s="38" t="n">
        <v>-98761.89999999999</v>
      </c>
      <c r="H82" s="40" t="inlineStr">
        <is>
          <t>Alacak</t>
        </is>
      </c>
      <c r="I82" s="38" t="n">
        <v>80000</v>
      </c>
      <c r="J82" s="38" t="n">
        <v>178761.9</v>
      </c>
      <c r="K82" s="38" t="n">
        <v>-98761.89999999999</v>
      </c>
      <c r="L82" s="40" t="inlineStr">
        <is>
          <t>Alacak</t>
        </is>
      </c>
    </row>
    <row r="83" s="34">
      <c r="A83" s="40" t="inlineStr">
        <is>
          <t>102.01.01.0014</t>
        </is>
      </c>
      <c r="B83" s="40" t="inlineStr">
        <is>
          <t>İş Bankası TL-Gt TR850006400000162150009442</t>
        </is>
      </c>
      <c r="C83" s="40" t="inlineStr">
        <is>
          <t>TRY</t>
        </is>
      </c>
      <c r="D83" s="40" t="inlineStr">
        <is>
          <t>GİTAŞ MERKEZ</t>
        </is>
      </c>
      <c r="E83" s="38" t="n">
        <v>1469322.13</v>
      </c>
      <c r="F83" s="38" t="n">
        <v>1701242.39</v>
      </c>
      <c r="G83" s="38" t="n">
        <v>-231920.26</v>
      </c>
      <c r="H83" s="40" t="inlineStr">
        <is>
          <t>Alacak</t>
        </is>
      </c>
      <c r="I83" s="38" t="n">
        <v>1469322.13</v>
      </c>
      <c r="J83" s="38" t="n">
        <v>1701242.39</v>
      </c>
      <c r="K83" s="38" t="n">
        <v>-231920.26</v>
      </c>
      <c r="L83" s="40" t="inlineStr">
        <is>
          <t>Alacak</t>
        </is>
      </c>
    </row>
    <row r="84" s="34">
      <c r="A84" s="40" t="inlineStr">
        <is>
          <t>102.01.01.0015</t>
        </is>
      </c>
      <c r="B84" s="40" t="inlineStr">
        <is>
          <t>İş Bankası TL TR900006400000162150009352</t>
        </is>
      </c>
      <c r="C84" s="40" t="inlineStr">
        <is>
          <t>TRY</t>
        </is>
      </c>
      <c r="D84" s="40" t="inlineStr">
        <is>
          <t>SERTAŞ MERKEZ</t>
        </is>
      </c>
      <c r="E84" s="38" t="n">
        <v>17825863.59</v>
      </c>
      <c r="F84" s="38" t="n">
        <v>17819142.11</v>
      </c>
      <c r="G84" s="38" t="n">
        <v>6721.48</v>
      </c>
      <c r="H84" s="40" t="inlineStr">
        <is>
          <t>Borç</t>
        </is>
      </c>
      <c r="I84" s="38" t="n">
        <v>17825863.59</v>
      </c>
      <c r="J84" s="38" t="n">
        <v>17819142.11</v>
      </c>
      <c r="K84" s="38" t="n">
        <v>6721.48</v>
      </c>
      <c r="L84" s="40" t="inlineStr">
        <is>
          <t>Borç</t>
        </is>
      </c>
    </row>
    <row r="85" s="34">
      <c r="A85" s="40" t="inlineStr">
        <is>
          <t>102.01.01.0016</t>
        </is>
      </c>
      <c r="B85" s="40" t="inlineStr">
        <is>
          <t>İş Bankası TL TR340006400000162150002212</t>
        </is>
      </c>
      <c r="C85" s="40" t="inlineStr">
        <is>
          <t>TRY</t>
        </is>
      </c>
      <c r="D85" s="40" t="inlineStr">
        <is>
          <t>ROYAL ADAM EVE</t>
        </is>
      </c>
      <c r="E85" s="38" t="n">
        <v>6284445.14</v>
      </c>
      <c r="F85" s="38" t="n">
        <v>6508935.26</v>
      </c>
      <c r="G85" s="38" t="n">
        <v>-224490.12</v>
      </c>
      <c r="H85" s="40" t="inlineStr">
        <is>
          <t>Alacak</t>
        </is>
      </c>
      <c r="I85" s="38" t="n">
        <v>6284445.14</v>
      </c>
      <c r="J85" s="38" t="n">
        <v>6508935.26</v>
      </c>
      <c r="K85" s="38" t="n">
        <v>-224490.12</v>
      </c>
      <c r="L85" s="40" t="inlineStr">
        <is>
          <t>Alacak</t>
        </is>
      </c>
    </row>
    <row r="86" s="34">
      <c r="A86" s="40" t="inlineStr">
        <is>
          <t>102.01.01.0017</t>
        </is>
      </c>
      <c r="B86" s="40" t="inlineStr">
        <is>
          <t>Vakıfbank TL-Gt TR880001500158007300814326</t>
        </is>
      </c>
      <c r="C86" s="40" t="inlineStr">
        <is>
          <t>TRY</t>
        </is>
      </c>
      <c r="D86" s="40" t="inlineStr">
        <is>
          <t>GİTAŞ MERKEZ</t>
        </is>
      </c>
      <c r="E86" s="38" t="n">
        <v>70044651.84999999</v>
      </c>
      <c r="F86" s="38" t="n">
        <v>70150719.89</v>
      </c>
      <c r="G86" s="38" t="n">
        <v>-106068.04</v>
      </c>
      <c r="H86" s="40" t="inlineStr">
        <is>
          <t>Alacak</t>
        </is>
      </c>
      <c r="I86" s="38" t="n">
        <v>70044651.84999999</v>
      </c>
      <c r="J86" s="38" t="n">
        <v>70150719.89</v>
      </c>
      <c r="K86" s="38" t="n">
        <v>-106068.04</v>
      </c>
      <c r="L86" s="40" t="inlineStr">
        <is>
          <t>Alacak</t>
        </is>
      </c>
    </row>
    <row r="87" s="34">
      <c r="A87" s="40" t="inlineStr">
        <is>
          <t>102.01.01.0018</t>
        </is>
      </c>
      <c r="B87" s="40" t="inlineStr">
        <is>
          <t>Vakıfbank TL TR910001500158007300814369</t>
        </is>
      </c>
      <c r="C87" s="40" t="inlineStr">
        <is>
          <t>TRY</t>
        </is>
      </c>
      <c r="D87" s="40" t="inlineStr">
        <is>
          <t>SERTAŞ MERKEZ</t>
        </is>
      </c>
      <c r="E87" s="38" t="n">
        <v>132402056.76</v>
      </c>
      <c r="F87" s="38" t="n">
        <v>133664022.72</v>
      </c>
      <c r="G87" s="38" t="n">
        <v>-1261965.96</v>
      </c>
      <c r="H87" s="40" t="inlineStr">
        <is>
          <t>Alacak</t>
        </is>
      </c>
      <c r="I87" s="38" t="n">
        <v>132402056.76</v>
      </c>
      <c r="J87" s="38" t="n">
        <v>133664022.72</v>
      </c>
      <c r="K87" s="38" t="n">
        <v>-1261965.96</v>
      </c>
      <c r="L87" s="40" t="inlineStr">
        <is>
          <t>Alacak</t>
        </is>
      </c>
    </row>
    <row r="88" s="34">
      <c r="A88" s="40" t="inlineStr">
        <is>
          <t>102.01.01.0019</t>
        </is>
      </c>
      <c r="B88" s="40" t="inlineStr">
        <is>
          <t>Vakıfbank TL TR560001500158007302529959</t>
        </is>
      </c>
      <c r="C88" s="40" t="inlineStr">
        <is>
          <t>TRY</t>
        </is>
      </c>
      <c r="D88" s="40" t="inlineStr">
        <is>
          <t>ROYAL ADAM EVE</t>
        </is>
      </c>
      <c r="E88" s="38" t="n">
        <v>24741238.2</v>
      </c>
      <c r="F88" s="38" t="n">
        <v>24871420.42</v>
      </c>
      <c r="G88" s="38" t="n">
        <v>-130182.22</v>
      </c>
      <c r="H88" s="40" t="inlineStr">
        <is>
          <t>Alacak</t>
        </is>
      </c>
      <c r="I88" s="38" t="n">
        <v>24741238.2</v>
      </c>
      <c r="J88" s="38" t="n">
        <v>24871420.42</v>
      </c>
      <c r="K88" s="38" t="n">
        <v>-130182.22</v>
      </c>
      <c r="L88" s="40" t="inlineStr">
        <is>
          <t>Alacak</t>
        </is>
      </c>
    </row>
    <row r="89" s="34">
      <c r="A89" s="40" t="inlineStr">
        <is>
          <t>102.01.01.0020</t>
        </is>
      </c>
      <c r="B89" s="40" t="inlineStr">
        <is>
          <t>Yapı Kredi TL-Gt TR210006701000000021047265</t>
        </is>
      </c>
      <c r="C89" s="40" t="inlineStr">
        <is>
          <t>TRY</t>
        </is>
      </c>
      <c r="D89" s="40" t="inlineStr">
        <is>
          <t>GİTAŞ MERKEZ</t>
        </is>
      </c>
      <c r="E89" s="38" t="n">
        <v>30854194.52</v>
      </c>
      <c r="F89" s="38" t="n">
        <v>30854194.52</v>
      </c>
      <c r="G89" s="38" t="n">
        <v>0</v>
      </c>
      <c r="I89" s="38" t="n">
        <v>30854194.52</v>
      </c>
      <c r="J89" s="38" t="n">
        <v>30854194.52</v>
      </c>
      <c r="K89" s="38" t="n">
        <v>0</v>
      </c>
    </row>
    <row r="90" s="34">
      <c r="A90" s="40" t="inlineStr">
        <is>
          <t>102.01.01.0021</t>
        </is>
      </c>
      <c r="B90" s="40" t="inlineStr">
        <is>
          <t>Yapı Kredi TL-Gt TR420006701000000083248331</t>
        </is>
      </c>
      <c r="C90" s="40" t="inlineStr">
        <is>
          <t>TRY</t>
        </is>
      </c>
      <c r="D90" s="40" t="inlineStr">
        <is>
          <t>GİTAŞ MERKEZ</t>
        </is>
      </c>
      <c r="E90" s="38" t="n">
        <v>31050544.17</v>
      </c>
      <c r="F90" s="38" t="n">
        <v>31083463.87</v>
      </c>
      <c r="G90" s="38" t="n">
        <v>-32919.7</v>
      </c>
      <c r="H90" s="40" t="inlineStr">
        <is>
          <t>Alacak</t>
        </is>
      </c>
      <c r="I90" s="38" t="n">
        <v>31050544.17</v>
      </c>
      <c r="J90" s="38" t="n">
        <v>31083463.87</v>
      </c>
      <c r="K90" s="38" t="n">
        <v>-32919.7</v>
      </c>
      <c r="L90" s="40" t="inlineStr">
        <is>
          <t>Alacak</t>
        </is>
      </c>
    </row>
    <row r="91" s="34">
      <c r="A91" s="40" t="inlineStr">
        <is>
          <t>102.01.01.0022</t>
        </is>
      </c>
      <c r="B91" s="40" t="inlineStr">
        <is>
          <t>Yapı Kredi TL TR140006701000000021055054</t>
        </is>
      </c>
      <c r="C91" s="40" t="inlineStr">
        <is>
          <t>TRY</t>
        </is>
      </c>
      <c r="D91" s="40" t="inlineStr">
        <is>
          <t>SERTAŞ MERKEZ</t>
        </is>
      </c>
      <c r="E91" s="38" t="n">
        <v>50360317.98</v>
      </c>
      <c r="F91" s="38" t="n">
        <v>50360317.98</v>
      </c>
      <c r="G91" s="38" t="n">
        <v>0</v>
      </c>
      <c r="I91" s="38" t="n">
        <v>50360317.98</v>
      </c>
      <c r="J91" s="38" t="n">
        <v>50360317.98</v>
      </c>
      <c r="K91" s="38" t="n">
        <v>0</v>
      </c>
    </row>
    <row r="92" s="34">
      <c r="A92" s="40" t="inlineStr">
        <is>
          <t>102.01.01.0023</t>
        </is>
      </c>
      <c r="B92" s="40" t="inlineStr">
        <is>
          <t>Yapı Kredi TL TR470006701000000032502303</t>
        </is>
      </c>
      <c r="C92" s="40" t="inlineStr">
        <is>
          <t>TRY</t>
        </is>
      </c>
      <c r="D92" s="40" t="inlineStr">
        <is>
          <t>SERTAŞ MERKEZ</t>
        </is>
      </c>
      <c r="E92" s="38" t="n">
        <v>71436940.56999999</v>
      </c>
      <c r="F92" s="38" t="n">
        <v>71417328.66</v>
      </c>
      <c r="G92" s="38" t="n">
        <v>19611.91</v>
      </c>
      <c r="H92" s="40" t="inlineStr">
        <is>
          <t>Borç</t>
        </is>
      </c>
      <c r="I92" s="38" t="n">
        <v>71436940.56999999</v>
      </c>
      <c r="J92" s="38" t="n">
        <v>71417328.66</v>
      </c>
      <c r="K92" s="38" t="n">
        <v>19611.91</v>
      </c>
      <c r="L92" s="40" t="inlineStr">
        <is>
          <t>Borç</t>
        </is>
      </c>
    </row>
    <row r="93" s="34">
      <c r="A93" s="40" t="inlineStr">
        <is>
          <t>102.01.01.0024</t>
        </is>
      </c>
      <c r="B93" s="40" t="inlineStr">
        <is>
          <t>Yapı Kredi TL TR400006701000000048785237</t>
        </is>
      </c>
      <c r="C93" s="40" t="inlineStr">
        <is>
          <t>TRY</t>
        </is>
      </c>
      <c r="D93" s="40" t="inlineStr">
        <is>
          <t>ROYAL ADAM EVE</t>
        </is>
      </c>
      <c r="E93" s="38" t="n">
        <v>19528800</v>
      </c>
      <c r="F93" s="38" t="n">
        <v>19573775.1</v>
      </c>
      <c r="G93" s="38" t="n">
        <v>-44975.1</v>
      </c>
      <c r="H93" s="40" t="inlineStr">
        <is>
          <t>Alacak</t>
        </is>
      </c>
      <c r="I93" s="38" t="n">
        <v>19528800</v>
      </c>
      <c r="J93" s="38" t="n">
        <v>19573775.1</v>
      </c>
      <c r="K93" s="38" t="n">
        <v>-44975.1</v>
      </c>
      <c r="L93" s="40" t="inlineStr">
        <is>
          <t>Alacak</t>
        </is>
      </c>
    </row>
    <row r="94" s="34">
      <c r="A94" s="40" t="inlineStr">
        <is>
          <t>102.01.01.0025</t>
        </is>
      </c>
      <c r="B94" s="40" t="inlineStr">
        <is>
          <t>Yapı Kredi TL TR890006701000000021062434</t>
        </is>
      </c>
      <c r="C94" s="40" t="inlineStr">
        <is>
          <t>TRY</t>
        </is>
      </c>
      <c r="D94" s="40" t="inlineStr">
        <is>
          <t>ROYAL ADAM EVE</t>
        </is>
      </c>
      <c r="E94" s="38" t="n">
        <v>19423348.84</v>
      </c>
      <c r="F94" s="38" t="n">
        <v>19423348.84</v>
      </c>
      <c r="G94" s="38" t="n">
        <v>0</v>
      </c>
      <c r="I94" s="38" t="n">
        <v>19423348.84</v>
      </c>
      <c r="J94" s="38" t="n">
        <v>19423348.84</v>
      </c>
      <c r="K94" s="38" t="n">
        <v>0</v>
      </c>
    </row>
    <row r="95" s="34">
      <c r="A95" s="40" t="inlineStr">
        <is>
          <t>102.01.01.0026</t>
        </is>
      </c>
      <c r="B95" s="40" t="inlineStr">
        <is>
          <t>Ziraat Bankası TL-Gt TR110001002084620937635001</t>
        </is>
      </c>
      <c r="C95" s="40" t="inlineStr">
        <is>
          <t>TRY</t>
        </is>
      </c>
      <c r="D95" s="40" t="inlineStr">
        <is>
          <t>GİTAŞ MERKEZ</t>
        </is>
      </c>
      <c r="E95" s="38" t="n">
        <v>20722822.46</v>
      </c>
      <c r="F95" s="38" t="n">
        <v>20797545.39</v>
      </c>
      <c r="G95" s="38" t="n">
        <v>-74722.92999999999</v>
      </c>
      <c r="H95" s="40" t="inlineStr">
        <is>
          <t>Alacak</t>
        </is>
      </c>
      <c r="I95" s="38" t="n">
        <v>20722822.46</v>
      </c>
      <c r="J95" s="38" t="n">
        <v>20797545.39</v>
      </c>
      <c r="K95" s="38" t="n">
        <v>-74722.92999999999</v>
      </c>
      <c r="L95" s="40" t="inlineStr">
        <is>
          <t>Alacak</t>
        </is>
      </c>
    </row>
    <row r="96" s="34">
      <c r="A96" s="40" t="inlineStr">
        <is>
          <t>102.01.01.0027</t>
        </is>
      </c>
      <c r="B96" s="40" t="inlineStr">
        <is>
          <t>Ziraat Bankası TL TR800001002084594898545001</t>
        </is>
      </c>
      <c r="C96" s="40" t="inlineStr">
        <is>
          <t>TRY</t>
        </is>
      </c>
      <c r="D96" s="40" t="inlineStr">
        <is>
          <t>SERTAŞ MERKEZ</t>
        </is>
      </c>
      <c r="E96" s="38" t="n">
        <v>153617775.68</v>
      </c>
      <c r="F96" s="38" t="n">
        <v>153879526.27</v>
      </c>
      <c r="G96" s="38" t="n">
        <v>-261750.59</v>
      </c>
      <c r="H96" s="40" t="inlineStr">
        <is>
          <t>Alacak</t>
        </is>
      </c>
      <c r="I96" s="38" t="n">
        <v>153617775.68</v>
      </c>
      <c r="J96" s="38" t="n">
        <v>153879526.27</v>
      </c>
      <c r="K96" s="38" t="n">
        <v>-261750.59</v>
      </c>
      <c r="L96" s="40" t="inlineStr">
        <is>
          <t>Alacak</t>
        </is>
      </c>
    </row>
    <row r="97" s="34">
      <c r="A97" s="40" t="inlineStr">
        <is>
          <t>102.01.01.0028</t>
        </is>
      </c>
      <c r="B97" s="40" t="inlineStr">
        <is>
          <t>Ziraat Bankası TL-Tg TR770001002084587835065001</t>
        </is>
      </c>
      <c r="C97" s="40" t="inlineStr">
        <is>
          <t>TRY</t>
        </is>
      </c>
      <c r="D97" s="40" t="inlineStr">
        <is>
          <t>ROYAL ADAM EVE</t>
        </is>
      </c>
      <c r="E97" s="38" t="n">
        <v>46686230.58</v>
      </c>
      <c r="F97" s="38" t="n">
        <v>46848358.95</v>
      </c>
      <c r="G97" s="38" t="n">
        <v>-162128.37</v>
      </c>
      <c r="H97" s="40" t="inlineStr">
        <is>
          <t>Alacak</t>
        </is>
      </c>
      <c r="I97" s="38" t="n">
        <v>46686230.58</v>
      </c>
      <c r="J97" s="38" t="n">
        <v>46848358.95</v>
      </c>
      <c r="K97" s="38" t="n">
        <v>-162128.37</v>
      </c>
      <c r="L97" s="40" t="inlineStr">
        <is>
          <t>Alacak</t>
        </is>
      </c>
    </row>
    <row r="98" s="34">
      <c r="A98" s="40" t="inlineStr">
        <is>
          <t>102.01.01.0034</t>
        </is>
      </c>
      <c r="B98" s="40" t="inlineStr">
        <is>
          <t>Denizbank TL  TR550013400000073738800057</t>
        </is>
      </c>
      <c r="C98" s="40" t="inlineStr">
        <is>
          <t>TRY</t>
        </is>
      </c>
      <c r="D98" s="40" t="inlineStr">
        <is>
          <t>SERTAŞ MERKEZ</t>
        </is>
      </c>
      <c r="E98" s="38" t="n">
        <v>0</v>
      </c>
      <c r="F98" s="38" t="n">
        <v>735.25</v>
      </c>
      <c r="G98" s="38" t="n">
        <v>-735.25</v>
      </c>
      <c r="H98" s="40" t="inlineStr">
        <is>
          <t>Alacak</t>
        </is>
      </c>
      <c r="I98" s="38" t="n">
        <v>0</v>
      </c>
      <c r="J98" s="38" t="n">
        <v>735.25</v>
      </c>
      <c r="K98" s="38" t="n">
        <v>-735.25</v>
      </c>
      <c r="L98" s="40" t="inlineStr">
        <is>
          <t>Alacak</t>
        </is>
      </c>
    </row>
    <row r="99" s="34">
      <c r="A99" s="40" t="inlineStr">
        <is>
          <t>102.01.02</t>
        </is>
      </c>
      <c r="B99" s="40" t="inlineStr">
        <is>
          <t>BANKALAR USD HESABI</t>
        </is>
      </c>
      <c r="C99" s="40" t="inlineStr">
        <is>
          <t>USD</t>
        </is>
      </c>
      <c r="E99" s="38" t="n">
        <v>65159874.78</v>
      </c>
      <c r="F99" s="38" t="n">
        <v>62844426.52</v>
      </c>
      <c r="G99" s="38" t="n">
        <v>2315448.26</v>
      </c>
      <c r="I99" s="38" t="n">
        <v>1413489.22</v>
      </c>
      <c r="J99" s="38" t="n">
        <v>1363435.75</v>
      </c>
      <c r="K99" s="38" t="n">
        <v>50053.47</v>
      </c>
    </row>
    <row r="100" s="34">
      <c r="A100" s="40" t="inlineStr">
        <is>
          <t>102.01.02.0001</t>
        </is>
      </c>
      <c r="B100" s="40" t="inlineStr">
        <is>
          <t>Akbank Usd TR820004600849001000003153</t>
        </is>
      </c>
      <c r="C100" s="40" t="inlineStr">
        <is>
          <t>USD</t>
        </is>
      </c>
      <c r="D100" s="40" t="inlineStr">
        <is>
          <t>SERTAŞ MERKEZ</t>
        </is>
      </c>
      <c r="E100" s="38" t="n">
        <v>1160798.16</v>
      </c>
      <c r="F100" s="38" t="n">
        <v>110863.68</v>
      </c>
      <c r="G100" s="38" t="n">
        <v>1049934.48</v>
      </c>
      <c r="H100" s="40" t="inlineStr">
        <is>
          <t>Borç</t>
        </is>
      </c>
      <c r="I100" s="38" t="n">
        <v>25239</v>
      </c>
      <c r="J100" s="38" t="n">
        <v>2400</v>
      </c>
      <c r="K100" s="38" t="n">
        <v>22839</v>
      </c>
      <c r="L100" s="40" t="inlineStr">
        <is>
          <t>Borç</t>
        </is>
      </c>
    </row>
    <row r="101" s="34">
      <c r="A101" s="40" t="inlineStr">
        <is>
          <t>102.01.02.0002</t>
        </is>
      </c>
      <c r="B101" s="40" t="inlineStr">
        <is>
          <t>Akbank Usd TR130004600849001000025250</t>
        </is>
      </c>
      <c r="C101" s="40" t="inlineStr">
        <is>
          <t>USD</t>
        </is>
      </c>
      <c r="D101" s="40" t="inlineStr">
        <is>
          <t>ROYAL ADAM EVE</t>
        </is>
      </c>
      <c r="E101" s="38" t="n">
        <v>1249035.74</v>
      </c>
      <c r="F101" s="38" t="n">
        <v>503907.97</v>
      </c>
      <c r="G101" s="38" t="n">
        <v>745127.77</v>
      </c>
      <c r="H101" s="40" t="inlineStr">
        <is>
          <t>Borç</t>
        </is>
      </c>
      <c r="I101" s="38" t="n">
        <v>27170</v>
      </c>
      <c r="J101" s="38" t="n">
        <v>10900.83</v>
      </c>
      <c r="K101" s="38" t="n">
        <v>16269.17</v>
      </c>
      <c r="L101" s="40" t="inlineStr">
        <is>
          <t>Borç</t>
        </is>
      </c>
    </row>
    <row r="102" s="34">
      <c r="A102" s="40" t="inlineStr">
        <is>
          <t>102.01.02.0007</t>
        </is>
      </c>
      <c r="B102" s="40" t="inlineStr">
        <is>
          <t>Garanti Usd TR210006200001400009091016</t>
        </is>
      </c>
      <c r="C102" s="40" t="inlineStr">
        <is>
          <t>USD</t>
        </is>
      </c>
      <c r="D102" s="40" t="inlineStr">
        <is>
          <t>SERTAŞ MERKEZ</t>
        </is>
      </c>
      <c r="E102" s="38" t="n">
        <v>453366.52</v>
      </c>
      <c r="F102" s="38" t="n">
        <v>0</v>
      </c>
      <c r="G102" s="38" t="n">
        <v>453366.52</v>
      </c>
      <c r="H102" s="40" t="inlineStr">
        <is>
          <t>Borç</t>
        </is>
      </c>
      <c r="I102" s="38" t="n">
        <v>9817</v>
      </c>
      <c r="J102" s="38" t="n">
        <v>0</v>
      </c>
      <c r="K102" s="38" t="n">
        <v>9817</v>
      </c>
      <c r="L102" s="40" t="inlineStr">
        <is>
          <t>Borç</t>
        </is>
      </c>
    </row>
    <row r="103" s="34">
      <c r="A103" s="40" t="inlineStr">
        <is>
          <t>102.01.02.0013</t>
        </is>
      </c>
      <c r="B103" s="40" t="inlineStr">
        <is>
          <t>Vakıfbank Usd TR770001500158048013919819</t>
        </is>
      </c>
      <c r="C103" s="40" t="inlineStr">
        <is>
          <t>USD</t>
        </is>
      </c>
      <c r="D103" s="40" t="inlineStr">
        <is>
          <t>SERTAŞ MERKEZ</t>
        </is>
      </c>
      <c r="E103" s="38" t="n">
        <v>19148.74</v>
      </c>
      <c r="F103" s="38" t="n">
        <v>1196.09</v>
      </c>
      <c r="G103" s="38" t="n">
        <v>17952.65</v>
      </c>
      <c r="H103" s="40" t="inlineStr">
        <is>
          <t>Borç</t>
        </is>
      </c>
      <c r="I103" s="38" t="n">
        <v>412.42</v>
      </c>
      <c r="J103" s="38" t="n">
        <v>25.96</v>
      </c>
      <c r="K103" s="38" t="n">
        <v>386.46</v>
      </c>
      <c r="L103" s="40" t="inlineStr">
        <is>
          <t>Borç</t>
        </is>
      </c>
    </row>
    <row r="104" s="34">
      <c r="A104" s="40" t="inlineStr">
        <is>
          <t>102.01.02.0015</t>
        </is>
      </c>
      <c r="B104" s="40" t="inlineStr">
        <is>
          <t>Vakıfbank Usd-Gt TR940001500158048013919804</t>
        </is>
      </c>
      <c r="C104" s="40" t="inlineStr">
        <is>
          <t>USD</t>
        </is>
      </c>
      <c r="D104" s="40" t="inlineStr">
        <is>
          <t>GİTAŞ MERKEZ</t>
        </is>
      </c>
      <c r="E104" s="38" t="n">
        <v>16082310</v>
      </c>
      <c r="F104" s="38" t="n">
        <v>16178949.93</v>
      </c>
      <c r="G104" s="38" t="n">
        <v>-96639.92999999999</v>
      </c>
      <c r="H104" s="40" t="inlineStr">
        <is>
          <t>Alacak</t>
        </is>
      </c>
      <c r="I104" s="38" t="n">
        <v>347700</v>
      </c>
      <c r="J104" s="38" t="n">
        <v>350100</v>
      </c>
      <c r="K104" s="38" t="n">
        <v>-2400</v>
      </c>
      <c r="L104" s="40" t="inlineStr">
        <is>
          <t>Alacak</t>
        </is>
      </c>
    </row>
    <row r="105" s="34">
      <c r="A105" s="40" t="inlineStr">
        <is>
          <t>102.01.02.0018</t>
        </is>
      </c>
      <c r="B105" s="40" t="inlineStr">
        <is>
          <t>Yapı Kredi Usd-Gt TR520006701000000084354048</t>
        </is>
      </c>
      <c r="C105" s="40" t="inlineStr">
        <is>
          <t>USD</t>
        </is>
      </c>
      <c r="D105" s="40" t="inlineStr">
        <is>
          <t>GİTAŞ MERKEZ</t>
        </is>
      </c>
      <c r="E105" s="38" t="n">
        <v>0</v>
      </c>
      <c r="F105" s="38" t="n">
        <v>408.85</v>
      </c>
      <c r="G105" s="38" t="n">
        <v>-408.85</v>
      </c>
      <c r="H105" s="40" t="inlineStr">
        <is>
          <t>Alacak</t>
        </is>
      </c>
      <c r="I105" s="38" t="n">
        <v>0</v>
      </c>
      <c r="J105" s="38" t="n">
        <v>8.960000000000001</v>
      </c>
      <c r="K105" s="38" t="n">
        <v>-8.960000000000001</v>
      </c>
      <c r="L105" s="40" t="inlineStr">
        <is>
          <t>Alacak</t>
        </is>
      </c>
    </row>
    <row r="106" s="34">
      <c r="A106" s="40" t="inlineStr">
        <is>
          <t>102.01.02.0020</t>
        </is>
      </c>
      <c r="B106" s="40" t="inlineStr">
        <is>
          <t>Ziraat Bankası Usd TR260001002084594898545003</t>
        </is>
      </c>
      <c r="C106" s="40" t="inlineStr">
        <is>
          <t>USD</t>
        </is>
      </c>
      <c r="D106" s="40" t="inlineStr">
        <is>
          <t>SERTAŞ MERKEZ</t>
        </is>
      </c>
      <c r="E106" s="38" t="n">
        <v>46195215.62</v>
      </c>
      <c r="F106" s="38" t="n">
        <v>46049100</v>
      </c>
      <c r="G106" s="38" t="n">
        <v>146115.62</v>
      </c>
      <c r="H106" s="40" t="inlineStr">
        <is>
          <t>Borç</t>
        </is>
      </c>
      <c r="I106" s="38" t="n">
        <v>1003150.8</v>
      </c>
      <c r="J106" s="38" t="n">
        <v>1000000</v>
      </c>
      <c r="K106" s="38" t="n">
        <v>3150.8</v>
      </c>
      <c r="L106" s="40" t="inlineStr">
        <is>
          <t>Borç</t>
        </is>
      </c>
    </row>
    <row r="107" s="34">
      <c r="A107" s="40" t="inlineStr">
        <is>
          <t>102.01.03</t>
        </is>
      </c>
      <c r="B107" s="40" t="inlineStr">
        <is>
          <t>BANKALAR EUR HESABI</t>
        </is>
      </c>
      <c r="C107" s="40" t="inlineStr">
        <is>
          <t>EUR</t>
        </is>
      </c>
      <c r="E107" s="38" t="n">
        <v>3763255435.7</v>
      </c>
      <c r="F107" s="38" t="n">
        <v>3360336394.93</v>
      </c>
      <c r="G107" s="38" t="n">
        <v>402919040.77</v>
      </c>
      <c r="I107" s="38" t="n">
        <v>70627904.91</v>
      </c>
      <c r="J107" s="38" t="n">
        <v>63016282.09</v>
      </c>
      <c r="K107" s="38" t="n">
        <v>7611622.82</v>
      </c>
    </row>
    <row r="108" s="34">
      <c r="A108" s="40" t="inlineStr">
        <is>
          <t>102.01.03.0001</t>
        </is>
      </c>
      <c r="B108" s="40" t="inlineStr">
        <is>
          <t>Akbank Eur-Gt TR430004600849036000024490</t>
        </is>
      </c>
      <c r="C108" s="40" t="inlineStr">
        <is>
          <t>EUR</t>
        </is>
      </c>
      <c r="D108" s="40" t="inlineStr">
        <is>
          <t>GİTAŞ MERKEZ</t>
        </is>
      </c>
      <c r="E108" s="38" t="n">
        <v>11356280.2</v>
      </c>
      <c r="F108" s="38" t="n">
        <v>0</v>
      </c>
      <c r="G108" s="38" t="n">
        <v>11356280.2</v>
      </c>
      <c r="H108" s="40" t="inlineStr">
        <is>
          <t>Borç</t>
        </is>
      </c>
      <c r="I108" s="38" t="n">
        <v>213811.84</v>
      </c>
      <c r="J108" s="38" t="n">
        <v>0</v>
      </c>
      <c r="K108" s="38" t="n">
        <v>213811.84</v>
      </c>
      <c r="L108" s="40" t="inlineStr">
        <is>
          <t>Borç</t>
        </is>
      </c>
    </row>
    <row r="109" s="34">
      <c r="A109" s="40" t="inlineStr">
        <is>
          <t>102.01.03.0002</t>
        </is>
      </c>
      <c r="B109" s="40" t="inlineStr">
        <is>
          <t>Akbank Eur TR170004600849036000002551</t>
        </is>
      </c>
      <c r="C109" s="40" t="inlineStr">
        <is>
          <t>EUR</t>
        </is>
      </c>
      <c r="D109" s="40" t="inlineStr">
        <is>
          <t>SERTAŞ MERKEZ</t>
        </is>
      </c>
      <c r="E109" s="38" t="n">
        <v>1683358433.1</v>
      </c>
      <c r="F109" s="38" t="n">
        <v>1706552808.56</v>
      </c>
      <c r="G109" s="38" t="n">
        <v>-23194375.46</v>
      </c>
      <c r="H109" s="40" t="inlineStr">
        <is>
          <t>Alacak</t>
        </is>
      </c>
      <c r="I109" s="38" t="n">
        <v>31578812.7</v>
      </c>
      <c r="J109" s="38" t="n">
        <v>32008725</v>
      </c>
      <c r="K109" s="38" t="n">
        <v>-429912.3</v>
      </c>
      <c r="L109" s="40" t="inlineStr">
        <is>
          <t>Alacak</t>
        </is>
      </c>
    </row>
    <row r="110" s="34">
      <c r="A110" s="40" t="inlineStr">
        <is>
          <t>102.01.03.0003</t>
        </is>
      </c>
      <c r="B110" s="40" t="inlineStr">
        <is>
          <t>Akbank Eur TR190004600849036000024534</t>
        </is>
      </c>
      <c r="C110" s="40" t="inlineStr">
        <is>
          <t>EUR</t>
        </is>
      </c>
      <c r="D110" s="40" t="inlineStr">
        <is>
          <t>ROYAL ADAM EVE</t>
        </is>
      </c>
      <c r="E110" s="38" t="n">
        <v>7801439.96</v>
      </c>
      <c r="F110" s="38" t="n">
        <v>77772.92999999999</v>
      </c>
      <c r="G110" s="38" t="n">
        <v>7723667.03</v>
      </c>
      <c r="H110" s="40" t="inlineStr">
        <is>
          <t>Borç</t>
        </is>
      </c>
      <c r="I110" s="38" t="n">
        <v>146732.4</v>
      </c>
      <c r="J110" s="38" t="n">
        <v>1450</v>
      </c>
      <c r="K110" s="38" t="n">
        <v>145282.4</v>
      </c>
      <c r="L110" s="40" t="inlineStr">
        <is>
          <t>Borç</t>
        </is>
      </c>
    </row>
    <row r="111" s="34">
      <c r="A111" s="40" t="inlineStr">
        <is>
          <t>102.01.03.0004</t>
        </is>
      </c>
      <c r="B111" s="40" t="inlineStr">
        <is>
          <t>Denizbank Eur TR970013400000055495400044</t>
        </is>
      </c>
      <c r="C111" s="40" t="inlineStr">
        <is>
          <t>EUR</t>
        </is>
      </c>
      <c r="D111" s="40" t="inlineStr">
        <is>
          <t>GİTAŞ MERKEZ</t>
        </is>
      </c>
      <c r="E111" s="38" t="n">
        <v>1708312.66</v>
      </c>
      <c r="F111" s="38" t="n">
        <v>755620.2</v>
      </c>
      <c r="G111" s="38" t="n">
        <v>952692.46</v>
      </c>
      <c r="H111" s="40" t="inlineStr">
        <is>
          <t>Borç</t>
        </is>
      </c>
      <c r="I111" s="38" t="n">
        <v>32202.2</v>
      </c>
      <c r="J111" s="38" t="n">
        <v>14217.15</v>
      </c>
      <c r="K111" s="38" t="n">
        <v>17985.05</v>
      </c>
      <c r="L111" s="40" t="inlineStr">
        <is>
          <t>Borç</t>
        </is>
      </c>
    </row>
    <row r="112" s="34">
      <c r="A112" s="40" t="inlineStr">
        <is>
          <t>102.01.03.0005</t>
        </is>
      </c>
      <c r="B112" s="40" t="inlineStr">
        <is>
          <t>Denizbank Eur TR280013400000073738800058</t>
        </is>
      </c>
      <c r="C112" s="40" t="inlineStr">
        <is>
          <t>EUR</t>
        </is>
      </c>
      <c r="D112" s="40" t="inlineStr">
        <is>
          <t>SERTAŞ MERKEZ</t>
        </is>
      </c>
      <c r="E112" s="38" t="n">
        <v>3451731.54</v>
      </c>
      <c r="F112" s="38" t="n">
        <v>1087082.65</v>
      </c>
      <c r="G112" s="38" t="n">
        <v>2364648.89</v>
      </c>
      <c r="H112" s="40" t="inlineStr">
        <is>
          <t>Borç</t>
        </is>
      </c>
      <c r="I112" s="38" t="n">
        <v>65140.43</v>
      </c>
      <c r="J112" s="38" t="n">
        <v>20453.61</v>
      </c>
      <c r="K112" s="38" t="n">
        <v>44686.82</v>
      </c>
      <c r="L112" s="40" t="inlineStr">
        <is>
          <t>Borç</t>
        </is>
      </c>
    </row>
    <row r="113" s="34">
      <c r="A113" s="40" t="inlineStr">
        <is>
          <t>102.01.03.0006</t>
        </is>
      </c>
      <c r="B113" s="40" t="inlineStr">
        <is>
          <t>Denizbank Eur TR230013400000668693200006</t>
        </is>
      </c>
      <c r="C113" s="40" t="inlineStr">
        <is>
          <t>EUR</t>
        </is>
      </c>
      <c r="D113" s="40" t="inlineStr">
        <is>
          <t>ROYAL ADAM EVE</t>
        </is>
      </c>
      <c r="E113" s="38" t="n">
        <v>1386793.19</v>
      </c>
      <c r="F113" s="38" t="n">
        <v>735096.9</v>
      </c>
      <c r="G113" s="38" t="n">
        <v>651696.29</v>
      </c>
      <c r="H113" s="40" t="inlineStr">
        <is>
          <t>Borç</t>
        </is>
      </c>
      <c r="I113" s="38" t="n">
        <v>26065.24</v>
      </c>
      <c r="J113" s="38" t="n">
        <v>13831</v>
      </c>
      <c r="K113" s="38" t="n">
        <v>12234.24</v>
      </c>
      <c r="L113" s="40" t="inlineStr">
        <is>
          <t>Borç</t>
        </is>
      </c>
    </row>
    <row r="114" s="34">
      <c r="A114" s="40" t="inlineStr">
        <is>
          <t>102.01.03.0007</t>
        </is>
      </c>
      <c r="B114" s="40" t="inlineStr">
        <is>
          <t>Garanti Eur-Gt TR270006200001400009092557</t>
        </is>
      </c>
      <c r="C114" s="40" t="inlineStr">
        <is>
          <t>EUR</t>
        </is>
      </c>
      <c r="D114" s="40" t="inlineStr">
        <is>
          <t>GİTAŞ MERKEZ</t>
        </is>
      </c>
      <c r="E114" s="38" t="n">
        <v>2658801.12</v>
      </c>
      <c r="F114" s="38" t="n">
        <v>1198800.03</v>
      </c>
      <c r="G114" s="38" t="n">
        <v>1460001.09</v>
      </c>
      <c r="H114" s="40" t="inlineStr">
        <is>
          <t>Borç</t>
        </is>
      </c>
      <c r="I114" s="38" t="n">
        <v>50007.22</v>
      </c>
      <c r="J114" s="38" t="n">
        <v>22555.67</v>
      </c>
      <c r="K114" s="38" t="n">
        <v>27451.55</v>
      </c>
      <c r="L114" s="40" t="inlineStr">
        <is>
          <t>Borç</t>
        </is>
      </c>
    </row>
    <row r="115" s="34">
      <c r="A115" s="40" t="inlineStr">
        <is>
          <t>102.01.03.0008</t>
        </is>
      </c>
      <c r="B115" s="40" t="inlineStr">
        <is>
          <t>Garanti Eur TR700006200001400009092559</t>
        </is>
      </c>
      <c r="C115" s="40" t="inlineStr">
        <is>
          <t>EUR</t>
        </is>
      </c>
      <c r="D115" s="40" t="inlineStr">
        <is>
          <t>SERTAŞ MERKEZ</t>
        </is>
      </c>
      <c r="E115" s="38" t="n">
        <v>22696813.1</v>
      </c>
      <c r="F115" s="38" t="n">
        <v>11095855.9</v>
      </c>
      <c r="G115" s="38" t="n">
        <v>11600957.2</v>
      </c>
      <c r="H115" s="40" t="inlineStr">
        <is>
          <t>Borç</t>
        </is>
      </c>
      <c r="I115" s="38" t="n">
        <v>426986.45</v>
      </c>
      <c r="J115" s="38" t="n">
        <v>208770.82</v>
      </c>
      <c r="K115" s="38" t="n">
        <v>218215.63</v>
      </c>
      <c r="L115" s="40" t="inlineStr">
        <is>
          <t>Borç</t>
        </is>
      </c>
    </row>
    <row r="116" s="34">
      <c r="A116" s="40" t="inlineStr">
        <is>
          <t>102.01.03.0009</t>
        </is>
      </c>
      <c r="B116" s="40" t="inlineStr">
        <is>
          <t>Garanti Eur TR220006200001400009094296</t>
        </is>
      </c>
      <c r="C116" s="40" t="inlineStr">
        <is>
          <t>EUR</t>
        </is>
      </c>
      <c r="D116" s="40" t="inlineStr">
        <is>
          <t>ROYAL ADAM EVE</t>
        </is>
      </c>
      <c r="E116" s="38" t="n">
        <v>2365951.68</v>
      </c>
      <c r="F116" s="38" t="n">
        <v>1839553.03</v>
      </c>
      <c r="G116" s="38" t="n">
        <v>526398.65</v>
      </c>
      <c r="H116" s="40" t="inlineStr">
        <is>
          <t>Borç</t>
        </is>
      </c>
      <c r="I116" s="38" t="n">
        <v>44437.06</v>
      </c>
      <c r="J116" s="38" t="n">
        <v>34611.57</v>
      </c>
      <c r="K116" s="38" t="n">
        <v>9825.49</v>
      </c>
      <c r="L116" s="40" t="inlineStr">
        <is>
          <t>Borç</t>
        </is>
      </c>
    </row>
    <row r="117" s="34">
      <c r="A117" s="40" t="inlineStr">
        <is>
          <t>102.01.03.0010</t>
        </is>
      </c>
      <c r="B117" s="40" t="inlineStr">
        <is>
          <t>Halkbank Eur-Gt TR080001200962400058000127</t>
        </is>
      </c>
      <c r="C117" s="40" t="inlineStr">
        <is>
          <t>EUR</t>
        </is>
      </c>
      <c r="D117" s="40" t="inlineStr">
        <is>
          <t>GİTAŞ MERKEZ</t>
        </is>
      </c>
      <c r="E117" s="38" t="n">
        <v>69015458.25</v>
      </c>
      <c r="F117" s="38" t="n">
        <v>67994909.19</v>
      </c>
      <c r="G117" s="38" t="n">
        <v>1020549.06</v>
      </c>
      <c r="H117" s="40" t="inlineStr">
        <is>
          <t>Borç</t>
        </is>
      </c>
      <c r="I117" s="38" t="n">
        <v>1299400.15</v>
      </c>
      <c r="J117" s="38" t="n">
        <v>1276694.82</v>
      </c>
      <c r="K117" s="38" t="n">
        <v>22705.33</v>
      </c>
      <c r="L117" s="40" t="inlineStr">
        <is>
          <t>Borç</t>
        </is>
      </c>
    </row>
    <row r="118" s="34">
      <c r="A118" s="40" t="inlineStr">
        <is>
          <t>102.01.03.0011</t>
        </is>
      </c>
      <c r="B118" s="40" t="inlineStr">
        <is>
          <t>Halkbank Eur TR780001200962400058000128</t>
        </is>
      </c>
      <c r="C118" s="40" t="inlineStr">
        <is>
          <t>EUR</t>
        </is>
      </c>
      <c r="D118" s="40" t="inlineStr">
        <is>
          <t>SERTAŞ MERKEZ</t>
        </is>
      </c>
      <c r="E118" s="38" t="n">
        <v>234571367.54</v>
      </c>
      <c r="F118" s="38" t="n">
        <v>208854094.6</v>
      </c>
      <c r="G118" s="38" t="n">
        <v>25717272.94</v>
      </c>
      <c r="H118" s="40" t="inlineStr">
        <is>
          <t>Borç</t>
        </is>
      </c>
      <c r="I118" s="38" t="n">
        <v>4420068.91</v>
      </c>
      <c r="J118" s="38" t="n">
        <v>3934515.81</v>
      </c>
      <c r="K118" s="38" t="n">
        <v>485553.1</v>
      </c>
      <c r="L118" s="40" t="inlineStr">
        <is>
          <t>Borç</t>
        </is>
      </c>
    </row>
    <row r="119" s="34">
      <c r="A119" s="40" t="inlineStr">
        <is>
          <t>102.01.03.0012</t>
        </is>
      </c>
      <c r="B119" s="40" t="inlineStr">
        <is>
          <t>Halkbank Eur TR420001200962400058000485</t>
        </is>
      </c>
      <c r="C119" s="40" t="inlineStr">
        <is>
          <t>EUR</t>
        </is>
      </c>
      <c r="D119" s="40" t="inlineStr">
        <is>
          <t>ROYAL ADAM EVE</t>
        </is>
      </c>
      <c r="E119" s="38" t="n">
        <v>28402701.64</v>
      </c>
      <c r="F119" s="38" t="n">
        <v>1404830.22</v>
      </c>
      <c r="G119" s="38" t="n">
        <v>26997871.42</v>
      </c>
      <c r="H119" s="40" t="inlineStr">
        <is>
          <t>Borç</t>
        </is>
      </c>
      <c r="I119" s="38" t="n">
        <v>538995.78</v>
      </c>
      <c r="J119" s="38" t="n">
        <v>26473.78</v>
      </c>
      <c r="K119" s="38" t="n">
        <v>512522</v>
      </c>
      <c r="L119" s="40" t="inlineStr">
        <is>
          <t>Borç</t>
        </is>
      </c>
    </row>
    <row r="120" s="34">
      <c r="A120" s="40" t="inlineStr">
        <is>
          <t>102.01.03.0013</t>
        </is>
      </c>
      <c r="B120" s="40" t="inlineStr">
        <is>
          <t>İş Bankası Eur-Gt TR060006400000262150010083</t>
        </is>
      </c>
      <c r="C120" s="40" t="inlineStr">
        <is>
          <t>EUR</t>
        </is>
      </c>
      <c r="D120" s="40" t="inlineStr">
        <is>
          <t>GİTAŞ MERKEZ</t>
        </is>
      </c>
      <c r="E120" s="38" t="n">
        <v>1089039.6</v>
      </c>
      <c r="F120" s="38" t="n">
        <v>2991.01</v>
      </c>
      <c r="G120" s="38" t="n">
        <v>1086048.59</v>
      </c>
      <c r="H120" s="40" t="inlineStr">
        <is>
          <t>Borç</t>
        </is>
      </c>
      <c r="I120" s="38" t="n">
        <v>20551.32</v>
      </c>
      <c r="J120" s="38" t="n">
        <v>56.37</v>
      </c>
      <c r="K120" s="38" t="n">
        <v>20494.95</v>
      </c>
      <c r="L120" s="40" t="inlineStr">
        <is>
          <t>Borç</t>
        </is>
      </c>
    </row>
    <row r="121" s="34">
      <c r="A121" s="40" t="inlineStr">
        <is>
          <t>102.01.03.0014</t>
        </is>
      </c>
      <c r="B121" s="40" t="inlineStr">
        <is>
          <t>İş Bankası Eur TR340006400000262150010064</t>
        </is>
      </c>
      <c r="C121" s="40" t="inlineStr">
        <is>
          <t>EUR</t>
        </is>
      </c>
      <c r="D121" s="40" t="inlineStr">
        <is>
          <t>SERTAŞ MERKEZ</t>
        </is>
      </c>
      <c r="E121" s="38" t="n">
        <v>2439251.88</v>
      </c>
      <c r="F121" s="38" t="n">
        <v>0</v>
      </c>
      <c r="G121" s="38" t="n">
        <v>2439251.88</v>
      </c>
      <c r="H121" s="40" t="inlineStr">
        <is>
          <t>Borç</t>
        </is>
      </c>
      <c r="I121" s="38" t="n">
        <v>45863.83</v>
      </c>
      <c r="J121" s="38" t="n">
        <v>0</v>
      </c>
      <c r="K121" s="38" t="n">
        <v>45863.83</v>
      </c>
      <c r="L121" s="40" t="inlineStr">
        <is>
          <t>Borç</t>
        </is>
      </c>
    </row>
    <row r="122" s="34">
      <c r="A122" s="40" t="inlineStr">
        <is>
          <t>102.01.03.0015</t>
        </is>
      </c>
      <c r="B122" s="40" t="inlineStr">
        <is>
          <t>İş Bankası Eur TR030006400000262150001989</t>
        </is>
      </c>
      <c r="C122" s="40" t="inlineStr">
        <is>
          <t>EUR</t>
        </is>
      </c>
      <c r="D122" s="40" t="inlineStr">
        <is>
          <t>ROYAL ADAM EVE</t>
        </is>
      </c>
      <c r="E122" s="38" t="n">
        <v>952614.49</v>
      </c>
      <c r="F122" s="38" t="n">
        <v>0</v>
      </c>
      <c r="G122" s="38" t="n">
        <v>952614.49</v>
      </c>
      <c r="H122" s="40" t="inlineStr">
        <is>
          <t>Borç</t>
        </is>
      </c>
      <c r="I122" s="38" t="n">
        <v>17925.62</v>
      </c>
      <c r="J122" s="38" t="n">
        <v>0</v>
      </c>
      <c r="K122" s="38" t="n">
        <v>17925.62</v>
      </c>
      <c r="L122" s="40" t="inlineStr">
        <is>
          <t>Borç</t>
        </is>
      </c>
    </row>
    <row r="123" s="34">
      <c r="A123" s="40" t="inlineStr">
        <is>
          <t>102.01.03.0016</t>
        </is>
      </c>
      <c r="B123" s="40" t="inlineStr">
        <is>
          <t>Vakıfbank Eur-Gt TR350001500158048013919799</t>
        </is>
      </c>
      <c r="C123" s="40" t="inlineStr">
        <is>
          <t>EUR</t>
        </is>
      </c>
      <c r="D123" s="40" t="inlineStr">
        <is>
          <t>GİTAŞ MERKEZ</t>
        </is>
      </c>
      <c r="E123" s="38" t="n">
        <v>40157275.93</v>
      </c>
      <c r="F123" s="38" t="n">
        <v>16482356.16</v>
      </c>
      <c r="G123" s="38" t="n">
        <v>23674919.77</v>
      </c>
      <c r="H123" s="40" t="inlineStr">
        <is>
          <t>Borç</t>
        </is>
      </c>
      <c r="I123" s="38" t="n">
        <v>753701.1800000001</v>
      </c>
      <c r="J123" s="38" t="n">
        <v>307519.46</v>
      </c>
      <c r="K123" s="38" t="n">
        <v>446181.72</v>
      </c>
      <c r="L123" s="40" t="inlineStr">
        <is>
          <t>Borç</t>
        </is>
      </c>
    </row>
    <row r="124" s="34">
      <c r="A124" s="40" t="inlineStr">
        <is>
          <t>102.01.03.0017</t>
        </is>
      </c>
      <c r="B124" s="40" t="inlineStr">
        <is>
          <t>Vakıfbank Eur TR880001500158048013919815</t>
        </is>
      </c>
      <c r="C124" s="40" t="inlineStr">
        <is>
          <t>EUR</t>
        </is>
      </c>
      <c r="D124" s="40" t="inlineStr">
        <is>
          <t>SERTAŞ MERKEZ</t>
        </is>
      </c>
      <c r="E124" s="38" t="n">
        <v>207459233.49</v>
      </c>
      <c r="F124" s="38" t="n">
        <v>42211155.79</v>
      </c>
      <c r="G124" s="38" t="n">
        <v>165248077.7</v>
      </c>
      <c r="H124" s="40" t="inlineStr">
        <is>
          <t>Borç</t>
        </is>
      </c>
      <c r="I124" s="38" t="n">
        <v>3910088.46</v>
      </c>
      <c r="J124" s="38" t="n">
        <v>789031.51</v>
      </c>
      <c r="K124" s="38" t="n">
        <v>3121056.95</v>
      </c>
      <c r="L124" s="40" t="inlineStr">
        <is>
          <t>Borç</t>
        </is>
      </c>
    </row>
    <row r="125" s="34">
      <c r="A125" s="40" t="inlineStr">
        <is>
          <t>102.01.03.0018</t>
        </is>
      </c>
      <c r="B125" s="40" t="inlineStr">
        <is>
          <t>Vakıfbank Eur TR950001500158048014868737</t>
        </is>
      </c>
      <c r="C125" s="40" t="inlineStr">
        <is>
          <t>EUR</t>
        </is>
      </c>
      <c r="D125" s="40" t="inlineStr">
        <is>
          <t>ROYAL ADAM EVE</t>
        </is>
      </c>
      <c r="E125" s="38" t="n">
        <v>15422418.79</v>
      </c>
      <c r="F125" s="38" t="n">
        <v>804400.3100000001</v>
      </c>
      <c r="G125" s="38" t="n">
        <v>14618018.48</v>
      </c>
      <c r="H125" s="40" t="inlineStr">
        <is>
          <t>Borç</t>
        </is>
      </c>
      <c r="I125" s="38" t="n">
        <v>290005.94</v>
      </c>
      <c r="J125" s="38" t="n">
        <v>15110.18</v>
      </c>
      <c r="K125" s="38" t="n">
        <v>274895.76</v>
      </c>
      <c r="L125" s="40" t="inlineStr">
        <is>
          <t>Borç</t>
        </is>
      </c>
    </row>
    <row r="126" s="34">
      <c r="A126" s="40" t="inlineStr">
        <is>
          <t>102.01.03.0019</t>
        </is>
      </c>
      <c r="B126" s="40" t="inlineStr">
        <is>
          <t>Yapı Kredi Eur-Gt TR280006701000000083248292</t>
        </is>
      </c>
      <c r="C126" s="40" t="inlineStr">
        <is>
          <t>EUR</t>
        </is>
      </c>
      <c r="D126" s="40" t="inlineStr">
        <is>
          <t>GİTAŞ MERKEZ</t>
        </is>
      </c>
      <c r="E126" s="38" t="n">
        <v>1717773.37</v>
      </c>
      <c r="F126" s="38" t="n">
        <v>1891045.6</v>
      </c>
      <c r="G126" s="38" t="n">
        <v>-173272.23</v>
      </c>
      <c r="H126" s="40" t="inlineStr">
        <is>
          <t>Alacak</t>
        </is>
      </c>
      <c r="I126" s="38" t="n">
        <v>32300.79</v>
      </c>
      <c r="J126" s="38" t="n">
        <v>35580.3</v>
      </c>
      <c r="K126" s="38" t="n">
        <v>-3279.51</v>
      </c>
      <c r="L126" s="40" t="inlineStr">
        <is>
          <t>Alacak</t>
        </is>
      </c>
    </row>
    <row r="127" s="34">
      <c r="A127" s="40" t="inlineStr">
        <is>
          <t>102.01.03.0020</t>
        </is>
      </c>
      <c r="B127" s="40" t="inlineStr">
        <is>
          <t>Yapı Kredi Eur TR590006701000000084342670</t>
        </is>
      </c>
      <c r="C127" s="40" t="inlineStr">
        <is>
          <t>EUR</t>
        </is>
      </c>
      <c r="D127" s="40" t="inlineStr">
        <is>
          <t>SERTAŞ MERKEZ</t>
        </is>
      </c>
      <c r="E127" s="38" t="n">
        <v>3100655.8</v>
      </c>
      <c r="F127" s="38" t="n">
        <v>3656164.89</v>
      </c>
      <c r="G127" s="38" t="n">
        <v>-555509.09</v>
      </c>
      <c r="H127" s="40" t="inlineStr">
        <is>
          <t>Alacak</t>
        </is>
      </c>
      <c r="I127" s="38" t="n">
        <v>58328.81</v>
      </c>
      <c r="J127" s="38" t="n">
        <v>68791.50999999999</v>
      </c>
      <c r="K127" s="38" t="n">
        <v>-10462.7</v>
      </c>
      <c r="L127" s="40" t="inlineStr">
        <is>
          <t>Alacak</t>
        </is>
      </c>
    </row>
    <row r="128" s="34">
      <c r="A128" s="40" t="inlineStr">
        <is>
          <t>102.01.03.0021</t>
        </is>
      </c>
      <c r="B128" s="40" t="inlineStr">
        <is>
          <t>Yapı Kredi Eur TR710006701000000048785261</t>
        </is>
      </c>
      <c r="C128" s="40" t="inlineStr">
        <is>
          <t>EUR</t>
        </is>
      </c>
      <c r="D128" s="40" t="inlineStr">
        <is>
          <t>ROYAL ADAM EVE</t>
        </is>
      </c>
      <c r="E128" s="38" t="n">
        <v>1017575.84</v>
      </c>
      <c r="F128" s="38" t="n">
        <v>1234218</v>
      </c>
      <c r="G128" s="38" t="n">
        <v>-216642.16</v>
      </c>
      <c r="H128" s="40" t="inlineStr">
        <is>
          <t>Alacak</t>
        </is>
      </c>
      <c r="I128" s="38" t="n">
        <v>19100</v>
      </c>
      <c r="J128" s="38" t="n">
        <v>23222.07</v>
      </c>
      <c r="K128" s="38" t="n">
        <v>-4122.07</v>
      </c>
      <c r="L128" s="40" t="inlineStr">
        <is>
          <t>Alacak</t>
        </is>
      </c>
    </row>
    <row r="129" s="34">
      <c r="A129" s="40" t="inlineStr">
        <is>
          <t>102.01.03.0022</t>
        </is>
      </c>
      <c r="B129" s="40" t="inlineStr">
        <is>
          <t>Ziraat Bankası Eur-Gt TR810001002084620937635002</t>
        </is>
      </c>
      <c r="C129" s="40" t="inlineStr">
        <is>
          <t>EUR</t>
        </is>
      </c>
      <c r="D129" s="40" t="inlineStr">
        <is>
          <t>GİTAŞ MERKEZ</t>
        </is>
      </c>
      <c r="E129" s="38" t="n">
        <v>61012628.06</v>
      </c>
      <c r="F129" s="38" t="n">
        <v>67509017.34</v>
      </c>
      <c r="G129" s="38" t="n">
        <v>-6496389.28</v>
      </c>
      <c r="H129" s="40" t="inlineStr">
        <is>
          <t>Alacak</t>
        </is>
      </c>
      <c r="I129" s="38" t="n">
        <v>1149880.42</v>
      </c>
      <c r="J129" s="38" t="n">
        <v>1270035.42</v>
      </c>
      <c r="K129" s="38" t="n">
        <v>-120155</v>
      </c>
      <c r="L129" s="40" t="inlineStr">
        <is>
          <t>Alacak</t>
        </is>
      </c>
    </row>
    <row r="130" s="34">
      <c r="A130" s="40" t="inlineStr">
        <is>
          <t>102.01.03.0023</t>
        </is>
      </c>
      <c r="B130" s="40" t="inlineStr">
        <is>
          <t>Ziraat Bankası Eur TR530001002084594898545002</t>
        </is>
      </c>
      <c r="C130" s="40" t="inlineStr">
        <is>
          <t>EUR</t>
        </is>
      </c>
      <c r="D130" s="40" t="inlineStr">
        <is>
          <t>SERTAŞ MERKEZ</t>
        </is>
      </c>
      <c r="E130" s="38" t="n">
        <v>1310349515.32</v>
      </c>
      <c r="F130" s="38" t="n">
        <v>1220950980.81</v>
      </c>
      <c r="G130" s="38" t="n">
        <v>89398534.51000001</v>
      </c>
      <c r="H130" s="40" t="inlineStr">
        <is>
          <t>Borç</t>
        </is>
      </c>
      <c r="I130" s="38" t="n">
        <v>24553999.79</v>
      </c>
      <c r="J130" s="38" t="n">
        <v>22869600.63</v>
      </c>
      <c r="K130" s="38" t="n">
        <v>1684399.16</v>
      </c>
      <c r="L130" s="40" t="inlineStr">
        <is>
          <t>Borç</t>
        </is>
      </c>
    </row>
    <row r="131" s="34">
      <c r="A131" s="40" t="inlineStr">
        <is>
          <t>102.01.03.0024</t>
        </is>
      </c>
      <c r="B131" s="40" t="inlineStr">
        <is>
          <t>Ziraat Bankası Eur TR230001002084587835065003</t>
        </is>
      </c>
      <c r="C131" s="40" t="inlineStr">
        <is>
          <t>EUR</t>
        </is>
      </c>
      <c r="D131" s="40" t="inlineStr">
        <is>
          <t>ROYAL ADAM EVE</t>
        </is>
      </c>
      <c r="E131" s="38" t="n">
        <v>49554104.11</v>
      </c>
      <c r="F131" s="38" t="n">
        <v>3997640.81</v>
      </c>
      <c r="G131" s="38" t="n">
        <v>45556463.3</v>
      </c>
      <c r="H131" s="40" t="inlineStr">
        <is>
          <t>Borç</t>
        </is>
      </c>
      <c r="I131" s="38" t="n">
        <v>929574.37</v>
      </c>
      <c r="J131" s="38" t="n">
        <v>75035.41</v>
      </c>
      <c r="K131" s="38" t="n">
        <v>854538.96</v>
      </c>
      <c r="L131" s="40" t="inlineStr">
        <is>
          <t>Borç</t>
        </is>
      </c>
    </row>
    <row r="132" s="34">
      <c r="A132" s="40" t="inlineStr">
        <is>
          <t>102.01.03.0025</t>
        </is>
      </c>
      <c r="B132" s="40" t="inlineStr">
        <is>
          <t>Finansbank Akdeniz Eur TR360011100000000014151675</t>
        </is>
      </c>
      <c r="C132" s="40" t="inlineStr">
        <is>
          <t>EUR</t>
        </is>
      </c>
      <c r="D132" s="40" t="inlineStr">
        <is>
          <t>SERTAŞ MERKEZ</t>
        </is>
      </c>
      <c r="E132" s="38" t="n">
        <v>209265.04</v>
      </c>
      <c r="F132" s="38" t="n">
        <v>0</v>
      </c>
      <c r="G132" s="38" t="n">
        <v>209265.04</v>
      </c>
      <c r="H132" s="40" t="inlineStr">
        <is>
          <t>Borç</t>
        </is>
      </c>
      <c r="I132" s="38" t="n">
        <v>3924</v>
      </c>
      <c r="J132" s="38" t="n">
        <v>0</v>
      </c>
      <c r="K132" s="38" t="n">
        <v>3924</v>
      </c>
      <c r="L132" s="40" t="inlineStr">
        <is>
          <t>Borç</t>
        </is>
      </c>
    </row>
    <row r="133" s="34">
      <c r="A133" s="40" t="inlineStr">
        <is>
          <t>102.01.04</t>
        </is>
      </c>
      <c r="B133" s="40" t="inlineStr">
        <is>
          <t>BANKALAR GBP HESABI</t>
        </is>
      </c>
      <c r="C133" s="40" t="inlineStr">
        <is>
          <t>GBP</t>
        </is>
      </c>
      <c r="E133" s="38" t="n">
        <v>4711377.91</v>
      </c>
      <c r="F133" s="38" t="n">
        <v>0</v>
      </c>
      <c r="G133" s="38" t="n">
        <v>4711377.91</v>
      </c>
      <c r="I133" s="38" t="n">
        <v>72726.05</v>
      </c>
      <c r="J133" s="38" t="n">
        <v>0</v>
      </c>
      <c r="K133" s="38" t="n">
        <v>72726.05</v>
      </c>
    </row>
    <row r="134" s="34">
      <c r="A134" s="40" t="inlineStr">
        <is>
          <t>102.01.04.0001</t>
        </is>
      </c>
      <c r="B134" s="40" t="inlineStr">
        <is>
          <t>Akbank Gbp TR960004600849003000025531</t>
        </is>
      </c>
      <c r="C134" s="40" t="inlineStr">
        <is>
          <t>GBP</t>
        </is>
      </c>
      <c r="D134" s="40" t="inlineStr">
        <is>
          <t>SERTAŞ MERKEZ</t>
        </is>
      </c>
      <c r="E134" s="38" t="n">
        <v>3693824.34</v>
      </c>
      <c r="F134" s="38" t="n">
        <v>0</v>
      </c>
      <c r="G134" s="38" t="n">
        <v>3693824.34</v>
      </c>
      <c r="H134" s="40" t="inlineStr">
        <is>
          <t>Borç</t>
        </is>
      </c>
      <c r="I134" s="38" t="n">
        <v>60149.75</v>
      </c>
      <c r="J134" s="38" t="n">
        <v>0</v>
      </c>
      <c r="K134" s="38" t="n">
        <v>60149.75</v>
      </c>
      <c r="L134" s="40" t="inlineStr">
        <is>
          <t>Borç</t>
        </is>
      </c>
    </row>
    <row r="135" s="34">
      <c r="A135" s="40" t="inlineStr">
        <is>
          <t>102.01.04.0002</t>
        </is>
      </c>
      <c r="B135" s="40" t="inlineStr">
        <is>
          <t>Akbank Gbp TR420004600849003000025533</t>
        </is>
      </c>
      <c r="C135" s="40" t="inlineStr">
        <is>
          <t>GBP</t>
        </is>
      </c>
      <c r="D135" s="40" t="inlineStr">
        <is>
          <t>ROYAL ADAM EVE</t>
        </is>
      </c>
      <c r="E135" s="38" t="n">
        <v>39087.3</v>
      </c>
      <c r="F135" s="38" t="n">
        <v>0</v>
      </c>
      <c r="G135" s="38" t="n">
        <v>39087.3</v>
      </c>
      <c r="H135" s="40" t="inlineStr">
        <is>
          <t>Borç</t>
        </is>
      </c>
      <c r="I135" s="38" t="n">
        <v>640</v>
      </c>
      <c r="J135" s="38" t="n">
        <v>0</v>
      </c>
      <c r="K135" s="38" t="n">
        <v>640</v>
      </c>
      <c r="L135" s="40" t="inlineStr">
        <is>
          <t>Borç</t>
        </is>
      </c>
    </row>
    <row r="136" s="34">
      <c r="A136" s="40" t="inlineStr">
        <is>
          <t>102.01.04.0003</t>
        </is>
      </c>
      <c r="B136" s="40" t="inlineStr">
        <is>
          <t>Akbank Gbp TR690004600849003000025532</t>
        </is>
      </c>
      <c r="C136" s="40" t="inlineStr">
        <is>
          <t>GBP</t>
        </is>
      </c>
      <c r="D136" s="40" t="inlineStr">
        <is>
          <t>GİTAŞ MERKEZ</t>
        </is>
      </c>
      <c r="E136" s="38" t="n">
        <v>636606.49</v>
      </c>
      <c r="F136" s="38" t="n">
        <v>0</v>
      </c>
      <c r="G136" s="38" t="n">
        <v>636606.49</v>
      </c>
      <c r="H136" s="40" t="inlineStr">
        <is>
          <t>Borç</t>
        </is>
      </c>
      <c r="I136" s="38" t="n">
        <v>10386.3</v>
      </c>
      <c r="J136" s="38" t="n">
        <v>0</v>
      </c>
      <c r="K136" s="38" t="n">
        <v>10386.3</v>
      </c>
      <c r="L136" s="40" t="inlineStr">
        <is>
          <t>Borç</t>
        </is>
      </c>
    </row>
    <row r="137" s="34">
      <c r="A137" s="40" t="inlineStr">
        <is>
          <t>102.01.04.0008</t>
        </is>
      </c>
      <c r="B137" s="40" t="inlineStr">
        <is>
          <t>Vakıfbank Gbp TR070001500158048019672403</t>
        </is>
      </c>
      <c r="C137" s="40" t="inlineStr">
        <is>
          <t>GBP</t>
        </is>
      </c>
      <c r="D137" s="40" t="inlineStr">
        <is>
          <t>GİTAŞ MERKEZ</t>
        </is>
      </c>
      <c r="E137" s="38" t="n">
        <v>88315.63</v>
      </c>
      <c r="F137" s="38" t="n">
        <v>0</v>
      </c>
      <c r="G137" s="38" t="n">
        <v>88315.63</v>
      </c>
      <c r="H137" s="40" t="inlineStr">
        <is>
          <t>Borç</t>
        </is>
      </c>
      <c r="I137" s="38" t="n">
        <v>0</v>
      </c>
      <c r="J137" s="38" t="n">
        <v>0</v>
      </c>
      <c r="K137" s="38" t="n">
        <v>0</v>
      </c>
    </row>
    <row r="138" s="34">
      <c r="A138" s="40" t="inlineStr">
        <is>
          <t>102.01.04.0009</t>
        </is>
      </c>
      <c r="B138" s="40" t="inlineStr">
        <is>
          <t>Vakıfbank Gbp TR980001500158048019672317</t>
        </is>
      </c>
      <c r="C138" s="40" t="inlineStr">
        <is>
          <t>GBP</t>
        </is>
      </c>
      <c r="D138" s="40" t="inlineStr">
        <is>
          <t>SERTAŞ MERKEZ</t>
        </is>
      </c>
      <c r="E138" s="38" t="n">
        <v>157596.05</v>
      </c>
      <c r="F138" s="38" t="n">
        <v>0</v>
      </c>
      <c r="G138" s="38" t="n">
        <v>157596.05</v>
      </c>
      <c r="H138" s="40" t="inlineStr">
        <is>
          <t>Borç</t>
        </is>
      </c>
      <c r="I138" s="38" t="n">
        <v>0</v>
      </c>
      <c r="J138" s="38" t="n">
        <v>0</v>
      </c>
      <c r="K138" s="38" t="n">
        <v>0</v>
      </c>
    </row>
    <row r="139" s="34">
      <c r="A139" s="40" t="inlineStr">
        <is>
          <t>102.01.04.0015</t>
        </is>
      </c>
      <c r="B139" s="40" t="inlineStr">
        <is>
          <t>Ziraat Bankası Gbp TR350001002084594898545035</t>
        </is>
      </c>
      <c r="C139" s="40" t="inlineStr">
        <is>
          <t>GBP</t>
        </is>
      </c>
      <c r="D139" s="40" t="inlineStr">
        <is>
          <t>SERTAŞ MERKEZ</t>
        </is>
      </c>
      <c r="E139" s="38" t="n">
        <v>95948.10000000001</v>
      </c>
      <c r="F139" s="38" t="n">
        <v>0</v>
      </c>
      <c r="G139" s="38" t="n">
        <v>95948.10000000001</v>
      </c>
      <c r="H139" s="40" t="inlineStr">
        <is>
          <t>Borç</t>
        </is>
      </c>
      <c r="I139" s="38" t="n">
        <v>1550</v>
      </c>
      <c r="J139" s="38" t="n">
        <v>0</v>
      </c>
      <c r="K139" s="38" t="n">
        <v>1550</v>
      </c>
      <c r="L139" s="40" t="inlineStr">
        <is>
          <t>Borç</t>
        </is>
      </c>
    </row>
    <row r="140" s="34">
      <c r="A140" s="40" t="inlineStr">
        <is>
          <t>102.01.06</t>
        </is>
      </c>
      <c r="B140" s="40" t="inlineStr">
        <is>
          <t>BANKALAR VADELİ TL HESABI</t>
        </is>
      </c>
      <c r="C140" s="40" t="inlineStr">
        <is>
          <t>TRY</t>
        </is>
      </c>
      <c r="E140" s="38" t="n">
        <v>73043140.55</v>
      </c>
      <c r="F140" s="38" t="n">
        <v>91274796.23999999</v>
      </c>
      <c r="G140" s="38" t="n">
        <v>-18231655.69</v>
      </c>
      <c r="I140" s="38" t="n">
        <v>73043140.55</v>
      </c>
      <c r="J140" s="38" t="n">
        <v>91274796.23999999</v>
      </c>
      <c r="K140" s="38" t="n">
        <v>-18231655.69</v>
      </c>
    </row>
    <row r="141" s="34">
      <c r="A141" s="40" t="inlineStr">
        <is>
          <t>102.01.06.0001</t>
        </is>
      </c>
      <c r="B141" s="40" t="inlineStr">
        <is>
          <t>Halkbank Vadeli TL</t>
        </is>
      </c>
      <c r="C141" s="40" t="inlineStr">
        <is>
          <t>TRY</t>
        </is>
      </c>
      <c r="D141" s="40" t="inlineStr">
        <is>
          <t>SERTAŞ MERKEZ</t>
        </is>
      </c>
      <c r="E141" s="38" t="n">
        <v>6000000</v>
      </c>
      <c r="F141" s="38" t="n">
        <v>6029294.14</v>
      </c>
      <c r="G141" s="38" t="n">
        <v>-29294.14</v>
      </c>
      <c r="H141" s="40" t="inlineStr">
        <is>
          <t>Alacak</t>
        </is>
      </c>
      <c r="I141" s="38" t="n">
        <v>6000000</v>
      </c>
      <c r="J141" s="38" t="n">
        <v>6029294.14</v>
      </c>
      <c r="K141" s="38" t="n">
        <v>-29294.14</v>
      </c>
      <c r="L141" s="40" t="inlineStr">
        <is>
          <t>Alacak</t>
        </is>
      </c>
    </row>
    <row r="142" s="34">
      <c r="A142" s="40" t="inlineStr">
        <is>
          <t>102.01.06.0003</t>
        </is>
      </c>
      <c r="B142" s="40" t="inlineStr">
        <is>
          <t>Vakıfbank Vadeli TL</t>
        </is>
      </c>
      <c r="C142" s="40" t="inlineStr">
        <is>
          <t>TRY</t>
        </is>
      </c>
      <c r="D142" s="40" t="inlineStr">
        <is>
          <t>GİTAŞ MERKEZ</t>
        </is>
      </c>
      <c r="E142" s="38" t="n">
        <v>16380574.45</v>
      </c>
      <c r="F142" s="38" t="n">
        <v>22896423.34</v>
      </c>
      <c r="G142" s="38" t="n">
        <v>-6515848.89</v>
      </c>
      <c r="H142" s="40" t="inlineStr">
        <is>
          <t>Alacak</t>
        </is>
      </c>
      <c r="I142" s="38" t="n">
        <v>16380574.45</v>
      </c>
      <c r="J142" s="38" t="n">
        <v>22896423.34</v>
      </c>
      <c r="K142" s="38" t="n">
        <v>-6515848.89</v>
      </c>
      <c r="L142" s="40" t="inlineStr">
        <is>
          <t>Alacak</t>
        </is>
      </c>
    </row>
    <row r="143" s="34">
      <c r="A143" s="40" t="inlineStr">
        <is>
          <t>102.01.06.0003</t>
        </is>
      </c>
      <c r="B143" s="40" t="inlineStr">
        <is>
          <t>Vakıfbank Vadeli TL</t>
        </is>
      </c>
      <c r="C143" s="40" t="inlineStr">
        <is>
          <t>TRY</t>
        </is>
      </c>
      <c r="D143" s="40" t="inlineStr">
        <is>
          <t>ROYAL ADAM EVE</t>
        </is>
      </c>
      <c r="E143" s="38" t="n">
        <v>4592586.49</v>
      </c>
      <c r="F143" s="38" t="n">
        <v>5719723.41</v>
      </c>
      <c r="G143" s="38" t="n">
        <v>-1127136.92</v>
      </c>
      <c r="H143" s="40" t="inlineStr">
        <is>
          <t>Alacak</t>
        </is>
      </c>
      <c r="I143" s="38" t="n">
        <v>4592586.49</v>
      </c>
      <c r="J143" s="38" t="n">
        <v>5719723.41</v>
      </c>
      <c r="K143" s="38" t="n">
        <v>-1127136.92</v>
      </c>
      <c r="L143" s="40" t="inlineStr">
        <is>
          <t>Alacak</t>
        </is>
      </c>
    </row>
    <row r="144" s="34">
      <c r="A144" s="40" t="inlineStr">
        <is>
          <t>102.01.06.0003</t>
        </is>
      </c>
      <c r="B144" s="40" t="inlineStr">
        <is>
          <t>Vakıfbank Vadeli TL</t>
        </is>
      </c>
      <c r="C144" s="40" t="inlineStr">
        <is>
          <t>TRY</t>
        </is>
      </c>
      <c r="D144" s="40" t="inlineStr">
        <is>
          <t>SERTAŞ MERKEZ</t>
        </is>
      </c>
      <c r="E144" s="38" t="n">
        <v>38769979.61</v>
      </c>
      <c r="F144" s="38" t="n">
        <v>49326982.06</v>
      </c>
      <c r="G144" s="38" t="n">
        <v>-10557002.45</v>
      </c>
      <c r="H144" s="40" t="inlineStr">
        <is>
          <t>Alacak</t>
        </is>
      </c>
      <c r="I144" s="38" t="n">
        <v>38769979.61</v>
      </c>
      <c r="J144" s="38" t="n">
        <v>49326982.06</v>
      </c>
      <c r="K144" s="38" t="n">
        <v>-10557002.45</v>
      </c>
      <c r="L144" s="40" t="inlineStr">
        <is>
          <t>Alacak</t>
        </is>
      </c>
    </row>
    <row r="145" s="34">
      <c r="A145" s="40" t="inlineStr">
        <is>
          <t>102.01.06.0004</t>
        </is>
      </c>
      <c r="B145" s="40" t="inlineStr">
        <is>
          <t>Ziraat Bankası Vadeli TL</t>
        </is>
      </c>
      <c r="C145" s="40" t="inlineStr">
        <is>
          <t>TRY</t>
        </is>
      </c>
      <c r="D145" s="40" t="inlineStr">
        <is>
          <t>SERTAŞ MERKEZ</t>
        </is>
      </c>
      <c r="E145" s="38" t="n">
        <v>3000000</v>
      </c>
      <c r="F145" s="38" t="n">
        <v>3002373.29</v>
      </c>
      <c r="G145" s="38" t="n">
        <v>-2373.29</v>
      </c>
      <c r="H145" s="40" t="inlineStr">
        <is>
          <t>Alacak</t>
        </is>
      </c>
      <c r="I145" s="38" t="n">
        <v>3000000</v>
      </c>
      <c r="J145" s="38" t="n">
        <v>3002373.29</v>
      </c>
      <c r="K145" s="38" t="n">
        <v>-2373.29</v>
      </c>
      <c r="L145" s="40" t="inlineStr">
        <is>
          <t>Alacak</t>
        </is>
      </c>
    </row>
    <row r="146" s="34">
      <c r="A146" s="40" t="inlineStr">
        <is>
          <t>102.01.06.0005</t>
        </is>
      </c>
      <c r="B146" s="40" t="inlineStr">
        <is>
          <t>Yapıkredi Bankası Vadeli TL</t>
        </is>
      </c>
      <c r="C146" s="40" t="inlineStr">
        <is>
          <t>TRY</t>
        </is>
      </c>
      <c r="D146" s="40" t="inlineStr">
        <is>
          <t>SERTAŞ MERKEZ</t>
        </is>
      </c>
      <c r="E146" s="38" t="n">
        <v>4300000</v>
      </c>
      <c r="F146" s="38" t="n">
        <v>4300000</v>
      </c>
      <c r="G146" s="38" t="n">
        <v>0</v>
      </c>
      <c r="I146" s="38" t="n">
        <v>4300000</v>
      </c>
      <c r="J146" s="38" t="n">
        <v>4300000</v>
      </c>
      <c r="K146" s="38" t="n">
        <v>0</v>
      </c>
    </row>
    <row r="147" s="34">
      <c r="A147" s="40" t="inlineStr">
        <is>
          <t>102.01.08</t>
        </is>
      </c>
      <c r="B147" s="40" t="inlineStr">
        <is>
          <t>BANKALAR VADELİ EUR HESABI</t>
        </is>
      </c>
      <c r="C147" s="40" t="inlineStr">
        <is>
          <t>EUR</t>
        </is>
      </c>
      <c r="E147" s="38" t="n">
        <v>1599227000</v>
      </c>
      <c r="F147" s="38" t="n">
        <v>1600271210.83</v>
      </c>
      <c r="G147" s="38" t="n">
        <v>-1044210.83</v>
      </c>
      <c r="I147" s="38" t="n">
        <v>30000000</v>
      </c>
      <c r="J147" s="38" t="n">
        <v>30019654.74</v>
      </c>
      <c r="K147" s="38" t="n">
        <v>-19654.74</v>
      </c>
    </row>
    <row r="148" s="34">
      <c r="A148" s="40" t="inlineStr">
        <is>
          <t>102.01.08.0002</t>
        </is>
      </c>
      <c r="B148" s="40" t="inlineStr">
        <is>
          <t>Ziraat Bankası Vadeli Eur</t>
        </is>
      </c>
      <c r="C148" s="40" t="inlineStr">
        <is>
          <t>EUR</t>
        </is>
      </c>
      <c r="D148" s="40" t="inlineStr">
        <is>
          <t>SERTAŞ MERKEZ</t>
        </is>
      </c>
      <c r="E148" s="38" t="n">
        <v>1068084000</v>
      </c>
      <c r="F148" s="38" t="n">
        <v>0</v>
      </c>
      <c r="G148" s="38" t="n">
        <v>1068084000</v>
      </c>
      <c r="H148" s="40" t="inlineStr">
        <is>
          <t>Borç</t>
        </is>
      </c>
      <c r="I148" s="38" t="n">
        <v>20000000</v>
      </c>
      <c r="J148" s="38" t="n">
        <v>0</v>
      </c>
      <c r="K148" s="38" t="n">
        <v>20000000</v>
      </c>
      <c r="L148" s="40" t="inlineStr">
        <is>
          <t>Borç</t>
        </is>
      </c>
    </row>
    <row r="149" s="34">
      <c r="A149" s="40" t="inlineStr">
        <is>
          <t>102.01.08.0003</t>
        </is>
      </c>
      <c r="B149" s="40" t="inlineStr">
        <is>
          <t>Akbank Vadeli Euro</t>
        </is>
      </c>
      <c r="C149" s="40" t="inlineStr">
        <is>
          <t>EUR</t>
        </is>
      </c>
      <c r="D149" s="40" t="inlineStr">
        <is>
          <t>SERTAŞ MERKEZ</t>
        </is>
      </c>
      <c r="E149" s="38" t="n">
        <v>531143000</v>
      </c>
      <c r="F149" s="38" t="n">
        <v>1600271210.83</v>
      </c>
      <c r="G149" s="38" t="n">
        <v>-1069128210.83</v>
      </c>
      <c r="H149" s="40" t="inlineStr">
        <is>
          <t>Alacak</t>
        </is>
      </c>
      <c r="I149" s="38" t="n">
        <v>10000000</v>
      </c>
      <c r="J149" s="38" t="n">
        <v>30019654.74</v>
      </c>
      <c r="K149" s="38" t="n">
        <v>-20019654.74</v>
      </c>
      <c r="L149" s="40" t="inlineStr">
        <is>
          <t>Alacak</t>
        </is>
      </c>
    </row>
    <row r="150" s="34">
      <c r="A150" s="40" t="inlineStr">
        <is>
          <t>103</t>
        </is>
      </c>
      <c r="B150" s="40" t="inlineStr">
        <is>
          <t>VERİLEN ÇEK VE ÖDEME EMİRLERİ (-)</t>
        </is>
      </c>
      <c r="C150" s="40" t="inlineStr">
        <is>
          <t>TRY</t>
        </is>
      </c>
      <c r="E150" s="38" t="n">
        <v>84330589.94</v>
      </c>
      <c r="F150" s="38" t="n">
        <v>152557066.07</v>
      </c>
      <c r="G150" s="38" t="n">
        <v>-68226476.13</v>
      </c>
      <c r="I150" s="38" t="n">
        <v>82621383.45</v>
      </c>
      <c r="J150" s="38" t="n">
        <v>145672112.06</v>
      </c>
      <c r="K150" s="38" t="n">
        <v>-63050728.61</v>
      </c>
    </row>
    <row r="151" s="34">
      <c r="A151" s="40" t="inlineStr">
        <is>
          <t>103.01</t>
        </is>
      </c>
      <c r="B151" s="40" t="inlineStr">
        <is>
          <t>VERİLEN ÇEK VE ÖDEME EMİRLERİ (-)</t>
        </is>
      </c>
      <c r="C151" s="40" t="inlineStr">
        <is>
          <t>TRY</t>
        </is>
      </c>
      <c r="E151" s="38" t="n">
        <v>84330589.94</v>
      </c>
      <c r="F151" s="38" t="n">
        <v>152557066.07</v>
      </c>
      <c r="G151" s="38" t="n">
        <v>-68226476.13</v>
      </c>
      <c r="I151" s="38" t="n">
        <v>82621383.45</v>
      </c>
      <c r="J151" s="38" t="n">
        <v>145672112.06</v>
      </c>
      <c r="K151" s="38" t="n">
        <v>-63050728.61</v>
      </c>
    </row>
    <row r="152" s="34">
      <c r="A152" s="40" t="inlineStr">
        <is>
          <t>103.01.01</t>
        </is>
      </c>
      <c r="B152" s="40" t="inlineStr">
        <is>
          <t>VERİLEN TL ÇEKLERİ</t>
        </is>
      </c>
      <c r="C152" s="40" t="inlineStr">
        <is>
          <t>TRY</t>
        </is>
      </c>
      <c r="E152" s="38" t="n">
        <v>82588592.45</v>
      </c>
      <c r="F152" s="38" t="n">
        <v>145541402.47</v>
      </c>
      <c r="G152" s="38" t="n">
        <v>-62952810.02</v>
      </c>
      <c r="I152" s="38" t="n">
        <v>82588592.45</v>
      </c>
      <c r="J152" s="38" t="n">
        <v>145541402.47</v>
      </c>
      <c r="K152" s="38" t="n">
        <v>-62952810.02</v>
      </c>
    </row>
    <row r="153" s="34">
      <c r="A153" s="40" t="inlineStr">
        <is>
          <t>103.01.01.0005</t>
        </is>
      </c>
      <c r="B153" s="40" t="inlineStr">
        <is>
          <t>Mayıs Vadeli Verilen TL Çekler</t>
        </is>
      </c>
      <c r="C153" s="40" t="inlineStr">
        <is>
          <t>TRY</t>
        </is>
      </c>
      <c r="D153" s="40" t="inlineStr">
        <is>
          <t>ROYAL ADAM EVE</t>
        </is>
      </c>
      <c r="E153" s="38" t="n">
        <v>5909951.67</v>
      </c>
      <c r="F153" s="38" t="n">
        <v>0</v>
      </c>
      <c r="G153" s="38" t="n">
        <v>5909951.67</v>
      </c>
      <c r="H153" s="40" t="inlineStr">
        <is>
          <t>Borç</t>
        </is>
      </c>
      <c r="I153" s="38" t="n">
        <v>5909951.67</v>
      </c>
      <c r="J153" s="38" t="n">
        <v>0</v>
      </c>
      <c r="K153" s="38" t="n">
        <v>5909951.67</v>
      </c>
      <c r="L153" s="40" t="inlineStr">
        <is>
          <t>Borç</t>
        </is>
      </c>
    </row>
    <row r="154" s="34">
      <c r="A154" s="40" t="inlineStr">
        <is>
          <t>103.01.01.0005</t>
        </is>
      </c>
      <c r="B154" s="40" t="inlineStr">
        <is>
          <t>Mayıs Vadeli Verilen TL Çekler</t>
        </is>
      </c>
      <c r="C154" s="40" t="inlineStr">
        <is>
          <t>TRY</t>
        </is>
      </c>
      <c r="D154" s="40" t="inlineStr">
        <is>
          <t>ROYAL ALHAMBRA</t>
        </is>
      </c>
      <c r="E154" s="38" t="n">
        <v>1875599.51</v>
      </c>
      <c r="F154" s="38" t="n">
        <v>0</v>
      </c>
      <c r="G154" s="38" t="n">
        <v>1875599.51</v>
      </c>
      <c r="H154" s="40" t="inlineStr">
        <is>
          <t>Borç</t>
        </is>
      </c>
      <c r="I154" s="38" t="n">
        <v>1875599.51</v>
      </c>
      <c r="J154" s="38" t="n">
        <v>0</v>
      </c>
      <c r="K154" s="38" t="n">
        <v>1875599.51</v>
      </c>
      <c r="L154" s="40" t="inlineStr">
        <is>
          <t>Borç</t>
        </is>
      </c>
    </row>
    <row r="155" s="34">
      <c r="A155" s="40" t="inlineStr">
        <is>
          <t>103.01.01.0005</t>
        </is>
      </c>
      <c r="B155" s="40" t="inlineStr">
        <is>
          <t>Mayıs Vadeli Verilen TL Çekler</t>
        </is>
      </c>
      <c r="C155" s="40" t="inlineStr">
        <is>
          <t>TRY</t>
        </is>
      </c>
      <c r="D155" s="40" t="inlineStr">
        <is>
          <t>ROYAL DRAGON</t>
        </is>
      </c>
      <c r="E155" s="38" t="n">
        <v>5731560.31</v>
      </c>
      <c r="F155" s="38" t="n">
        <v>0</v>
      </c>
      <c r="G155" s="38" t="n">
        <v>5731560.31</v>
      </c>
      <c r="H155" s="40" t="inlineStr">
        <is>
          <t>Borç</t>
        </is>
      </c>
      <c r="I155" s="38" t="n">
        <v>5731560.31</v>
      </c>
      <c r="J155" s="38" t="n">
        <v>0</v>
      </c>
      <c r="K155" s="38" t="n">
        <v>5731560.31</v>
      </c>
      <c r="L155" s="40" t="inlineStr">
        <is>
          <t>Borç</t>
        </is>
      </c>
    </row>
    <row r="156" s="34">
      <c r="A156" s="40" t="inlineStr">
        <is>
          <t>103.01.01.0005</t>
        </is>
      </c>
      <c r="B156" s="40" t="inlineStr">
        <is>
          <t>Mayıs Vadeli Verilen TL Çekler</t>
        </is>
      </c>
      <c r="C156" s="40" t="inlineStr">
        <is>
          <t>TRY</t>
        </is>
      </c>
      <c r="D156" s="40" t="inlineStr">
        <is>
          <t>ROYAL HOLIDAY</t>
        </is>
      </c>
      <c r="E156" s="38" t="n">
        <v>6469684.81</v>
      </c>
      <c r="F156" s="38" t="n">
        <v>0</v>
      </c>
      <c r="G156" s="38" t="n">
        <v>6469684.81</v>
      </c>
      <c r="H156" s="40" t="inlineStr">
        <is>
          <t>Borç</t>
        </is>
      </c>
      <c r="I156" s="38" t="n">
        <v>6469684.81</v>
      </c>
      <c r="J156" s="38" t="n">
        <v>0</v>
      </c>
      <c r="K156" s="38" t="n">
        <v>6469684.81</v>
      </c>
      <c r="L156" s="40" t="inlineStr">
        <is>
          <t>Borç</t>
        </is>
      </c>
    </row>
    <row r="157" s="34">
      <c r="A157" s="40" t="inlineStr">
        <is>
          <t>103.01.01.0005</t>
        </is>
      </c>
      <c r="B157" s="40" t="inlineStr">
        <is>
          <t>Mayıs Vadeli Verilen TL Çekler</t>
        </is>
      </c>
      <c r="C157" s="40" t="inlineStr">
        <is>
          <t>TRY</t>
        </is>
      </c>
      <c r="D157" s="40" t="inlineStr">
        <is>
          <t>ROYAL SEGINUS</t>
        </is>
      </c>
      <c r="E157" s="38" t="n">
        <v>27863820.1</v>
      </c>
      <c r="F157" s="38" t="n">
        <v>0</v>
      </c>
      <c r="G157" s="38" t="n">
        <v>27863820.1</v>
      </c>
      <c r="H157" s="40" t="inlineStr">
        <is>
          <t>Borç</t>
        </is>
      </c>
      <c r="I157" s="38" t="n">
        <v>27863820.1</v>
      </c>
      <c r="J157" s="38" t="n">
        <v>0</v>
      </c>
      <c r="K157" s="38" t="n">
        <v>27863820.1</v>
      </c>
      <c r="L157" s="40" t="inlineStr">
        <is>
          <t>Borç</t>
        </is>
      </c>
    </row>
    <row r="158" s="34">
      <c r="A158" s="40" t="inlineStr">
        <is>
          <t>103.01.01.0006</t>
        </is>
      </c>
      <c r="B158" s="40" t="inlineStr">
        <is>
          <t>Haziran Vadeli Verilen TL Çekler</t>
        </is>
      </c>
      <c r="C158" s="40" t="inlineStr">
        <is>
          <t>TRY</t>
        </is>
      </c>
      <c r="D158" s="40" t="inlineStr">
        <is>
          <t>GİTAŞ MERKEZ</t>
        </is>
      </c>
      <c r="E158" s="38" t="n">
        <v>3015535</v>
      </c>
      <c r="F158" s="38" t="n">
        <v>22589891.12</v>
      </c>
      <c r="G158" s="38" t="n">
        <v>-19574356.12</v>
      </c>
      <c r="H158" s="40" t="inlineStr">
        <is>
          <t>Alacak</t>
        </is>
      </c>
      <c r="I158" s="38" t="n">
        <v>3015535</v>
      </c>
      <c r="J158" s="38" t="n">
        <v>22589891.12</v>
      </c>
      <c r="K158" s="38" t="n">
        <v>-19574356.12</v>
      </c>
      <c r="L158" s="40" t="inlineStr">
        <is>
          <t>Alacak</t>
        </is>
      </c>
    </row>
    <row r="159" s="34">
      <c r="A159" s="40" t="inlineStr">
        <is>
          <t>103.01.01.0006</t>
        </is>
      </c>
      <c r="B159" s="40" t="inlineStr">
        <is>
          <t>Haziran Vadeli Verilen TL Çekler</t>
        </is>
      </c>
      <c r="C159" s="40" t="inlineStr">
        <is>
          <t>TRY</t>
        </is>
      </c>
      <c r="D159" s="40" t="inlineStr">
        <is>
          <t>ROYAL ADAM EVE</t>
        </is>
      </c>
      <c r="E159" s="38" t="n">
        <v>5494453.14</v>
      </c>
      <c r="F159" s="38" t="n">
        <v>24096683.39</v>
      </c>
      <c r="G159" s="38" t="n">
        <v>-18602230.25</v>
      </c>
      <c r="H159" s="40" t="inlineStr">
        <is>
          <t>Alacak</t>
        </is>
      </c>
      <c r="I159" s="38" t="n">
        <v>5494453.14</v>
      </c>
      <c r="J159" s="38" t="n">
        <v>24096683.39</v>
      </c>
      <c r="K159" s="38" t="n">
        <v>-18602230.25</v>
      </c>
      <c r="L159" s="40" t="inlineStr">
        <is>
          <t>Alacak</t>
        </is>
      </c>
    </row>
    <row r="160" s="34">
      <c r="A160" s="40" t="inlineStr">
        <is>
          <t>103.01.01.0006</t>
        </is>
      </c>
      <c r="B160" s="40" t="inlineStr">
        <is>
          <t>Haziran Vadeli Verilen TL Çekler</t>
        </is>
      </c>
      <c r="C160" s="40" t="inlineStr">
        <is>
          <t>TRY</t>
        </is>
      </c>
      <c r="D160" s="40" t="inlineStr">
        <is>
          <t>ROYAL ALHAMBRA</t>
        </is>
      </c>
      <c r="E160" s="38" t="n">
        <v>1361867.13</v>
      </c>
      <c r="F160" s="38" t="n">
        <v>0</v>
      </c>
      <c r="G160" s="38" t="n">
        <v>1361867.13</v>
      </c>
      <c r="H160" s="40" t="inlineStr">
        <is>
          <t>Borç</t>
        </is>
      </c>
      <c r="I160" s="38" t="n">
        <v>1361867.13</v>
      </c>
      <c r="J160" s="38" t="n">
        <v>0</v>
      </c>
      <c r="K160" s="38" t="n">
        <v>1361867.13</v>
      </c>
      <c r="L160" s="40" t="inlineStr">
        <is>
          <t>Borç</t>
        </is>
      </c>
    </row>
    <row r="161" s="34">
      <c r="A161" s="40" t="inlineStr">
        <is>
          <t>103.01.01.0006</t>
        </is>
      </c>
      <c r="B161" s="40" t="inlineStr">
        <is>
          <t>Haziran Vadeli Verilen TL Çekler</t>
        </is>
      </c>
      <c r="C161" s="40" t="inlineStr">
        <is>
          <t>TRY</t>
        </is>
      </c>
      <c r="D161" s="40" t="inlineStr">
        <is>
          <t>ROYAL DRAGON</t>
        </is>
      </c>
      <c r="E161" s="38" t="n">
        <v>6786071.61</v>
      </c>
      <c r="F161" s="38" t="n">
        <v>0</v>
      </c>
      <c r="G161" s="38" t="n">
        <v>6786071.61</v>
      </c>
      <c r="H161" s="40" t="inlineStr">
        <is>
          <t>Borç</t>
        </is>
      </c>
      <c r="I161" s="38" t="n">
        <v>6786071.61</v>
      </c>
      <c r="J161" s="38" t="n">
        <v>0</v>
      </c>
      <c r="K161" s="38" t="n">
        <v>6786071.61</v>
      </c>
      <c r="L161" s="40" t="inlineStr">
        <is>
          <t>Borç</t>
        </is>
      </c>
    </row>
    <row r="162" s="34">
      <c r="A162" s="40" t="inlineStr">
        <is>
          <t>103.01.01.0006</t>
        </is>
      </c>
      <c r="B162" s="40" t="inlineStr">
        <is>
          <t>Haziran Vadeli Verilen TL Çekler</t>
        </is>
      </c>
      <c r="C162" s="40" t="inlineStr">
        <is>
          <t>TRY</t>
        </is>
      </c>
      <c r="D162" s="40" t="inlineStr">
        <is>
          <t>ROYAL HOLIDAY</t>
        </is>
      </c>
      <c r="E162" s="38" t="n">
        <v>6747741.93</v>
      </c>
      <c r="F162" s="38" t="n">
        <v>0</v>
      </c>
      <c r="G162" s="38" t="n">
        <v>6747741.93</v>
      </c>
      <c r="H162" s="40" t="inlineStr">
        <is>
          <t>Borç</t>
        </is>
      </c>
      <c r="I162" s="38" t="n">
        <v>6747741.93</v>
      </c>
      <c r="J162" s="38" t="n">
        <v>0</v>
      </c>
      <c r="K162" s="38" t="n">
        <v>6747741.93</v>
      </c>
      <c r="L162" s="40" t="inlineStr">
        <is>
          <t>Borç</t>
        </is>
      </c>
    </row>
    <row r="163" s="34">
      <c r="A163" s="40" t="inlineStr">
        <is>
          <t>103.01.01.0006</t>
        </is>
      </c>
      <c r="B163" s="40" t="inlineStr">
        <is>
          <t>Haziran Vadeli Verilen TL Çekler</t>
        </is>
      </c>
      <c r="C163" s="40" t="inlineStr">
        <is>
          <t>TRY</t>
        </is>
      </c>
      <c r="D163" s="40" t="inlineStr">
        <is>
          <t>ROYAL SEGINUS</t>
        </is>
      </c>
      <c r="E163" s="38" t="n">
        <v>3840322</v>
      </c>
      <c r="F163" s="38" t="n">
        <v>0</v>
      </c>
      <c r="G163" s="38" t="n">
        <v>3840322</v>
      </c>
      <c r="H163" s="40" t="inlineStr">
        <is>
          <t>Borç</t>
        </is>
      </c>
      <c r="I163" s="38" t="n">
        <v>3840322</v>
      </c>
      <c r="J163" s="38" t="n">
        <v>0</v>
      </c>
      <c r="K163" s="38" t="n">
        <v>3840322</v>
      </c>
      <c r="L163" s="40" t="inlineStr">
        <is>
          <t>Borç</t>
        </is>
      </c>
    </row>
    <row r="164" s="34">
      <c r="A164" s="40" t="inlineStr">
        <is>
          <t>103.01.01.0006</t>
        </is>
      </c>
      <c r="B164" s="40" t="inlineStr">
        <is>
          <t>Haziran Vadeli Verilen TL Çekler</t>
        </is>
      </c>
      <c r="C164" s="40" t="inlineStr">
        <is>
          <t>TRY</t>
        </is>
      </c>
      <c r="D164" s="40" t="inlineStr">
        <is>
          <t>SERTAŞ MERKEZ</t>
        </is>
      </c>
      <c r="E164" s="38" t="n">
        <v>7481785.24</v>
      </c>
      <c r="F164" s="38" t="n">
        <v>42078258.36</v>
      </c>
      <c r="G164" s="38" t="n">
        <v>-34596473.12</v>
      </c>
      <c r="H164" s="40" t="inlineStr">
        <is>
          <t>Alacak</t>
        </is>
      </c>
      <c r="I164" s="38" t="n">
        <v>7481785.24</v>
      </c>
      <c r="J164" s="38" t="n">
        <v>42078258.36</v>
      </c>
      <c r="K164" s="38" t="n">
        <v>-34596473.12</v>
      </c>
      <c r="L164" s="40" t="inlineStr">
        <is>
          <t>Alacak</t>
        </is>
      </c>
    </row>
    <row r="165" s="34">
      <c r="A165" s="40" t="inlineStr">
        <is>
          <t>103.01.01.0007</t>
        </is>
      </c>
      <c r="B165" s="40" t="inlineStr">
        <is>
          <t>Temmuz Vadeli Verilen TL Çekler</t>
        </is>
      </c>
      <c r="C165" s="40" t="inlineStr">
        <is>
          <t>TRY</t>
        </is>
      </c>
      <c r="D165" s="40" t="inlineStr">
        <is>
          <t>GİTAŞ MERKEZ</t>
        </is>
      </c>
      <c r="E165" s="38" t="n">
        <v>0</v>
      </c>
      <c r="F165" s="38" t="n">
        <v>14343321.62</v>
      </c>
      <c r="G165" s="38" t="n">
        <v>-14343321.62</v>
      </c>
      <c r="H165" s="40" t="inlineStr">
        <is>
          <t>Alacak</t>
        </is>
      </c>
      <c r="I165" s="38" t="n">
        <v>0</v>
      </c>
      <c r="J165" s="38" t="n">
        <v>14343321.62</v>
      </c>
      <c r="K165" s="38" t="n">
        <v>-14343321.62</v>
      </c>
      <c r="L165" s="40" t="inlineStr">
        <is>
          <t>Alacak</t>
        </is>
      </c>
    </row>
    <row r="166" s="34">
      <c r="A166" s="40" t="inlineStr">
        <is>
          <t>103.01.01.0007</t>
        </is>
      </c>
      <c r="B166" s="40" t="inlineStr">
        <is>
          <t>Temmuz Vadeli Verilen TL Çekler</t>
        </is>
      </c>
      <c r="C166" s="40" t="inlineStr">
        <is>
          <t>TRY</t>
        </is>
      </c>
      <c r="D166" s="40" t="inlineStr">
        <is>
          <t>ROYAL ADAM EVE</t>
        </is>
      </c>
      <c r="E166" s="38" t="n">
        <v>0</v>
      </c>
      <c r="F166" s="38" t="n">
        <v>7972824.38</v>
      </c>
      <c r="G166" s="38" t="n">
        <v>-7972824.38</v>
      </c>
      <c r="H166" s="40" t="inlineStr">
        <is>
          <t>Alacak</t>
        </is>
      </c>
      <c r="I166" s="38" t="n">
        <v>0</v>
      </c>
      <c r="J166" s="38" t="n">
        <v>7972824.38</v>
      </c>
      <c r="K166" s="38" t="n">
        <v>-7972824.38</v>
      </c>
      <c r="L166" s="40" t="inlineStr">
        <is>
          <t>Alacak</t>
        </is>
      </c>
    </row>
    <row r="167" s="34">
      <c r="A167" s="40" t="inlineStr">
        <is>
          <t>103.01.01.0007</t>
        </is>
      </c>
      <c r="B167" s="40" t="inlineStr">
        <is>
          <t>Temmuz Vadeli Verilen TL Çekler</t>
        </is>
      </c>
      <c r="C167" s="40" t="inlineStr">
        <is>
          <t>TRY</t>
        </is>
      </c>
      <c r="D167" s="40" t="inlineStr">
        <is>
          <t>SERTAŞ MERKEZ</t>
        </is>
      </c>
      <c r="E167" s="38" t="n">
        <v>10200</v>
      </c>
      <c r="F167" s="38" t="n">
        <v>27518066.71</v>
      </c>
      <c r="G167" s="38" t="n">
        <v>-27507866.71</v>
      </c>
      <c r="H167" s="40" t="inlineStr">
        <is>
          <t>Alacak</t>
        </is>
      </c>
      <c r="I167" s="38" t="n">
        <v>10200</v>
      </c>
      <c r="J167" s="38" t="n">
        <v>27518066.71</v>
      </c>
      <c r="K167" s="38" t="n">
        <v>-27507866.71</v>
      </c>
      <c r="L167" s="40" t="inlineStr">
        <is>
          <t>Alacak</t>
        </is>
      </c>
    </row>
    <row r="168" s="34">
      <c r="A168" s="40" t="inlineStr">
        <is>
          <t>103.01.01.0008</t>
        </is>
      </c>
      <c r="B168" s="40" t="inlineStr">
        <is>
          <t>Ağustos Vadeli Verilen TL Çekler</t>
        </is>
      </c>
      <c r="C168" s="40" t="inlineStr">
        <is>
          <t>TRY</t>
        </is>
      </c>
      <c r="D168" s="40" t="inlineStr">
        <is>
          <t>GİTAŞ MERKEZ</t>
        </is>
      </c>
      <c r="E168" s="38" t="n">
        <v>0</v>
      </c>
      <c r="F168" s="38" t="n">
        <v>6942356.89</v>
      </c>
      <c r="G168" s="38" t="n">
        <v>-6942356.89</v>
      </c>
      <c r="H168" s="40" t="inlineStr">
        <is>
          <t>Alacak</t>
        </is>
      </c>
      <c r="I168" s="38" t="n">
        <v>0</v>
      </c>
      <c r="J168" s="38" t="n">
        <v>6942356.89</v>
      </c>
      <c r="K168" s="38" t="n">
        <v>-6942356.89</v>
      </c>
      <c r="L168" s="40" t="inlineStr">
        <is>
          <t>Alacak</t>
        </is>
      </c>
    </row>
    <row r="169" s="34">
      <c r="A169" s="40" t="inlineStr">
        <is>
          <t>103.01.03</t>
        </is>
      </c>
      <c r="B169" s="40" t="inlineStr">
        <is>
          <t>VERİLEN EUR ÇEKLERİ</t>
        </is>
      </c>
      <c r="C169" s="40" t="inlineStr">
        <is>
          <t>TRY</t>
        </is>
      </c>
      <c r="E169" s="38" t="n">
        <v>1741997.49</v>
      </c>
      <c r="F169" s="38" t="n">
        <v>7015663.6</v>
      </c>
      <c r="G169" s="38" t="n">
        <v>-5273666.11</v>
      </c>
      <c r="I169" s="38" t="n">
        <v>32791</v>
      </c>
      <c r="J169" s="38" t="n">
        <v>130709.59</v>
      </c>
      <c r="K169" s="38" t="n">
        <v>-97918.59</v>
      </c>
    </row>
    <row r="170" s="34">
      <c r="A170" s="40" t="inlineStr">
        <is>
          <t>103.01.03.0004</t>
        </is>
      </c>
      <c r="B170" s="40" t="inlineStr">
        <is>
          <t>Nisan Vadeli Verilen Eur Çekler</t>
        </is>
      </c>
      <c r="C170" s="40" t="inlineStr">
        <is>
          <t>EUR</t>
        </is>
      </c>
      <c r="D170" s="40" t="inlineStr">
        <is>
          <t>ROYAL SEGINUS</t>
        </is>
      </c>
      <c r="E170" s="38" t="n">
        <v>0</v>
      </c>
      <c r="F170" s="38" t="n">
        <v>4206.81</v>
      </c>
      <c r="G170" s="38" t="n">
        <v>-4206.81</v>
      </c>
      <c r="H170" s="40" t="inlineStr">
        <is>
          <t>Alacak</t>
        </is>
      </c>
      <c r="I170" s="38" t="n">
        <v>0</v>
      </c>
      <c r="J170" s="38" t="n">
        <v>0</v>
      </c>
      <c r="K170" s="38" t="n">
        <v>0</v>
      </c>
    </row>
    <row r="171" s="34">
      <c r="A171" s="40" t="inlineStr">
        <is>
          <t>103.01.03.0005</t>
        </is>
      </c>
      <c r="B171" s="40" t="inlineStr">
        <is>
          <t>Mayıs Vadeli Verilen Eur Çekler</t>
        </is>
      </c>
      <c r="C171" s="40" t="inlineStr">
        <is>
          <t>EUR</t>
        </is>
      </c>
      <c r="D171" s="40" t="inlineStr">
        <is>
          <t>ROYAL DRAGON</t>
        </is>
      </c>
      <c r="E171" s="38" t="n">
        <v>170902.51</v>
      </c>
      <c r="F171" s="38" t="n">
        <v>60.87</v>
      </c>
      <c r="G171" s="38" t="n">
        <v>170841.64</v>
      </c>
      <c r="H171" s="40" t="inlineStr">
        <is>
          <t>Borç</t>
        </is>
      </c>
      <c r="I171" s="38" t="n">
        <v>3216</v>
      </c>
      <c r="J171" s="38" t="n">
        <v>0</v>
      </c>
      <c r="K171" s="38" t="n">
        <v>3216</v>
      </c>
      <c r="L171" s="40" t="inlineStr">
        <is>
          <t>Borç</t>
        </is>
      </c>
    </row>
    <row r="172" s="34">
      <c r="A172" s="40" t="inlineStr">
        <is>
          <t>103.01.03.0005</t>
        </is>
      </c>
      <c r="B172" s="40" t="inlineStr">
        <is>
          <t>Mayıs Vadeli Verilen Eur Çekler</t>
        </is>
      </c>
      <c r="C172" s="40" t="inlineStr">
        <is>
          <t>EUR</t>
        </is>
      </c>
      <c r="D172" s="40" t="inlineStr">
        <is>
          <t>ROYAL SEGINUS</t>
        </is>
      </c>
      <c r="E172" s="38" t="n">
        <v>1571094.98</v>
      </c>
      <c r="F172" s="38" t="n">
        <v>62072.01</v>
      </c>
      <c r="G172" s="38" t="n">
        <v>1509022.97</v>
      </c>
      <c r="H172" s="40" t="inlineStr">
        <is>
          <t>Borç</t>
        </is>
      </c>
      <c r="I172" s="38" t="n">
        <v>29575</v>
      </c>
      <c r="J172" s="38" t="n">
        <v>0</v>
      </c>
      <c r="K172" s="38" t="n">
        <v>29575</v>
      </c>
      <c r="L172" s="40" t="inlineStr">
        <is>
          <t>Borç</t>
        </is>
      </c>
    </row>
    <row r="173" s="34">
      <c r="A173" s="40" t="inlineStr">
        <is>
          <t>103.01.03.0006</t>
        </is>
      </c>
      <c r="B173" s="40" t="inlineStr">
        <is>
          <t>Haziran Vadeli Verilen Eur Çekler</t>
        </is>
      </c>
      <c r="C173" s="40" t="inlineStr">
        <is>
          <t>EUR</t>
        </is>
      </c>
      <c r="D173" s="40" t="inlineStr">
        <is>
          <t>GİTAŞ MERKEZ</t>
        </is>
      </c>
      <c r="E173" s="38" t="n">
        <v>0</v>
      </c>
      <c r="F173" s="38" t="n">
        <v>1668255.84</v>
      </c>
      <c r="G173" s="38" t="n">
        <v>-1668255.84</v>
      </c>
      <c r="H173" s="40" t="inlineStr">
        <is>
          <t>Alacak</t>
        </is>
      </c>
      <c r="I173" s="38" t="n">
        <v>0</v>
      </c>
      <c r="J173" s="38" t="n">
        <v>31404</v>
      </c>
      <c r="K173" s="38" t="n">
        <v>-31404</v>
      </c>
      <c r="L173" s="40" t="inlineStr">
        <is>
          <t>Alacak</t>
        </is>
      </c>
    </row>
    <row r="174" s="34">
      <c r="A174" s="40" t="inlineStr">
        <is>
          <t>103.01.03.0006</t>
        </is>
      </c>
      <c r="B174" s="40" t="inlineStr">
        <is>
          <t>Haziran Vadeli Verilen Eur Çekler</t>
        </is>
      </c>
      <c r="C174" s="40" t="inlineStr">
        <is>
          <t>EUR</t>
        </is>
      </c>
      <c r="D174" s="40" t="inlineStr">
        <is>
          <t>ROYAL ADAM EVE</t>
        </is>
      </c>
      <c r="E174" s="38" t="n">
        <v>0</v>
      </c>
      <c r="F174" s="38" t="n">
        <v>1083696.96</v>
      </c>
      <c r="G174" s="38" t="n">
        <v>-1083696.96</v>
      </c>
      <c r="H174" s="40" t="inlineStr">
        <is>
          <t>Alacak</t>
        </is>
      </c>
      <c r="I174" s="38" t="n">
        <v>0</v>
      </c>
      <c r="J174" s="38" t="n">
        <v>20400</v>
      </c>
      <c r="K174" s="38" t="n">
        <v>-20400</v>
      </c>
      <c r="L174" s="40" t="inlineStr">
        <is>
          <t>Alacak</t>
        </is>
      </c>
    </row>
    <row r="175" s="34">
      <c r="A175" s="40" t="inlineStr">
        <is>
          <t>103.01.03.0006</t>
        </is>
      </c>
      <c r="B175" s="40" t="inlineStr">
        <is>
          <t>Haziran Vadeli Verilen Eur Çekler</t>
        </is>
      </c>
      <c r="C175" s="40" t="inlineStr">
        <is>
          <t>EUR</t>
        </is>
      </c>
      <c r="D175" s="40" t="inlineStr">
        <is>
          <t>SERTAŞ MERKEZ</t>
        </is>
      </c>
      <c r="E175" s="38" t="n">
        <v>0</v>
      </c>
      <c r="F175" s="38" t="n">
        <v>2643883.86</v>
      </c>
      <c r="G175" s="38" t="n">
        <v>-2643883.86</v>
      </c>
      <c r="H175" s="40" t="inlineStr">
        <is>
          <t>Alacak</t>
        </is>
      </c>
      <c r="I175" s="38" t="n">
        <v>0</v>
      </c>
      <c r="J175" s="38" t="n">
        <v>49533.74</v>
      </c>
      <c r="K175" s="38" t="n">
        <v>-49533.74</v>
      </c>
      <c r="L175" s="40" t="inlineStr">
        <is>
          <t>Alacak</t>
        </is>
      </c>
    </row>
    <row r="176" s="34">
      <c r="A176" s="40" t="inlineStr">
        <is>
          <t>103.01.03.0007</t>
        </is>
      </c>
      <c r="B176" s="40" t="inlineStr">
        <is>
          <t>Temmuz Vadeli Verilen Eur Çekler</t>
        </is>
      </c>
      <c r="C176" s="40" t="inlineStr">
        <is>
          <t>EUR</t>
        </is>
      </c>
      <c r="D176" s="40" t="inlineStr">
        <is>
          <t>GİTAŞ MERKEZ</t>
        </is>
      </c>
      <c r="E176" s="38" t="n">
        <v>0</v>
      </c>
      <c r="F176" s="38" t="n">
        <v>69081.21000000001</v>
      </c>
      <c r="G176" s="38" t="n">
        <v>-69081.21000000001</v>
      </c>
      <c r="H176" s="40" t="inlineStr">
        <is>
          <t>Alacak</t>
        </is>
      </c>
      <c r="I176" s="38" t="n">
        <v>0</v>
      </c>
      <c r="J176" s="38" t="n">
        <v>1305.17</v>
      </c>
      <c r="K176" s="38" t="n">
        <v>-1305.17</v>
      </c>
      <c r="L176" s="40" t="inlineStr">
        <is>
          <t>Alacak</t>
        </is>
      </c>
    </row>
    <row r="177" s="34">
      <c r="A177" s="40" t="inlineStr">
        <is>
          <t>103.01.03.0007</t>
        </is>
      </c>
      <c r="B177" s="40" t="inlineStr">
        <is>
          <t>Temmuz Vadeli Verilen Eur Çekler</t>
        </is>
      </c>
      <c r="C177" s="40" t="inlineStr">
        <is>
          <t>EUR</t>
        </is>
      </c>
      <c r="D177" s="40" t="inlineStr">
        <is>
          <t>ROYAL ADAM EVE</t>
        </is>
      </c>
      <c r="E177" s="38" t="n">
        <v>0</v>
      </c>
      <c r="F177" s="38" t="n">
        <v>67948.75</v>
      </c>
      <c r="G177" s="38" t="n">
        <v>-67948.75</v>
      </c>
      <c r="H177" s="40" t="inlineStr">
        <is>
          <t>Alacak</t>
        </is>
      </c>
      <c r="I177" s="38" t="n">
        <v>0</v>
      </c>
      <c r="J177" s="38" t="n">
        <v>1305.17</v>
      </c>
      <c r="K177" s="38" t="n">
        <v>-1305.17</v>
      </c>
      <c r="L177" s="40" t="inlineStr">
        <is>
          <t>Alacak</t>
        </is>
      </c>
    </row>
    <row r="178" s="34">
      <c r="A178" s="40" t="inlineStr">
        <is>
          <t>103.01.03.0007</t>
        </is>
      </c>
      <c r="B178" s="40" t="inlineStr">
        <is>
          <t>Temmuz Vadeli Verilen Eur Çekler</t>
        </is>
      </c>
      <c r="C178" s="40" t="inlineStr">
        <is>
          <t>EUR</t>
        </is>
      </c>
      <c r="D178" s="40" t="inlineStr">
        <is>
          <t>SERTAŞ MERKEZ</t>
        </is>
      </c>
      <c r="E178" s="38" t="n">
        <v>0</v>
      </c>
      <c r="F178" s="38" t="n">
        <v>1416457.29</v>
      </c>
      <c r="G178" s="38" t="n">
        <v>-1416457.29</v>
      </c>
      <c r="H178" s="40" t="inlineStr">
        <is>
          <t>Alacak</t>
        </is>
      </c>
      <c r="I178" s="38" t="n">
        <v>0</v>
      </c>
      <c r="J178" s="38" t="n">
        <v>26761.51</v>
      </c>
      <c r="K178" s="38" t="n">
        <v>-26761.51</v>
      </c>
      <c r="L178" s="40" t="inlineStr">
        <is>
          <t>Alacak</t>
        </is>
      </c>
    </row>
    <row r="179" s="34">
      <c r="A179" s="40" t="inlineStr">
        <is>
          <t>108</t>
        </is>
      </c>
      <c r="B179" s="40" t="inlineStr">
        <is>
          <t>DİĞER HAZIR DEĞERLER</t>
        </is>
      </c>
      <c r="C179" s="40" t="inlineStr">
        <is>
          <t>TRY</t>
        </is>
      </c>
      <c r="E179" s="38" t="n">
        <v>46110442.06</v>
      </c>
      <c r="F179" s="38" t="n">
        <v>44859966.83</v>
      </c>
      <c r="G179" s="38" t="n">
        <v>1250475.23</v>
      </c>
      <c r="I179" s="38" t="n">
        <v>17152403.51</v>
      </c>
      <c r="J179" s="38" t="n">
        <v>14169258.99</v>
      </c>
      <c r="K179" s="38" t="n">
        <v>2983144.52</v>
      </c>
    </row>
    <row r="180" s="34">
      <c r="A180" s="40" t="inlineStr">
        <is>
          <t>108.01</t>
        </is>
      </c>
      <c r="B180" s="40" t="inlineStr">
        <is>
          <t>KREDİ KARTLARI HESABI</t>
        </is>
      </c>
      <c r="C180" s="40" t="inlineStr">
        <is>
          <t>TRY</t>
        </is>
      </c>
      <c r="E180" s="38" t="n">
        <v>46110442.06</v>
      </c>
      <c r="F180" s="38" t="n">
        <v>44859966.83</v>
      </c>
      <c r="G180" s="38" t="n">
        <v>1250475.23</v>
      </c>
      <c r="I180" s="38" t="n">
        <v>17152403.51</v>
      </c>
      <c r="J180" s="38" t="n">
        <v>14169258.99</v>
      </c>
      <c r="K180" s="38" t="n">
        <v>2983144.52</v>
      </c>
    </row>
    <row r="181" s="34">
      <c r="A181" s="40" t="inlineStr">
        <is>
          <t>108.01.01</t>
        </is>
      </c>
      <c r="B181" s="40" t="inlineStr">
        <is>
          <t>TL POS HESABI</t>
        </is>
      </c>
      <c r="C181" s="40" t="inlineStr">
        <is>
          <t>TRY</t>
        </is>
      </c>
      <c r="E181" s="38" t="n">
        <v>46110442.06</v>
      </c>
      <c r="F181" s="38" t="n">
        <v>44859966.83</v>
      </c>
      <c r="G181" s="38" t="n">
        <v>1250475.23</v>
      </c>
      <c r="I181" s="38" t="n">
        <v>17152403.51</v>
      </c>
      <c r="J181" s="38" t="n">
        <v>14169258.99</v>
      </c>
      <c r="K181" s="38" t="n">
        <v>2983144.52</v>
      </c>
    </row>
    <row r="182" s="34">
      <c r="A182" s="40" t="inlineStr">
        <is>
          <t>108.01.01.0001</t>
        </is>
      </c>
      <c r="B182" s="40" t="inlineStr">
        <is>
          <t>TL Kredi Kartı Hesabı</t>
        </is>
      </c>
      <c r="C182" s="40" t="inlineStr">
        <is>
          <t>TRY</t>
        </is>
      </c>
      <c r="D182" s="40" t="inlineStr">
        <is>
          <t>GİTAŞ MERKEZ</t>
        </is>
      </c>
      <c r="E182" s="38" t="n">
        <v>124448.48</v>
      </c>
      <c r="F182" s="38" t="n">
        <v>1495026.92</v>
      </c>
      <c r="G182" s="38" t="n">
        <v>-1370578.44</v>
      </c>
      <c r="H182" s="40" t="inlineStr">
        <is>
          <t>Alacak</t>
        </is>
      </c>
      <c r="I182" s="38" t="n">
        <v>124448.48</v>
      </c>
      <c r="J182" s="38" t="n">
        <v>1495026.92</v>
      </c>
      <c r="K182" s="38" t="n">
        <v>-1370578.44</v>
      </c>
      <c r="L182" s="40" t="inlineStr">
        <is>
          <t>Alacak</t>
        </is>
      </c>
    </row>
    <row r="183" s="34">
      <c r="A183" s="40" t="inlineStr">
        <is>
          <t>108.01.01.0001</t>
        </is>
      </c>
      <c r="B183" s="40" t="inlineStr">
        <is>
          <t>TL Kredi Kartı Hesabı</t>
        </is>
      </c>
      <c r="C183" s="40" t="inlineStr">
        <is>
          <t>TRY</t>
        </is>
      </c>
      <c r="D183" s="40" t="inlineStr">
        <is>
          <t>ROYAL ADAM EVE</t>
        </is>
      </c>
      <c r="E183" s="38" t="n">
        <v>4823435.84</v>
      </c>
      <c r="F183" s="38" t="n">
        <v>6821656.27</v>
      </c>
      <c r="G183" s="38" t="n">
        <v>-1998220.43</v>
      </c>
      <c r="H183" s="40" t="inlineStr">
        <is>
          <t>Alacak</t>
        </is>
      </c>
      <c r="I183" s="38" t="n">
        <v>4823435.84</v>
      </c>
      <c r="J183" s="38" t="n">
        <v>6821656.27</v>
      </c>
      <c r="K183" s="38" t="n">
        <v>-1998220.43</v>
      </c>
      <c r="L183" s="40" t="inlineStr">
        <is>
          <t>Alacak</t>
        </is>
      </c>
    </row>
    <row r="184" s="34">
      <c r="A184" s="40" t="inlineStr">
        <is>
          <t>108.01.01.0001</t>
        </is>
      </c>
      <c r="B184" s="40" t="inlineStr">
        <is>
          <t>TL Kredi Kartı Hesabı</t>
        </is>
      </c>
      <c r="C184" s="40" t="inlineStr">
        <is>
          <t>TRY</t>
        </is>
      </c>
      <c r="D184" s="40" t="inlineStr">
        <is>
          <t>ROYAL ALHAMBRA</t>
        </is>
      </c>
      <c r="E184" s="38" t="n">
        <v>544162.66</v>
      </c>
      <c r="F184" s="38" t="n">
        <v>0</v>
      </c>
      <c r="G184" s="38" t="n">
        <v>544162.66</v>
      </c>
      <c r="H184" s="40" t="inlineStr">
        <is>
          <t>Borç</t>
        </is>
      </c>
      <c r="I184" s="38" t="n">
        <v>544162.66</v>
      </c>
      <c r="J184" s="38" t="n">
        <v>0</v>
      </c>
      <c r="K184" s="38" t="n">
        <v>544162.66</v>
      </c>
      <c r="L184" s="40" t="inlineStr">
        <is>
          <t>Borç</t>
        </is>
      </c>
    </row>
    <row r="185" s="34">
      <c r="A185" s="40" t="inlineStr">
        <is>
          <t>108.01.01.0001</t>
        </is>
      </c>
      <c r="B185" s="40" t="inlineStr">
        <is>
          <t>TL Kredi Kartı Hesabı</t>
        </is>
      </c>
      <c r="C185" s="40" t="inlineStr">
        <is>
          <t>TRY</t>
        </is>
      </c>
      <c r="D185" s="40" t="inlineStr">
        <is>
          <t>ROYAL DRAGON</t>
        </is>
      </c>
      <c r="E185" s="38" t="n">
        <v>61025.7</v>
      </c>
      <c r="F185" s="38" t="n">
        <v>0</v>
      </c>
      <c r="G185" s="38" t="n">
        <v>61025.7</v>
      </c>
      <c r="H185" s="40" t="inlineStr">
        <is>
          <t>Borç</t>
        </is>
      </c>
      <c r="I185" s="38" t="n">
        <v>61025.7</v>
      </c>
      <c r="J185" s="38" t="n">
        <v>0</v>
      </c>
      <c r="K185" s="38" t="n">
        <v>61025.7</v>
      </c>
      <c r="L185" s="40" t="inlineStr">
        <is>
          <t>Borç</t>
        </is>
      </c>
    </row>
    <row r="186" s="34">
      <c r="A186" s="40" t="inlineStr">
        <is>
          <t>108.01.01.0001</t>
        </is>
      </c>
      <c r="B186" s="40" t="inlineStr">
        <is>
          <t>TL Kredi Kartı Hesabı</t>
        </is>
      </c>
      <c r="C186" s="40" t="inlineStr">
        <is>
          <t>TRY</t>
        </is>
      </c>
      <c r="D186" s="40" t="inlineStr">
        <is>
          <t>ROYAL HOLIDAY</t>
        </is>
      </c>
      <c r="E186" s="38" t="n">
        <v>1301023.32</v>
      </c>
      <c r="F186" s="38" t="n">
        <v>0</v>
      </c>
      <c r="G186" s="38" t="n">
        <v>1301023.32</v>
      </c>
      <c r="H186" s="40" t="inlineStr">
        <is>
          <t>Borç</t>
        </is>
      </c>
      <c r="I186" s="38" t="n">
        <v>1301023.33</v>
      </c>
      <c r="J186" s="38" t="n">
        <v>0</v>
      </c>
      <c r="K186" s="38" t="n">
        <v>1301023.33</v>
      </c>
      <c r="L186" s="40" t="inlineStr">
        <is>
          <t>Borç</t>
        </is>
      </c>
    </row>
    <row r="187" s="34">
      <c r="A187" s="40" t="inlineStr">
        <is>
          <t>108.01.01.0001</t>
        </is>
      </c>
      <c r="B187" s="40" t="inlineStr">
        <is>
          <t>TL Kredi Kartı Hesabı</t>
        </is>
      </c>
      <c r="C187" s="40" t="inlineStr">
        <is>
          <t>TRY</t>
        </is>
      </c>
      <c r="D187" s="40" t="inlineStr">
        <is>
          <t>ROYAL SEGINUS</t>
        </is>
      </c>
      <c r="E187" s="38" t="n">
        <v>697968.21</v>
      </c>
      <c r="F187" s="38" t="n">
        <v>0</v>
      </c>
      <c r="G187" s="38" t="n">
        <v>697968.21</v>
      </c>
      <c r="H187" s="40" t="inlineStr">
        <is>
          <t>Borç</t>
        </is>
      </c>
      <c r="I187" s="38" t="n">
        <v>697968.21</v>
      </c>
      <c r="J187" s="38" t="n">
        <v>0</v>
      </c>
      <c r="K187" s="38" t="n">
        <v>697968.21</v>
      </c>
      <c r="L187" s="40" t="inlineStr">
        <is>
          <t>Borç</t>
        </is>
      </c>
    </row>
    <row r="188" s="34">
      <c r="A188" s="40" t="inlineStr">
        <is>
          <t>108.01.01.0001</t>
        </is>
      </c>
      <c r="B188" s="40" t="inlineStr">
        <is>
          <t>TL Kredi Kartı Hesabı</t>
        </is>
      </c>
      <c r="C188" s="40" t="inlineStr">
        <is>
          <t>TRY</t>
        </is>
      </c>
      <c r="D188" s="40" t="inlineStr">
        <is>
          <t>SERTAŞ MERKEZ</t>
        </is>
      </c>
      <c r="E188" s="38" t="n">
        <v>2849485.84</v>
      </c>
      <c r="F188" s="38" t="n">
        <v>5263991.04</v>
      </c>
      <c r="G188" s="38" t="n">
        <v>-2414505.2</v>
      </c>
      <c r="H188" s="40" t="inlineStr">
        <is>
          <t>Alacak</t>
        </is>
      </c>
      <c r="I188" s="38" t="n">
        <v>2849485.84</v>
      </c>
      <c r="J188" s="38" t="n">
        <v>5263991.04</v>
      </c>
      <c r="K188" s="38" t="n">
        <v>-2414505.2</v>
      </c>
      <c r="L188" s="40" t="inlineStr">
        <is>
          <t>Alacak</t>
        </is>
      </c>
    </row>
    <row r="189" s="34">
      <c r="A189" s="40" t="inlineStr">
        <is>
          <t>108.01.01.0002</t>
        </is>
      </c>
      <c r="B189" s="40" t="inlineStr">
        <is>
          <t>Usd Kredi Kartı Hesabı</t>
        </is>
      </c>
      <c r="C189" s="40" t="inlineStr">
        <is>
          <t>USD</t>
        </is>
      </c>
      <c r="D189" s="40" t="inlineStr">
        <is>
          <t>ROYAL SEGINUS</t>
        </is>
      </c>
      <c r="E189" s="38" t="n">
        <v>21468.86</v>
      </c>
      <c r="F189" s="38" t="n">
        <v>0</v>
      </c>
      <c r="G189" s="38" t="n">
        <v>21468.86</v>
      </c>
      <c r="H189" s="40" t="inlineStr">
        <is>
          <t>Borç</t>
        </is>
      </c>
      <c r="I189" s="38" t="n">
        <v>464.26</v>
      </c>
      <c r="J189" s="38" t="n">
        <v>0</v>
      </c>
      <c r="K189" s="38" t="n">
        <v>464.26</v>
      </c>
      <c r="L189" s="40" t="inlineStr">
        <is>
          <t>Borç</t>
        </is>
      </c>
    </row>
    <row r="190" s="34">
      <c r="A190" s="40" t="inlineStr">
        <is>
          <t>108.01.01.0002</t>
        </is>
      </c>
      <c r="B190" s="40" t="inlineStr">
        <is>
          <t>Usd Kredi Kartı Hesabı</t>
        </is>
      </c>
      <c r="C190" s="40" t="inlineStr">
        <is>
          <t>USD</t>
        </is>
      </c>
      <c r="D190" s="40" t="inlineStr">
        <is>
          <t>SERTAŞ MERKEZ</t>
        </is>
      </c>
      <c r="E190" s="38" t="n">
        <v>0</v>
      </c>
      <c r="F190" s="38" t="n">
        <v>21547.04</v>
      </c>
      <c r="G190" s="38" t="n">
        <v>-21547.04</v>
      </c>
      <c r="H190" s="40" t="inlineStr">
        <is>
          <t>Alacak</t>
        </is>
      </c>
      <c r="I190" s="38" t="n">
        <v>0</v>
      </c>
      <c r="J190" s="38" t="n">
        <v>464.25</v>
      </c>
      <c r="K190" s="38" t="n">
        <v>-464.25</v>
      </c>
      <c r="L190" s="40" t="inlineStr">
        <is>
          <t>Alacak</t>
        </is>
      </c>
    </row>
    <row r="191" s="34">
      <c r="A191" s="40" t="inlineStr">
        <is>
          <t>108.01.01.0003</t>
        </is>
      </c>
      <c r="B191" s="40" t="inlineStr">
        <is>
          <t>Euro Kredi Kartı Hesabı</t>
        </is>
      </c>
      <c r="C191" s="40" t="inlineStr">
        <is>
          <t>EUR</t>
        </is>
      </c>
      <c r="D191" s="40" t="inlineStr">
        <is>
          <t>GİTAŞ MERKEZ</t>
        </is>
      </c>
      <c r="E191" s="38" t="n">
        <v>14343.05</v>
      </c>
      <c r="F191" s="38" t="n">
        <v>4626055.89</v>
      </c>
      <c r="G191" s="38" t="n">
        <v>-4611712.84</v>
      </c>
      <c r="H191" s="40" t="inlineStr">
        <is>
          <t>Alacak</t>
        </is>
      </c>
      <c r="I191" s="38" t="n">
        <v>270</v>
      </c>
      <c r="J191" s="38" t="n">
        <v>87117.38</v>
      </c>
      <c r="K191" s="38" t="n">
        <v>-86847.38</v>
      </c>
      <c r="L191" s="40" t="inlineStr">
        <is>
          <t>Alacak</t>
        </is>
      </c>
    </row>
    <row r="192" s="34">
      <c r="A192" s="40" t="inlineStr">
        <is>
          <t>108.01.01.0003</t>
        </is>
      </c>
      <c r="B192" s="40" t="inlineStr">
        <is>
          <t>Euro Kredi Kartı Hesabı</t>
        </is>
      </c>
      <c r="C192" s="40" t="inlineStr">
        <is>
          <t>EUR</t>
        </is>
      </c>
      <c r="D192" s="40" t="inlineStr">
        <is>
          <t>ROYAL ADAM EVE</t>
        </is>
      </c>
      <c r="E192" s="38" t="n">
        <v>3472114.85</v>
      </c>
      <c r="F192" s="38" t="n">
        <v>3549923.66</v>
      </c>
      <c r="G192" s="38" t="n">
        <v>-77808.81</v>
      </c>
      <c r="H192" s="40" t="inlineStr">
        <is>
          <t>Alacak</t>
        </is>
      </c>
      <c r="I192" s="38" t="n">
        <v>65266.51</v>
      </c>
      <c r="J192" s="38" t="n">
        <v>66693.03</v>
      </c>
      <c r="K192" s="38" t="n">
        <v>-1426.52</v>
      </c>
      <c r="L192" s="40" t="inlineStr">
        <is>
          <t>Alacak</t>
        </is>
      </c>
    </row>
    <row r="193" s="34">
      <c r="A193" s="40" t="inlineStr">
        <is>
          <t>108.01.01.0003</t>
        </is>
      </c>
      <c r="B193" s="40" t="inlineStr">
        <is>
          <t>Euro Kredi Kartı Hesabı</t>
        </is>
      </c>
      <c r="C193" s="40" t="inlineStr">
        <is>
          <t>EUR</t>
        </is>
      </c>
      <c r="D193" s="40" t="inlineStr">
        <is>
          <t>ROYAL ALHAMBRA</t>
        </is>
      </c>
      <c r="E193" s="38" t="n">
        <v>1420655.7</v>
      </c>
      <c r="F193" s="38" t="n">
        <v>0</v>
      </c>
      <c r="G193" s="38" t="n">
        <v>1420655.7</v>
      </c>
      <c r="H193" s="40" t="inlineStr">
        <is>
          <t>Borç</t>
        </is>
      </c>
      <c r="I193" s="38" t="n">
        <v>26789.93</v>
      </c>
      <c r="J193" s="38" t="n">
        <v>0</v>
      </c>
      <c r="K193" s="38" t="n">
        <v>26789.93</v>
      </c>
      <c r="L193" s="40" t="inlineStr">
        <is>
          <t>Borç</t>
        </is>
      </c>
    </row>
    <row r="194" s="34">
      <c r="A194" s="40" t="inlineStr">
        <is>
          <t>108.01.01.0003</t>
        </is>
      </c>
      <c r="B194" s="40" t="inlineStr">
        <is>
          <t>Euro Kredi Kartı Hesabı</t>
        </is>
      </c>
      <c r="C194" s="40" t="inlineStr">
        <is>
          <t>EUR</t>
        </is>
      </c>
      <c r="D194" s="40" t="inlineStr">
        <is>
          <t>ROYAL DRAGON</t>
        </is>
      </c>
      <c r="E194" s="38" t="n">
        <v>1659802.84</v>
      </c>
      <c r="F194" s="38" t="n">
        <v>0</v>
      </c>
      <c r="G194" s="38" t="n">
        <v>1659802.84</v>
      </c>
      <c r="H194" s="40" t="inlineStr">
        <is>
          <t>Borç</t>
        </is>
      </c>
      <c r="I194" s="38" t="n">
        <v>31272.21</v>
      </c>
      <c r="J194" s="38" t="n">
        <v>0</v>
      </c>
      <c r="K194" s="38" t="n">
        <v>31272.21</v>
      </c>
      <c r="L194" s="40" t="inlineStr">
        <is>
          <t>Borç</t>
        </is>
      </c>
    </row>
    <row r="195" s="34">
      <c r="A195" s="40" t="inlineStr">
        <is>
          <t>108.01.01.0003</t>
        </is>
      </c>
      <c r="B195" s="40" t="inlineStr">
        <is>
          <t>Euro Kredi Kartı Hesabı</t>
        </is>
      </c>
      <c r="C195" s="40" t="inlineStr">
        <is>
          <t>EUR</t>
        </is>
      </c>
      <c r="D195" s="40" t="inlineStr">
        <is>
          <t>ROYAL HOLIDAY</t>
        </is>
      </c>
      <c r="E195" s="38" t="n">
        <v>6546990.46</v>
      </c>
      <c r="F195" s="38" t="n">
        <v>0</v>
      </c>
      <c r="G195" s="38" t="n">
        <v>6546990.46</v>
      </c>
      <c r="H195" s="40" t="inlineStr">
        <is>
          <t>Borç</t>
        </is>
      </c>
      <c r="I195" s="38" t="n">
        <v>123355.62</v>
      </c>
      <c r="J195" s="38" t="n">
        <v>0</v>
      </c>
      <c r="K195" s="38" t="n">
        <v>123355.62</v>
      </c>
      <c r="L195" s="40" t="inlineStr">
        <is>
          <t>Borç</t>
        </is>
      </c>
    </row>
    <row r="196" s="34">
      <c r="A196" s="40" t="inlineStr">
        <is>
          <t>108.01.01.0003</t>
        </is>
      </c>
      <c r="B196" s="40" t="inlineStr">
        <is>
          <t>Euro Kredi Kartı Hesabı</t>
        </is>
      </c>
      <c r="C196" s="40" t="inlineStr">
        <is>
          <t>EUR</t>
        </is>
      </c>
      <c r="D196" s="40" t="inlineStr">
        <is>
          <t>ROYAL SEGINUS</t>
        </is>
      </c>
      <c r="E196" s="38" t="n">
        <v>10420548.15</v>
      </c>
      <c r="F196" s="38" t="n">
        <v>0</v>
      </c>
      <c r="G196" s="38" t="n">
        <v>10420548.15</v>
      </c>
      <c r="H196" s="40" t="inlineStr">
        <is>
          <t>Borç</t>
        </is>
      </c>
      <c r="I196" s="38" t="n">
        <v>196371.02</v>
      </c>
      <c r="J196" s="38" t="n">
        <v>0</v>
      </c>
      <c r="K196" s="38" t="n">
        <v>196371.02</v>
      </c>
      <c r="L196" s="40" t="inlineStr">
        <is>
          <t>Borç</t>
        </is>
      </c>
    </row>
    <row r="197" s="34">
      <c r="A197" s="40" t="inlineStr">
        <is>
          <t>108.01.01.0003</t>
        </is>
      </c>
      <c r="B197" s="40" t="inlineStr">
        <is>
          <t>Euro Kredi Kartı Hesabı</t>
        </is>
      </c>
      <c r="C197" s="40" t="inlineStr">
        <is>
          <t>EUR</t>
        </is>
      </c>
      <c r="D197" s="40" t="inlineStr">
        <is>
          <t>SERTAŞ MERKEZ</t>
        </is>
      </c>
      <c r="E197" s="38" t="n">
        <v>37549.05</v>
      </c>
      <c r="F197" s="38" t="n">
        <v>23081766.01</v>
      </c>
      <c r="G197" s="38" t="n">
        <v>-23044216.96</v>
      </c>
      <c r="H197" s="40" t="inlineStr">
        <is>
          <t>Alacak</t>
        </is>
      </c>
      <c r="I197" s="38" t="n">
        <v>700.5599999999999</v>
      </c>
      <c r="J197" s="38" t="n">
        <v>434310.1</v>
      </c>
      <c r="K197" s="38" t="n">
        <v>-433609.54</v>
      </c>
      <c r="L197" s="40" t="inlineStr">
        <is>
          <t>Alacak</t>
        </is>
      </c>
    </row>
    <row r="198" s="34">
      <c r="A198" s="40" t="inlineStr">
        <is>
          <t>108.01.01.0004</t>
        </is>
      </c>
      <c r="B198" s="40" t="inlineStr">
        <is>
          <t>Gbp Kredi Kartı Hesabı</t>
        </is>
      </c>
      <c r="C198" s="40" t="inlineStr">
        <is>
          <t>GBP</t>
        </is>
      </c>
      <c r="D198" s="40" t="inlineStr">
        <is>
          <t>ROYAL ADAM EVE</t>
        </is>
      </c>
      <c r="E198" s="38" t="n">
        <v>24145.33</v>
      </c>
      <c r="F198" s="38" t="n">
        <v>0</v>
      </c>
      <c r="G198" s="38" t="n">
        <v>24145.33</v>
      </c>
      <c r="H198" s="40" t="inlineStr">
        <is>
          <t>Borç</t>
        </is>
      </c>
      <c r="I198" s="38" t="n">
        <v>390</v>
      </c>
      <c r="J198" s="38" t="n">
        <v>0</v>
      </c>
      <c r="K198" s="38" t="n">
        <v>390</v>
      </c>
      <c r="L198" s="40" t="inlineStr">
        <is>
          <t>Borç</t>
        </is>
      </c>
    </row>
    <row r="199" s="34">
      <c r="A199" s="40" t="inlineStr">
        <is>
          <t>108.01.01.0005</t>
        </is>
      </c>
      <c r="B199" s="40" t="inlineStr">
        <is>
          <t>On Odeme Visa Sanal Pos TL</t>
        </is>
      </c>
      <c r="C199" s="40" t="inlineStr">
        <is>
          <t>TRY</t>
        </is>
      </c>
      <c r="D199" s="40" t="inlineStr">
        <is>
          <t>ROYAL ADAM EVE</t>
        </is>
      </c>
      <c r="E199" s="38" t="n">
        <v>4303451.32</v>
      </c>
      <c r="F199" s="38" t="n">
        <v>0</v>
      </c>
      <c r="G199" s="38" t="n">
        <v>4303451.32</v>
      </c>
      <c r="H199" s="40" t="inlineStr">
        <is>
          <t>Borç</t>
        </is>
      </c>
      <c r="I199" s="38" t="n">
        <v>4303451.32</v>
      </c>
      <c r="J199" s="38" t="n">
        <v>0</v>
      </c>
      <c r="K199" s="38" t="n">
        <v>4303451.32</v>
      </c>
      <c r="L199" s="40" t="inlineStr">
        <is>
          <t>Borç</t>
        </is>
      </c>
    </row>
    <row r="200" s="34">
      <c r="A200" s="40" t="inlineStr">
        <is>
          <t>108.01.01.0005</t>
        </is>
      </c>
      <c r="B200" s="40" t="inlineStr">
        <is>
          <t>On Odeme Visa Sanal Pos TL</t>
        </is>
      </c>
      <c r="C200" s="40" t="inlineStr">
        <is>
          <t>TRY</t>
        </is>
      </c>
      <c r="D200" s="40" t="inlineStr">
        <is>
          <t>ROYAL ALHAMBRA</t>
        </is>
      </c>
      <c r="E200" s="38" t="n">
        <v>350219.84</v>
      </c>
      <c r="F200" s="38" t="n">
        <v>0</v>
      </c>
      <c r="G200" s="38" t="n">
        <v>350219.84</v>
      </c>
      <c r="H200" s="40" t="inlineStr">
        <is>
          <t>Borç</t>
        </is>
      </c>
      <c r="I200" s="38" t="n">
        <v>350219.84</v>
      </c>
      <c r="J200" s="38" t="n">
        <v>0</v>
      </c>
      <c r="K200" s="38" t="n">
        <v>350219.84</v>
      </c>
      <c r="L200" s="40" t="inlineStr">
        <is>
          <t>Borç</t>
        </is>
      </c>
    </row>
    <row r="201" s="34">
      <c r="A201" s="40" t="inlineStr">
        <is>
          <t>108.01.01.0005</t>
        </is>
      </c>
      <c r="B201" s="40" t="inlineStr">
        <is>
          <t>On Odeme Visa Sanal Pos TL</t>
        </is>
      </c>
      <c r="C201" s="40" t="inlineStr">
        <is>
          <t>TRY</t>
        </is>
      </c>
      <c r="D201" s="40" t="inlineStr">
        <is>
          <t>ROYAL DRAGON</t>
        </is>
      </c>
      <c r="E201" s="38" t="n">
        <v>178422.14</v>
      </c>
      <c r="F201" s="38" t="n">
        <v>0</v>
      </c>
      <c r="G201" s="38" t="n">
        <v>178422.14</v>
      </c>
      <c r="H201" s="40" t="inlineStr">
        <is>
          <t>Borç</t>
        </is>
      </c>
      <c r="I201" s="38" t="n">
        <v>178422.14</v>
      </c>
      <c r="J201" s="38" t="n">
        <v>0</v>
      </c>
      <c r="K201" s="38" t="n">
        <v>178422.14</v>
      </c>
      <c r="L201" s="40" t="inlineStr">
        <is>
          <t>Borç</t>
        </is>
      </c>
    </row>
    <row r="202" s="34">
      <c r="A202" s="40" t="inlineStr">
        <is>
          <t>108.01.01.0005</t>
        </is>
      </c>
      <c r="B202" s="40" t="inlineStr">
        <is>
          <t>On Odeme Visa Sanal Pos TL</t>
        </is>
      </c>
      <c r="C202" s="40" t="inlineStr">
        <is>
          <t>TRY</t>
        </is>
      </c>
      <c r="D202" s="40" t="inlineStr">
        <is>
          <t>ROYAL HOLIDAY</t>
        </is>
      </c>
      <c r="E202" s="38" t="n">
        <v>173572.58</v>
      </c>
      <c r="F202" s="38" t="n">
        <v>0</v>
      </c>
      <c r="G202" s="38" t="n">
        <v>173572.58</v>
      </c>
      <c r="H202" s="40" t="inlineStr">
        <is>
          <t>Borç</t>
        </is>
      </c>
      <c r="I202" s="38" t="n">
        <v>173572.58</v>
      </c>
      <c r="J202" s="38" t="n">
        <v>0</v>
      </c>
      <c r="K202" s="38" t="n">
        <v>173572.58</v>
      </c>
      <c r="L202" s="40" t="inlineStr">
        <is>
          <t>Borç</t>
        </is>
      </c>
    </row>
    <row r="203" s="34">
      <c r="A203" s="40" t="inlineStr">
        <is>
          <t>108.01.01.0005</t>
        </is>
      </c>
      <c r="B203" s="40" t="inlineStr">
        <is>
          <t>On Odeme Visa Sanal Pos TL</t>
        </is>
      </c>
      <c r="C203" s="40" t="inlineStr">
        <is>
          <t>TRY</t>
        </is>
      </c>
      <c r="D203" s="40" t="inlineStr">
        <is>
          <t>ROYAL SEGINUS</t>
        </is>
      </c>
      <c r="E203" s="38" t="n">
        <v>1189347</v>
      </c>
      <c r="F203" s="38" t="n">
        <v>0</v>
      </c>
      <c r="G203" s="38" t="n">
        <v>1189347</v>
      </c>
      <c r="H203" s="40" t="inlineStr">
        <is>
          <t>Borç</t>
        </is>
      </c>
      <c r="I203" s="38" t="n">
        <v>1189347</v>
      </c>
      <c r="J203" s="38" t="n">
        <v>0</v>
      </c>
      <c r="K203" s="38" t="n">
        <v>1189347</v>
      </c>
      <c r="L203" s="40" t="inlineStr">
        <is>
          <t>Borç</t>
        </is>
      </c>
    </row>
    <row r="204" s="34">
      <c r="A204" s="40" t="inlineStr">
        <is>
          <t>108.01.01.0006</t>
        </is>
      </c>
      <c r="B204" s="40" t="inlineStr">
        <is>
          <t>On Odeme Visa Sanal Pos Eur</t>
        </is>
      </c>
      <c r="C204" s="40" t="inlineStr">
        <is>
          <t>EUR</t>
        </is>
      </c>
      <c r="D204" s="40" t="inlineStr">
        <is>
          <t>ROYAL ADAM EVE</t>
        </is>
      </c>
      <c r="E204" s="38" t="n">
        <v>697376.8100000001</v>
      </c>
      <c r="F204" s="38" t="n">
        <v>0</v>
      </c>
      <c r="G204" s="38" t="n">
        <v>697376.8100000001</v>
      </c>
      <c r="H204" s="40" t="inlineStr">
        <is>
          <t>Borç</t>
        </is>
      </c>
      <c r="I204" s="38" t="n">
        <v>13110.06</v>
      </c>
      <c r="J204" s="38" t="n">
        <v>0</v>
      </c>
      <c r="K204" s="38" t="n">
        <v>13110.06</v>
      </c>
      <c r="L204" s="40" t="inlineStr">
        <is>
          <t>Borç</t>
        </is>
      </c>
    </row>
    <row r="205" s="34">
      <c r="A205" s="40" t="inlineStr">
        <is>
          <t>108.01.01.0006</t>
        </is>
      </c>
      <c r="B205" s="40" t="inlineStr">
        <is>
          <t>On Odeme Visa Sanal Pos Eur</t>
        </is>
      </c>
      <c r="C205" s="40" t="inlineStr">
        <is>
          <t>EUR</t>
        </is>
      </c>
      <c r="D205" s="40" t="inlineStr">
        <is>
          <t>ROYAL ALHAMBRA</t>
        </is>
      </c>
      <c r="E205" s="38" t="n">
        <v>634768.54</v>
      </c>
      <c r="F205" s="38" t="n">
        <v>0</v>
      </c>
      <c r="G205" s="38" t="n">
        <v>634768.54</v>
      </c>
      <c r="H205" s="40" t="inlineStr">
        <is>
          <t>Borç</t>
        </is>
      </c>
      <c r="I205" s="38" t="n">
        <v>11975.95</v>
      </c>
      <c r="J205" s="38" t="n">
        <v>0</v>
      </c>
      <c r="K205" s="38" t="n">
        <v>11975.95</v>
      </c>
      <c r="L205" s="40" t="inlineStr">
        <is>
          <t>Borç</t>
        </is>
      </c>
    </row>
    <row r="206" s="34">
      <c r="A206" s="40" t="inlineStr">
        <is>
          <t>108.01.01.0006</t>
        </is>
      </c>
      <c r="B206" s="40" t="inlineStr">
        <is>
          <t>On Odeme Visa Sanal Pos Eur</t>
        </is>
      </c>
      <c r="C206" s="40" t="inlineStr">
        <is>
          <t>EUR</t>
        </is>
      </c>
      <c r="D206" s="40" t="inlineStr">
        <is>
          <t>ROYAL DRAGON</t>
        </is>
      </c>
      <c r="E206" s="38" t="n">
        <v>690050.24</v>
      </c>
      <c r="F206" s="38" t="n">
        <v>0</v>
      </c>
      <c r="G206" s="38" t="n">
        <v>690050.24</v>
      </c>
      <c r="H206" s="40" t="inlineStr">
        <is>
          <t>Borç</t>
        </is>
      </c>
      <c r="I206" s="38" t="n">
        <v>13004.24</v>
      </c>
      <c r="J206" s="38" t="n">
        <v>0</v>
      </c>
      <c r="K206" s="38" t="n">
        <v>13004.24</v>
      </c>
      <c r="L206" s="40" t="inlineStr">
        <is>
          <t>Borç</t>
        </is>
      </c>
    </row>
    <row r="207" s="34">
      <c r="A207" s="40" t="inlineStr">
        <is>
          <t>108.01.01.0006</t>
        </is>
      </c>
      <c r="B207" s="40" t="inlineStr">
        <is>
          <t>On Odeme Visa Sanal Pos Eur</t>
        </is>
      </c>
      <c r="C207" s="40" t="inlineStr">
        <is>
          <t>EUR</t>
        </is>
      </c>
      <c r="D207" s="40" t="inlineStr">
        <is>
          <t>ROYAL HOLIDAY</t>
        </is>
      </c>
      <c r="E207" s="38" t="n">
        <v>1875517.56</v>
      </c>
      <c r="F207" s="38" t="n">
        <v>0</v>
      </c>
      <c r="G207" s="38" t="n">
        <v>1875517.56</v>
      </c>
      <c r="H207" s="40" t="inlineStr">
        <is>
          <t>Borç</t>
        </is>
      </c>
      <c r="I207" s="38" t="n">
        <v>35326.85</v>
      </c>
      <c r="J207" s="38" t="n">
        <v>0</v>
      </c>
      <c r="K207" s="38" t="n">
        <v>35326.85</v>
      </c>
      <c r="L207" s="40" t="inlineStr">
        <is>
          <t>Borç</t>
        </is>
      </c>
    </row>
    <row r="208" s="34">
      <c r="A208" s="40" t="inlineStr">
        <is>
          <t>108.01.01.0006</t>
        </is>
      </c>
      <c r="B208" s="40" t="inlineStr">
        <is>
          <t>On Odeme Visa Sanal Pos Eur</t>
        </is>
      </c>
      <c r="C208" s="40" t="inlineStr">
        <is>
          <t>EUR</t>
        </is>
      </c>
      <c r="D208" s="40" t="inlineStr">
        <is>
          <t>ROYAL SEGINUS</t>
        </is>
      </c>
      <c r="E208" s="38" t="n">
        <v>1998547.69</v>
      </c>
      <c r="F208" s="38" t="n">
        <v>0</v>
      </c>
      <c r="G208" s="38" t="n">
        <v>1998547.69</v>
      </c>
      <c r="H208" s="40" t="inlineStr">
        <is>
          <t>Borç</t>
        </is>
      </c>
      <c r="I208" s="38" t="n">
        <v>37543.36</v>
      </c>
      <c r="J208" s="38" t="n">
        <v>0</v>
      </c>
      <c r="K208" s="38" t="n">
        <v>37543.36</v>
      </c>
      <c r="L208" s="40" t="inlineStr">
        <is>
          <t>Borç</t>
        </is>
      </c>
    </row>
    <row r="209" s="34">
      <c r="A209" s="40" t="inlineStr">
        <is>
          <t>12</t>
        </is>
      </c>
      <c r="B209" s="40" t="inlineStr">
        <is>
          <t>TİCARİ ALACAKLAR</t>
        </is>
      </c>
      <c r="C209" s="40" t="inlineStr">
        <is>
          <t>TRY</t>
        </is>
      </c>
      <c r="E209" s="38" t="n">
        <v>463275881.42</v>
      </c>
      <c r="F209" s="38" t="n">
        <v>138935965.6</v>
      </c>
      <c r="G209" s="38" t="n">
        <v>324339915.82</v>
      </c>
      <c r="I209" s="38" t="n">
        <v>72848217.22</v>
      </c>
      <c r="J209" s="38" t="n">
        <v>40674554.61</v>
      </c>
      <c r="K209" s="38" t="n">
        <v>32173662.61</v>
      </c>
    </row>
    <row r="210" s="34">
      <c r="A210" s="40" t="inlineStr">
        <is>
          <t>120</t>
        </is>
      </c>
      <c r="B210" s="40" t="inlineStr">
        <is>
          <t>ALICILAR</t>
        </is>
      </c>
      <c r="C210" s="40" t="inlineStr">
        <is>
          <t>TRY</t>
        </is>
      </c>
      <c r="E210" s="38" t="n">
        <v>460575581.42</v>
      </c>
      <c r="F210" s="38" t="n">
        <v>138665565.6</v>
      </c>
      <c r="G210" s="38" t="n">
        <v>321910015.82</v>
      </c>
      <c r="I210" s="38" t="n">
        <v>70147917.22</v>
      </c>
      <c r="J210" s="38" t="n">
        <v>40404154.61</v>
      </c>
      <c r="K210" s="38" t="n">
        <v>29743762.61</v>
      </c>
    </row>
    <row r="211" s="34">
      <c r="A211" s="40" t="inlineStr">
        <is>
          <t>120.01</t>
        </is>
      </c>
      <c r="B211" s="40" t="inlineStr">
        <is>
          <t>ALICILAR</t>
        </is>
      </c>
      <c r="C211" s="40" t="inlineStr">
        <is>
          <t>TRY</t>
        </is>
      </c>
      <c r="E211" s="38" t="n">
        <v>460575581.42</v>
      </c>
      <c r="F211" s="38" t="n">
        <v>138665565.6</v>
      </c>
      <c r="G211" s="38" t="n">
        <v>321910015.82</v>
      </c>
      <c r="I211" s="38" t="n">
        <v>70147917.22</v>
      </c>
      <c r="J211" s="38" t="n">
        <v>40404154.61</v>
      </c>
      <c r="K211" s="38" t="n">
        <v>29743762.61</v>
      </c>
    </row>
    <row r="212" s="34">
      <c r="A212" s="40" t="inlineStr">
        <is>
          <t>120.01.01</t>
        </is>
      </c>
      <c r="B212" s="40" t="inlineStr">
        <is>
          <t>ALACAKLAR - ACENTE</t>
        </is>
      </c>
      <c r="C212" s="40" t="inlineStr">
        <is>
          <t>TRY</t>
        </is>
      </c>
      <c r="E212" s="38" t="n">
        <v>426062720.13</v>
      </c>
      <c r="F212" s="38" t="n">
        <v>101966934.34</v>
      </c>
      <c r="G212" s="38" t="n">
        <v>324095785.79</v>
      </c>
      <c r="I212" s="38" t="n">
        <v>38877842.85</v>
      </c>
      <c r="J212" s="38" t="n">
        <v>9357940.83</v>
      </c>
      <c r="K212" s="38" t="n">
        <v>29519902.02</v>
      </c>
    </row>
    <row r="213" s="34">
      <c r="A213" s="40" t="inlineStr">
        <is>
          <t>120.01.01.A001</t>
        </is>
      </c>
      <c r="B213" s="40" t="inlineStr">
        <is>
          <t>ANB SEYAHAT ACENT.TAŞ.EML.GIDA MAD.SAN.VE TİC.LTD.ŞTİ.</t>
        </is>
      </c>
      <c r="C213" s="40" t="inlineStr">
        <is>
          <t>EUR</t>
        </is>
      </c>
      <c r="D213" s="40" t="inlineStr">
        <is>
          <t>ROYAL SEGINUS</t>
        </is>
      </c>
      <c r="E213" s="38" t="n">
        <v>341498.18</v>
      </c>
      <c r="F213" s="38" t="n">
        <v>340241.49</v>
      </c>
      <c r="G213" s="38" t="n">
        <v>1256.69</v>
      </c>
      <c r="H213" s="40" t="inlineStr">
        <is>
          <t>Borç</t>
        </is>
      </c>
      <c r="I213" s="38" t="n">
        <v>6411</v>
      </c>
      <c r="J213" s="38" t="n">
        <v>6411</v>
      </c>
      <c r="K213" s="38" t="n">
        <v>0</v>
      </c>
    </row>
    <row r="214" s="34">
      <c r="A214" s="40" t="inlineStr">
        <is>
          <t>120.01.01.A002</t>
        </is>
      </c>
      <c r="B214" s="40" t="inlineStr">
        <is>
          <t>Arena Halkla İlişkiler Enerji Turizm Org. Emlak Kuyumculuk İnş. Tekstil San. Ve Tic.Ltd.Şti.</t>
        </is>
      </c>
      <c r="C214" s="40" t="inlineStr">
        <is>
          <t>EUR</t>
        </is>
      </c>
      <c r="D214" s="40" t="inlineStr">
        <is>
          <t>ROYAL ADAM EVE</t>
        </is>
      </c>
      <c r="E214" s="38" t="n">
        <v>51993.63</v>
      </c>
      <c r="F214" s="38" t="n">
        <v>52080.21</v>
      </c>
      <c r="G214" s="38" t="n">
        <v>-86.58</v>
      </c>
      <c r="H214" s="40" t="inlineStr">
        <is>
          <t>Alacak</t>
        </is>
      </c>
      <c r="I214" s="38" t="n">
        <v>975</v>
      </c>
      <c r="J214" s="38" t="n">
        <v>975</v>
      </c>
      <c r="K214" s="38" t="n">
        <v>0</v>
      </c>
    </row>
    <row r="215" s="34">
      <c r="A215" s="40" t="inlineStr">
        <is>
          <t>120.01.01.A004</t>
        </is>
      </c>
      <c r="B215" s="40" t="inlineStr">
        <is>
          <t>Alıa Seyahat Turizm Limited Sırketı</t>
        </is>
      </c>
      <c r="C215" s="40" t="inlineStr">
        <is>
          <t>EUR</t>
        </is>
      </c>
      <c r="D215" s="40" t="inlineStr">
        <is>
          <t>ROYAL ALHAMBRA</t>
        </is>
      </c>
      <c r="E215" s="38" t="n">
        <v>32805.27</v>
      </c>
      <c r="F215" s="38" t="n">
        <v>32986.45</v>
      </c>
      <c r="G215" s="38" t="n">
        <v>-181.18</v>
      </c>
      <c r="H215" s="40" t="inlineStr">
        <is>
          <t>Alacak</t>
        </is>
      </c>
      <c r="I215" s="38" t="n">
        <v>615</v>
      </c>
      <c r="J215" s="38" t="n">
        <v>615</v>
      </c>
      <c r="K215" s="38" t="n">
        <v>0</v>
      </c>
    </row>
    <row r="216" s="34">
      <c r="A216" s="40" t="inlineStr">
        <is>
          <t>120.01.01.A007</t>
        </is>
      </c>
      <c r="B216" s="40" t="inlineStr">
        <is>
          <t>Aska Konaklama Tesisleri ve Turizm Yatırımları A.ş.</t>
        </is>
      </c>
      <c r="C216" s="40" t="inlineStr">
        <is>
          <t>EUR</t>
        </is>
      </c>
      <c r="D216" s="40" t="inlineStr">
        <is>
          <t>ROYAL SEGINUS</t>
        </is>
      </c>
      <c r="E216" s="38" t="n">
        <v>547536.87</v>
      </c>
      <c r="F216" s="38" t="n">
        <v>0</v>
      </c>
      <c r="G216" s="38" t="n">
        <v>547536.87</v>
      </c>
      <c r="H216" s="40" t="inlineStr">
        <is>
          <t>Borç</t>
        </is>
      </c>
      <c r="I216" s="38" t="n">
        <v>10212</v>
      </c>
      <c r="J216" s="38" t="n">
        <v>0</v>
      </c>
      <c r="K216" s="38" t="n">
        <v>10212</v>
      </c>
      <c r="L216" s="40" t="inlineStr">
        <is>
          <t>Borç</t>
        </is>
      </c>
    </row>
    <row r="217" s="34">
      <c r="A217" s="40" t="inlineStr">
        <is>
          <t>120.01.01.A008</t>
        </is>
      </c>
      <c r="B217" s="40" t="inlineStr">
        <is>
          <t>Adn İstanbul Turizm Anonim Şirketi</t>
        </is>
      </c>
      <c r="C217" s="40" t="inlineStr">
        <is>
          <t>EUR</t>
        </is>
      </c>
      <c r="D217" s="40" t="inlineStr">
        <is>
          <t>ROYAL ADAM EVE</t>
        </is>
      </c>
      <c r="E217" s="38" t="n">
        <v>366034.6</v>
      </c>
      <c r="F217" s="38" t="n">
        <v>366320.56</v>
      </c>
      <c r="G217" s="38" t="n">
        <v>-285.96</v>
      </c>
      <c r="H217" s="40" t="inlineStr">
        <is>
          <t>Alacak</t>
        </is>
      </c>
      <c r="I217" s="38" t="n">
        <v>6872.75</v>
      </c>
      <c r="J217" s="38" t="n">
        <v>6872.75</v>
      </c>
      <c r="K217" s="38" t="n">
        <v>0</v>
      </c>
    </row>
    <row r="218" s="34">
      <c r="A218" s="40" t="inlineStr">
        <is>
          <t>120.01.01.A009</t>
        </is>
      </c>
      <c r="B218" s="40" t="inlineStr">
        <is>
          <t>Aviumtours Turizm İth.İhr.Tic.ve San. Ltd.Şti.</t>
        </is>
      </c>
      <c r="C218" s="40" t="inlineStr">
        <is>
          <t>EUR</t>
        </is>
      </c>
      <c r="D218" s="40" t="inlineStr">
        <is>
          <t>ROYAL ADAM EVE</t>
        </is>
      </c>
      <c r="E218" s="38" t="n">
        <v>868253.04</v>
      </c>
      <c r="F218" s="38" t="n">
        <v>871026.87</v>
      </c>
      <c r="G218" s="38" t="n">
        <v>-2773.83</v>
      </c>
      <c r="H218" s="40" t="inlineStr">
        <is>
          <t>Alacak</t>
        </is>
      </c>
      <c r="I218" s="38" t="n">
        <v>16290</v>
      </c>
      <c r="J218" s="38" t="n">
        <v>16290</v>
      </c>
      <c r="K218" s="38" t="n">
        <v>0</v>
      </c>
    </row>
    <row r="219" s="34">
      <c r="A219" s="40" t="inlineStr">
        <is>
          <t>120.01.01.A009</t>
        </is>
      </c>
      <c r="B219" s="40" t="inlineStr">
        <is>
          <t>Aviumtours Turizm İth.İhr.Tic.ve San. Ltd.Şti.</t>
        </is>
      </c>
      <c r="C219" s="40" t="inlineStr">
        <is>
          <t>EUR</t>
        </is>
      </c>
      <c r="D219" s="40" t="inlineStr">
        <is>
          <t>ROYAL ALHAMBRA</t>
        </is>
      </c>
      <c r="E219" s="38" t="n">
        <v>81502.25999999999</v>
      </c>
      <c r="F219" s="38" t="n">
        <v>0</v>
      </c>
      <c r="G219" s="38" t="n">
        <v>81502.25999999999</v>
      </c>
      <c r="H219" s="40" t="inlineStr">
        <is>
          <t>Borç</t>
        </is>
      </c>
      <c r="I219" s="38" t="n">
        <v>1537.5</v>
      </c>
      <c r="J219" s="38" t="n">
        <v>0</v>
      </c>
      <c r="K219" s="38" t="n">
        <v>1537.5</v>
      </c>
      <c r="L219" s="40" t="inlineStr">
        <is>
          <t>Borç</t>
        </is>
      </c>
    </row>
    <row r="220" s="34">
      <c r="A220" s="40" t="inlineStr">
        <is>
          <t>120.01.01.A009</t>
        </is>
      </c>
      <c r="B220" s="40" t="inlineStr">
        <is>
          <t>Aviumtours Turizm İth.İhr.Tic.ve San. Ltd.Şti.</t>
        </is>
      </c>
      <c r="C220" s="40" t="inlineStr">
        <is>
          <t>EUR</t>
        </is>
      </c>
      <c r="D220" s="40" t="inlineStr">
        <is>
          <t>ROYAL DRAGON</t>
        </is>
      </c>
      <c r="E220" s="38" t="n">
        <v>409998.69</v>
      </c>
      <c r="F220" s="38" t="n">
        <v>409848.01</v>
      </c>
      <c r="G220" s="38" t="n">
        <v>150.68</v>
      </c>
      <c r="H220" s="40" t="inlineStr">
        <is>
          <t>Borç</t>
        </is>
      </c>
      <c r="I220" s="38" t="n">
        <v>7698.24</v>
      </c>
      <c r="J220" s="38" t="n">
        <v>7698.24</v>
      </c>
      <c r="K220" s="38" t="n">
        <v>0</v>
      </c>
    </row>
    <row r="221" s="34">
      <c r="A221" s="40" t="inlineStr">
        <is>
          <t>120.01.01.A009</t>
        </is>
      </c>
      <c r="B221" s="40" t="inlineStr">
        <is>
          <t>Aviumtours Turizm İth.İhr.Tic.ve San. Ltd.Şti.</t>
        </is>
      </c>
      <c r="C221" s="40" t="inlineStr">
        <is>
          <t>EUR</t>
        </is>
      </c>
      <c r="D221" s="40" t="inlineStr">
        <is>
          <t>ROYAL HOLIDAY</t>
        </is>
      </c>
      <c r="E221" s="38" t="n">
        <v>654380.14</v>
      </c>
      <c r="F221" s="38" t="n">
        <v>470535.74</v>
      </c>
      <c r="G221" s="38" t="n">
        <v>183844.4</v>
      </c>
      <c r="H221" s="40" t="inlineStr">
        <is>
          <t>Borç</t>
        </is>
      </c>
      <c r="I221" s="38" t="n">
        <v>12302.5</v>
      </c>
      <c r="J221" s="38" t="n">
        <v>8799</v>
      </c>
      <c r="K221" s="38" t="n">
        <v>3503.5</v>
      </c>
      <c r="L221" s="40" t="inlineStr">
        <is>
          <t>Borç</t>
        </is>
      </c>
    </row>
    <row r="222" s="34">
      <c r="A222" s="40" t="inlineStr">
        <is>
          <t>120.01.01.A009</t>
        </is>
      </c>
      <c r="B222" s="40" t="inlineStr">
        <is>
          <t>Aviumtours Turizm İth.İhr.Tic.ve San. Ltd.Şti.</t>
        </is>
      </c>
      <c r="C222" s="40" t="inlineStr">
        <is>
          <t>EUR</t>
        </is>
      </c>
      <c r="D222" s="40" t="inlineStr">
        <is>
          <t>ROYAL SEGINUS</t>
        </is>
      </c>
      <c r="E222" s="38" t="n">
        <v>946153.2</v>
      </c>
      <c r="F222" s="38" t="n">
        <v>765133.95</v>
      </c>
      <c r="G222" s="38" t="n">
        <v>181019.25</v>
      </c>
      <c r="H222" s="40" t="inlineStr">
        <is>
          <t>Borç</t>
        </is>
      </c>
      <c r="I222" s="38" t="n">
        <v>17773.2</v>
      </c>
      <c r="J222" s="38" t="n">
        <v>14371.2</v>
      </c>
      <c r="K222" s="38" t="n">
        <v>3402</v>
      </c>
      <c r="L222" s="40" t="inlineStr">
        <is>
          <t>Borç</t>
        </is>
      </c>
    </row>
    <row r="223" s="34">
      <c r="A223" s="40" t="inlineStr">
        <is>
          <t>120.01.01.A010</t>
        </is>
      </c>
      <c r="B223" s="40" t="inlineStr">
        <is>
          <t>Akay İnş.Turizm Otelcilik ve Yatırım A.Ş.</t>
        </is>
      </c>
      <c r="C223" s="40" t="inlineStr">
        <is>
          <t>EUR</t>
        </is>
      </c>
      <c r="D223" s="40" t="inlineStr">
        <is>
          <t>ROYAL ADAM EVE</t>
        </is>
      </c>
      <c r="E223" s="38" t="n">
        <v>754099.1</v>
      </c>
      <c r="F223" s="38" t="n">
        <v>0</v>
      </c>
      <c r="G223" s="38" t="n">
        <v>754099.1</v>
      </c>
      <c r="H223" s="40" t="inlineStr">
        <is>
          <t>Borç</t>
        </is>
      </c>
      <c r="I223" s="38" t="n">
        <v>14165</v>
      </c>
      <c r="J223" s="38" t="n">
        <v>0</v>
      </c>
      <c r="K223" s="38" t="n">
        <v>14165</v>
      </c>
      <c r="L223" s="40" t="inlineStr">
        <is>
          <t>Borç</t>
        </is>
      </c>
    </row>
    <row r="224" s="34">
      <c r="A224" s="40" t="inlineStr">
        <is>
          <t>120.01.01.A010</t>
        </is>
      </c>
      <c r="B224" s="40" t="inlineStr">
        <is>
          <t>Akay İnş.Turizm Otelcilik ve Yatırım A.Ş.</t>
        </is>
      </c>
      <c r="C224" s="40" t="inlineStr">
        <is>
          <t>EUR</t>
        </is>
      </c>
      <c r="D224" s="40" t="inlineStr">
        <is>
          <t>ROYAL ALHAMBRA</t>
        </is>
      </c>
      <c r="E224" s="38" t="n">
        <v>5630764.07</v>
      </c>
      <c r="F224" s="38" t="n">
        <v>0</v>
      </c>
      <c r="G224" s="38" t="n">
        <v>5630764.07</v>
      </c>
      <c r="H224" s="40" t="inlineStr">
        <is>
          <t>Borç</t>
        </is>
      </c>
      <c r="I224" s="38" t="n">
        <v>105863.17</v>
      </c>
      <c r="J224" s="38" t="n">
        <v>0</v>
      </c>
      <c r="K224" s="38" t="n">
        <v>105863.17</v>
      </c>
      <c r="L224" s="40" t="inlineStr">
        <is>
          <t>Borç</t>
        </is>
      </c>
    </row>
    <row r="225" s="34">
      <c r="A225" s="40" t="inlineStr">
        <is>
          <t>120.01.01.A010</t>
        </is>
      </c>
      <c r="B225" s="40" t="inlineStr">
        <is>
          <t>Akay İnş.Turizm Otelcilik ve Yatırım A.Ş.</t>
        </is>
      </c>
      <c r="C225" s="40" t="inlineStr">
        <is>
          <t>EUR</t>
        </is>
      </c>
      <c r="D225" s="40" t="inlineStr">
        <is>
          <t>ROYAL DRAGON</t>
        </is>
      </c>
      <c r="E225" s="38" t="n">
        <v>3323874.03</v>
      </c>
      <c r="F225" s="38" t="n">
        <v>0</v>
      </c>
      <c r="G225" s="38" t="n">
        <v>3323874.03</v>
      </c>
      <c r="H225" s="40" t="inlineStr">
        <is>
          <t>Borç</t>
        </is>
      </c>
      <c r="I225" s="38" t="n">
        <v>62451.35</v>
      </c>
      <c r="J225" s="38" t="n">
        <v>0</v>
      </c>
      <c r="K225" s="38" t="n">
        <v>62451.35</v>
      </c>
      <c r="L225" s="40" t="inlineStr">
        <is>
          <t>Borç</t>
        </is>
      </c>
    </row>
    <row r="226" s="34">
      <c r="A226" s="40" t="inlineStr">
        <is>
          <t>120.01.01.A010</t>
        </is>
      </c>
      <c r="B226" s="40" t="inlineStr">
        <is>
          <t>Akay İnş.Turizm Otelcilik ve Yatırım A.Ş.</t>
        </is>
      </c>
      <c r="C226" s="40" t="inlineStr">
        <is>
          <t>EUR</t>
        </is>
      </c>
      <c r="D226" s="40" t="inlineStr">
        <is>
          <t>ROYAL HOLIDAY</t>
        </is>
      </c>
      <c r="E226" s="38" t="n">
        <v>3881350.67</v>
      </c>
      <c r="F226" s="38" t="n">
        <v>0</v>
      </c>
      <c r="G226" s="38" t="n">
        <v>3881350.67</v>
      </c>
      <c r="H226" s="40" t="inlineStr">
        <is>
          <t>Borç</t>
        </is>
      </c>
      <c r="I226" s="38" t="n">
        <v>72895.35000000001</v>
      </c>
      <c r="J226" s="38" t="n">
        <v>0</v>
      </c>
      <c r="K226" s="38" t="n">
        <v>72895.35000000001</v>
      </c>
      <c r="L226" s="40" t="inlineStr">
        <is>
          <t>Borç</t>
        </is>
      </c>
    </row>
    <row r="227" s="34">
      <c r="A227" s="40" t="inlineStr">
        <is>
          <t>120.01.01.A010</t>
        </is>
      </c>
      <c r="B227" s="40" t="inlineStr">
        <is>
          <t>Akay İnş.Turizm Otelcilik ve Yatırım A.Ş.</t>
        </is>
      </c>
      <c r="C227" s="40" t="inlineStr">
        <is>
          <t>EUR</t>
        </is>
      </c>
      <c r="D227" s="40" t="inlineStr">
        <is>
          <t>ROYAL SEGINUS</t>
        </is>
      </c>
      <c r="E227" s="38" t="n">
        <v>3328337.22</v>
      </c>
      <c r="F227" s="38" t="n">
        <v>0</v>
      </c>
      <c r="G227" s="38" t="n">
        <v>3328337.22</v>
      </c>
      <c r="H227" s="40" t="inlineStr">
        <is>
          <t>Borç</t>
        </is>
      </c>
      <c r="I227" s="38" t="n">
        <v>62509.8</v>
      </c>
      <c r="J227" s="38" t="n">
        <v>0</v>
      </c>
      <c r="K227" s="38" t="n">
        <v>62509.8</v>
      </c>
      <c r="L227" s="40" t="inlineStr">
        <is>
          <t>Borç</t>
        </is>
      </c>
    </row>
    <row r="228" s="34">
      <c r="A228" s="40" t="inlineStr">
        <is>
          <t>120.01.01.A013</t>
        </is>
      </c>
      <c r="B228" s="40" t="inlineStr">
        <is>
          <t>Asece Tur.Sey.Taş.Paz.Dan.Rek.Gıda İnş.San.Ltd.Şti</t>
        </is>
      </c>
      <c r="C228" s="40" t="inlineStr">
        <is>
          <t>EUR</t>
        </is>
      </c>
      <c r="D228" s="40" t="inlineStr">
        <is>
          <t>ROYAL HOLIDAY</t>
        </is>
      </c>
      <c r="E228" s="38" t="n">
        <v>157350.71</v>
      </c>
      <c r="F228" s="38" t="n">
        <v>159600.53</v>
      </c>
      <c r="G228" s="38" t="n">
        <v>-2249.82</v>
      </c>
      <c r="H228" s="40" t="inlineStr">
        <is>
          <t>Alacak</t>
        </is>
      </c>
      <c r="I228" s="38" t="n">
        <v>2976.75</v>
      </c>
      <c r="J228" s="38" t="n">
        <v>2976.75</v>
      </c>
      <c r="K228" s="38" t="n">
        <v>0</v>
      </c>
    </row>
    <row r="229" s="34">
      <c r="A229" s="40" t="inlineStr">
        <is>
          <t>120.01.01.A014</t>
        </is>
      </c>
      <c r="B229" s="40" t="inlineStr">
        <is>
          <t>Azul Global Turizm Seyehat Acentesi ve Emlak Tic.Ltd.Şti.</t>
        </is>
      </c>
      <c r="C229" s="40" t="inlineStr">
        <is>
          <t>EUR</t>
        </is>
      </c>
      <c r="D229" s="40" t="inlineStr">
        <is>
          <t>ROYAL SEGINUS</t>
        </is>
      </c>
      <c r="E229" s="38" t="n">
        <v>434073.05</v>
      </c>
      <c r="F229" s="38" t="n">
        <v>95704.02</v>
      </c>
      <c r="G229" s="38" t="n">
        <v>338369.03</v>
      </c>
      <c r="H229" s="40" t="inlineStr">
        <is>
          <t>Borç</t>
        </is>
      </c>
      <c r="I229" s="38" t="n">
        <v>8169</v>
      </c>
      <c r="J229" s="38" t="n">
        <v>1785</v>
      </c>
      <c r="K229" s="38" t="n">
        <v>6384</v>
      </c>
      <c r="L229" s="40" t="inlineStr">
        <is>
          <t>Borç</t>
        </is>
      </c>
    </row>
    <row r="230" s="34">
      <c r="A230" s="40" t="inlineStr">
        <is>
          <t>120.01.01.A014</t>
        </is>
      </c>
      <c r="B230" s="40" t="inlineStr">
        <is>
          <t>Azul Global Turizm Seyehat Acentesi ve Emlak Tic.Ltd.Şti.</t>
        </is>
      </c>
      <c r="C230" s="40" t="inlineStr">
        <is>
          <t>EUR</t>
        </is>
      </c>
      <c r="D230" s="40" t="inlineStr">
        <is>
          <t>SERTAŞ MERKEZ</t>
        </is>
      </c>
      <c r="E230" s="38" t="n">
        <v>0</v>
      </c>
      <c r="F230" s="38" t="n">
        <v>341005.19</v>
      </c>
      <c r="G230" s="38" t="n">
        <v>-341005.19</v>
      </c>
      <c r="H230" s="40" t="inlineStr">
        <is>
          <t>Alacak</t>
        </is>
      </c>
      <c r="I230" s="38" t="n">
        <v>0</v>
      </c>
      <c r="J230" s="38" t="n">
        <v>6384</v>
      </c>
      <c r="K230" s="38" t="n">
        <v>-6384</v>
      </c>
      <c r="L230" s="40" t="inlineStr">
        <is>
          <t>Alacak</t>
        </is>
      </c>
    </row>
    <row r="231" s="34">
      <c r="A231" s="40" t="inlineStr">
        <is>
          <t>120.01.01.A029</t>
        </is>
      </c>
      <c r="B231" s="40" t="inlineStr">
        <is>
          <t>Anexservices Turizm Organizasyon Taşımacılık A.Ş.</t>
        </is>
      </c>
      <c r="C231" s="40" t="inlineStr">
        <is>
          <t>EUR</t>
        </is>
      </c>
      <c r="D231" s="40" t="inlineStr">
        <is>
          <t>ROYAL ADAM EVE</t>
        </is>
      </c>
      <c r="E231" s="38" t="n">
        <v>6206307.45</v>
      </c>
      <c r="F231" s="38" t="n">
        <v>79791</v>
      </c>
      <c r="G231" s="38" t="n">
        <v>6126516.45</v>
      </c>
      <c r="H231" s="40" t="inlineStr">
        <is>
          <t>Borç</t>
        </is>
      </c>
      <c r="I231" s="38" t="n">
        <v>116651.3</v>
      </c>
      <c r="J231" s="38" t="n">
        <v>1500</v>
      </c>
      <c r="K231" s="38" t="n">
        <v>115151.3</v>
      </c>
      <c r="L231" s="40" t="inlineStr">
        <is>
          <t>Borç</t>
        </is>
      </c>
    </row>
    <row r="232" s="34">
      <c r="A232" s="40" t="inlineStr">
        <is>
          <t>120.01.01.A029</t>
        </is>
      </c>
      <c r="B232" s="40" t="inlineStr">
        <is>
          <t>Anexservices Turizm Organizasyon Taşımacılık A.Ş.</t>
        </is>
      </c>
      <c r="C232" s="40" t="inlineStr">
        <is>
          <t>EUR</t>
        </is>
      </c>
      <c r="D232" s="40" t="inlineStr">
        <is>
          <t>ROYAL ALHAMBRA</t>
        </is>
      </c>
      <c r="E232" s="38" t="n">
        <v>18483020.43</v>
      </c>
      <c r="F232" s="38" t="n">
        <v>80619.17999999999</v>
      </c>
      <c r="G232" s="38" t="n">
        <v>18402401.25</v>
      </c>
      <c r="H232" s="40" t="inlineStr">
        <is>
          <t>Borç</t>
        </is>
      </c>
      <c r="I232" s="38" t="n">
        <v>347006.64</v>
      </c>
      <c r="J232" s="38" t="n">
        <v>1515.59</v>
      </c>
      <c r="K232" s="38" t="n">
        <v>345491.05</v>
      </c>
      <c r="L232" s="40" t="inlineStr">
        <is>
          <t>Borç</t>
        </is>
      </c>
    </row>
    <row r="233" s="34">
      <c r="A233" s="40" t="inlineStr">
        <is>
          <t>120.01.01.A029</t>
        </is>
      </c>
      <c r="B233" s="40" t="inlineStr">
        <is>
          <t>Anexservices Turizm Organizasyon Taşımacılık A.Ş.</t>
        </is>
      </c>
      <c r="C233" s="40" t="inlineStr">
        <is>
          <t>EUR</t>
        </is>
      </c>
      <c r="D233" s="40" t="inlineStr">
        <is>
          <t>ROYAL DRAGON</t>
        </is>
      </c>
      <c r="E233" s="38" t="n">
        <v>16024345.29</v>
      </c>
      <c r="F233" s="38" t="n">
        <v>80311.73</v>
      </c>
      <c r="G233" s="38" t="n">
        <v>15944033.56</v>
      </c>
      <c r="H233" s="40" t="inlineStr">
        <is>
          <t>Borç</t>
        </is>
      </c>
      <c r="I233" s="38" t="n">
        <v>301370.69</v>
      </c>
      <c r="J233" s="38" t="n">
        <v>1510</v>
      </c>
      <c r="K233" s="38" t="n">
        <v>299860.69</v>
      </c>
      <c r="L233" s="40" t="inlineStr">
        <is>
          <t>Borç</t>
        </is>
      </c>
    </row>
    <row r="234" s="34">
      <c r="A234" s="40" t="inlineStr">
        <is>
          <t>120.01.01.A029</t>
        </is>
      </c>
      <c r="B234" s="40" t="inlineStr">
        <is>
          <t>Anexservices Turizm Organizasyon Taşımacılık A.Ş.</t>
        </is>
      </c>
      <c r="C234" s="40" t="inlineStr">
        <is>
          <t>EUR</t>
        </is>
      </c>
      <c r="D234" s="40" t="inlineStr">
        <is>
          <t>ROYAL HOLIDAY</t>
        </is>
      </c>
      <c r="E234" s="38" t="n">
        <v>20590122.06</v>
      </c>
      <c r="F234" s="38" t="n">
        <v>79791</v>
      </c>
      <c r="G234" s="38" t="n">
        <v>20510331.06</v>
      </c>
      <c r="H234" s="40" t="inlineStr">
        <is>
          <t>Borç</t>
        </is>
      </c>
      <c r="I234" s="38" t="n">
        <v>386895.26</v>
      </c>
      <c r="J234" s="38" t="n">
        <v>1500</v>
      </c>
      <c r="K234" s="38" t="n">
        <v>385395.26</v>
      </c>
      <c r="L234" s="40" t="inlineStr">
        <is>
          <t>Borç</t>
        </is>
      </c>
    </row>
    <row r="235" s="34">
      <c r="A235" s="40" t="inlineStr">
        <is>
          <t>120.01.01.A029</t>
        </is>
      </c>
      <c r="B235" s="40" t="inlineStr">
        <is>
          <t>Anexservices Turizm Organizasyon Taşımacılık A.Ş.</t>
        </is>
      </c>
      <c r="C235" s="40" t="inlineStr">
        <is>
          <t>EUR</t>
        </is>
      </c>
      <c r="D235" s="40" t="inlineStr">
        <is>
          <t>ROYAL SEGINUS</t>
        </is>
      </c>
      <c r="E235" s="38" t="n">
        <v>11564176.39</v>
      </c>
      <c r="F235" s="38" t="n">
        <v>79791</v>
      </c>
      <c r="G235" s="38" t="n">
        <v>11484385.39</v>
      </c>
      <c r="H235" s="40" t="inlineStr">
        <is>
          <t>Borç</t>
        </is>
      </c>
      <c r="I235" s="38" t="n">
        <v>217296.9</v>
      </c>
      <c r="J235" s="38" t="n">
        <v>1500</v>
      </c>
      <c r="K235" s="38" t="n">
        <v>215796.9</v>
      </c>
      <c r="L235" s="40" t="inlineStr">
        <is>
          <t>Borç</t>
        </is>
      </c>
    </row>
    <row r="236" s="34">
      <c r="A236" s="40" t="inlineStr">
        <is>
          <t>120.01.01.A036</t>
        </is>
      </c>
      <c r="B236" s="40" t="inlineStr">
        <is>
          <t>Aress Turizm Tedarik Araç Kiralama İnş. Danışmanlık Eğitim İth. İhr. Tic. Ltd. Şti.</t>
        </is>
      </c>
      <c r="C236" s="40" t="inlineStr">
        <is>
          <t>TRY</t>
        </is>
      </c>
      <c r="D236" s="40" t="inlineStr">
        <is>
          <t>ROYAL ADAM EVE</t>
        </is>
      </c>
      <c r="E236" s="38" t="n">
        <v>32224</v>
      </c>
      <c r="F236" s="38" t="n">
        <v>32224</v>
      </c>
      <c r="G236" s="38" t="n">
        <v>0</v>
      </c>
      <c r="I236" s="38" t="n">
        <v>32224</v>
      </c>
      <c r="J236" s="38" t="n">
        <v>32224</v>
      </c>
      <c r="K236" s="38" t="n">
        <v>0</v>
      </c>
    </row>
    <row r="237" s="34">
      <c r="A237" s="40" t="inlineStr">
        <is>
          <t>120.01.01.A049</t>
        </is>
      </c>
      <c r="B237" s="40" t="inlineStr">
        <is>
          <t>Ayax Turizm Org. Oto Kir.Taş.Eml.İnş. Tic.Ltd.Şti.</t>
        </is>
      </c>
      <c r="C237" s="40" t="inlineStr">
        <is>
          <t>EUR</t>
        </is>
      </c>
      <c r="D237" s="40" t="inlineStr">
        <is>
          <t>ROYAL HOLIDAY</t>
        </is>
      </c>
      <c r="E237" s="38" t="n">
        <v>195260.41</v>
      </c>
      <c r="F237" s="38" t="n">
        <v>101301.35</v>
      </c>
      <c r="G237" s="38" t="n">
        <v>93959.06</v>
      </c>
      <c r="H237" s="40" t="inlineStr">
        <is>
          <t>Borç</t>
        </is>
      </c>
      <c r="I237" s="38" t="n">
        <v>3675</v>
      </c>
      <c r="J237" s="38" t="n">
        <v>1911</v>
      </c>
      <c r="K237" s="38" t="n">
        <v>1764</v>
      </c>
      <c r="L237" s="40" t="inlineStr">
        <is>
          <t>Borç</t>
        </is>
      </c>
    </row>
    <row r="238" s="34">
      <c r="A238" s="40" t="inlineStr">
        <is>
          <t>120.01.01.A049</t>
        </is>
      </c>
      <c r="B238" s="40" t="inlineStr">
        <is>
          <t>Ayax Turizm Org. Oto Kir.Taş.Eml.İnş. Tic.Ltd.Şti.</t>
        </is>
      </c>
      <c r="C238" s="40" t="inlineStr">
        <is>
          <t>EUR</t>
        </is>
      </c>
      <c r="D238" s="40" t="inlineStr">
        <is>
          <t>ROYAL SEGINUS</t>
        </is>
      </c>
      <c r="E238" s="38" t="n">
        <v>185681.58</v>
      </c>
      <c r="F238" s="38" t="n">
        <v>186130.44</v>
      </c>
      <c r="G238" s="38" t="n">
        <v>-448.86</v>
      </c>
      <c r="H238" s="40" t="inlineStr">
        <is>
          <t>Alacak</t>
        </is>
      </c>
      <c r="I238" s="38" t="n">
        <v>3480.75</v>
      </c>
      <c r="J238" s="38" t="n">
        <v>3480.75</v>
      </c>
      <c r="K238" s="38" t="n">
        <v>0</v>
      </c>
    </row>
    <row r="239" s="34">
      <c r="A239" s="40" t="inlineStr">
        <is>
          <t>120.01.01.A055</t>
        </is>
      </c>
      <c r="B239" s="40" t="inlineStr">
        <is>
          <t>Alltours FluegReisen Gmbh</t>
        </is>
      </c>
      <c r="C239" s="40" t="inlineStr">
        <is>
          <t>EUR</t>
        </is>
      </c>
      <c r="D239" s="40" t="inlineStr">
        <is>
          <t>ROYAL ADAM EVE</t>
        </is>
      </c>
      <c r="E239" s="38" t="n">
        <v>434069.29</v>
      </c>
      <c r="F239" s="38" t="n">
        <v>0</v>
      </c>
      <c r="G239" s="38" t="n">
        <v>434069.29</v>
      </c>
      <c r="H239" s="40" t="inlineStr">
        <is>
          <t>Borç</t>
        </is>
      </c>
      <c r="I239" s="38" t="n">
        <v>8130.5</v>
      </c>
      <c r="J239" s="38" t="n">
        <v>0</v>
      </c>
      <c r="K239" s="38" t="n">
        <v>8130.5</v>
      </c>
      <c r="L239" s="40" t="inlineStr">
        <is>
          <t>Borç</t>
        </is>
      </c>
    </row>
    <row r="240" s="34">
      <c r="A240" s="40" t="inlineStr">
        <is>
          <t>120.01.01.A055</t>
        </is>
      </c>
      <c r="B240" s="40" t="inlineStr">
        <is>
          <t>Alltours FluegReisen Gmbh</t>
        </is>
      </c>
      <c r="C240" s="40" t="inlineStr">
        <is>
          <t>EUR</t>
        </is>
      </c>
      <c r="D240" s="40" t="inlineStr">
        <is>
          <t>ROYAL ALHAMBRA</t>
        </is>
      </c>
      <c r="E240" s="38" t="n">
        <v>1143254.59</v>
      </c>
      <c r="F240" s="38" t="n">
        <v>0</v>
      </c>
      <c r="G240" s="38" t="n">
        <v>1143254.59</v>
      </c>
      <c r="H240" s="40" t="inlineStr">
        <is>
          <t>Borç</t>
        </is>
      </c>
      <c r="I240" s="38" t="n">
        <v>21498.03</v>
      </c>
      <c r="J240" s="38" t="n">
        <v>0</v>
      </c>
      <c r="K240" s="38" t="n">
        <v>21498.03</v>
      </c>
      <c r="L240" s="40" t="inlineStr">
        <is>
          <t>Borç</t>
        </is>
      </c>
    </row>
    <row r="241" s="34">
      <c r="A241" s="40" t="inlineStr">
        <is>
          <t>120.01.01.A055</t>
        </is>
      </c>
      <c r="B241" s="40" t="inlineStr">
        <is>
          <t>Alltours FluegReisen Gmbh</t>
        </is>
      </c>
      <c r="C241" s="40" t="inlineStr">
        <is>
          <t>EUR</t>
        </is>
      </c>
      <c r="D241" s="40" t="inlineStr">
        <is>
          <t>ROYAL DRAGON</t>
        </is>
      </c>
      <c r="E241" s="38" t="n">
        <v>4238403.4</v>
      </c>
      <c r="F241" s="38" t="n">
        <v>0</v>
      </c>
      <c r="G241" s="38" t="n">
        <v>4238403.4</v>
      </c>
      <c r="H241" s="40" t="inlineStr">
        <is>
          <t>Borç</t>
        </is>
      </c>
      <c r="I241" s="38" t="n">
        <v>79635.96000000001</v>
      </c>
      <c r="J241" s="38" t="n">
        <v>0</v>
      </c>
      <c r="K241" s="38" t="n">
        <v>79635.96000000001</v>
      </c>
      <c r="L241" s="40" t="inlineStr">
        <is>
          <t>Borç</t>
        </is>
      </c>
    </row>
    <row r="242" s="34">
      <c r="A242" s="40" t="inlineStr">
        <is>
          <t>120.01.01.A055</t>
        </is>
      </c>
      <c r="B242" s="40" t="inlineStr">
        <is>
          <t>Alltours FluegReisen Gmbh</t>
        </is>
      </c>
      <c r="C242" s="40" t="inlineStr">
        <is>
          <t>EUR</t>
        </is>
      </c>
      <c r="D242" s="40" t="inlineStr">
        <is>
          <t>ROYAL HOLIDAY</t>
        </is>
      </c>
      <c r="E242" s="38" t="n">
        <v>2321567.46</v>
      </c>
      <c r="F242" s="38" t="n">
        <v>0</v>
      </c>
      <c r="G242" s="38" t="n">
        <v>2321567.46</v>
      </c>
      <c r="H242" s="40" t="inlineStr">
        <is>
          <t>Borç</t>
        </is>
      </c>
      <c r="I242" s="38" t="n">
        <v>43567.83</v>
      </c>
      <c r="J242" s="38" t="n">
        <v>0</v>
      </c>
      <c r="K242" s="38" t="n">
        <v>43567.83</v>
      </c>
      <c r="L242" s="40" t="inlineStr">
        <is>
          <t>Borç</t>
        </is>
      </c>
    </row>
    <row r="243" s="34">
      <c r="A243" s="40" t="inlineStr">
        <is>
          <t>120.01.01.A055</t>
        </is>
      </c>
      <c r="B243" s="40" t="inlineStr">
        <is>
          <t>Alltours FluegReisen Gmbh</t>
        </is>
      </c>
      <c r="C243" s="40" t="inlineStr">
        <is>
          <t>EUR</t>
        </is>
      </c>
      <c r="D243" s="40" t="inlineStr">
        <is>
          <t>ROYAL SEGINUS</t>
        </is>
      </c>
      <c r="E243" s="38" t="n">
        <v>345678.86</v>
      </c>
      <c r="F243" s="38" t="n">
        <v>0</v>
      </c>
      <c r="G243" s="38" t="n">
        <v>345678.86</v>
      </c>
      <c r="H243" s="40" t="inlineStr">
        <is>
          <t>Borç</t>
        </is>
      </c>
      <c r="I243" s="38" t="n">
        <v>6484.2</v>
      </c>
      <c r="J243" s="38" t="n">
        <v>0</v>
      </c>
      <c r="K243" s="38" t="n">
        <v>6484.2</v>
      </c>
      <c r="L243" s="40" t="inlineStr">
        <is>
          <t>Borç</t>
        </is>
      </c>
    </row>
    <row r="244" s="34">
      <c r="A244" s="40" t="inlineStr">
        <is>
          <t>120.01.01.A059</t>
        </is>
      </c>
      <c r="B244" s="40" t="inlineStr">
        <is>
          <t>Antsey Turizm /Habitat</t>
        </is>
      </c>
      <c r="C244" s="40" t="inlineStr">
        <is>
          <t>EUR</t>
        </is>
      </c>
      <c r="D244" s="40" t="inlineStr">
        <is>
          <t>ROYAL HOLIDAY</t>
        </is>
      </c>
      <c r="E244" s="38" t="n">
        <v>71832.84</v>
      </c>
      <c r="F244" s="38" t="n">
        <v>72349.03</v>
      </c>
      <c r="G244" s="38" t="n">
        <v>-516.1900000000001</v>
      </c>
      <c r="H244" s="40" t="inlineStr">
        <is>
          <t>Alacak</t>
        </is>
      </c>
      <c r="I244" s="38" t="n">
        <v>1349.4</v>
      </c>
      <c r="J244" s="38" t="n">
        <v>1349.4</v>
      </c>
      <c r="K244" s="38" t="n">
        <v>0</v>
      </c>
    </row>
    <row r="245" s="34">
      <c r="A245" s="40" t="inlineStr">
        <is>
          <t>120.01.01.A059</t>
        </is>
      </c>
      <c r="B245" s="40" t="inlineStr">
        <is>
          <t>Antsey Turizm /Habitat</t>
        </is>
      </c>
      <c r="C245" s="40" t="inlineStr">
        <is>
          <t>EUR</t>
        </is>
      </c>
      <c r="D245" s="40" t="inlineStr">
        <is>
          <t>ROYAL SEGINUS</t>
        </is>
      </c>
      <c r="E245" s="38" t="n">
        <v>96547.94</v>
      </c>
      <c r="F245" s="38" t="n">
        <v>97237.42999999999</v>
      </c>
      <c r="G245" s="38" t="n">
        <v>-689.49</v>
      </c>
      <c r="H245" s="40" t="inlineStr">
        <is>
          <t>Alacak</t>
        </is>
      </c>
      <c r="I245" s="38" t="n">
        <v>1813.6</v>
      </c>
      <c r="J245" s="38" t="n">
        <v>1813.6</v>
      </c>
      <c r="K245" s="38" t="n">
        <v>0</v>
      </c>
    </row>
    <row r="246" s="34">
      <c r="A246" s="40" t="inlineStr">
        <is>
          <t>120.01.01.B005</t>
        </is>
      </c>
      <c r="B246" s="40" t="inlineStr">
        <is>
          <t>Breezes Turizm Sey.Taş.Org.Tar.İnş.ve San.Tic.Ltd.Şti.</t>
        </is>
      </c>
      <c r="C246" s="40" t="inlineStr">
        <is>
          <t>EUR</t>
        </is>
      </c>
      <c r="D246" s="40" t="inlineStr">
        <is>
          <t>ROYAL ADAM EVE</t>
        </is>
      </c>
      <c r="E246" s="38" t="n">
        <v>56798.47</v>
      </c>
      <c r="F246" s="38" t="n">
        <v>57325.91</v>
      </c>
      <c r="G246" s="38" t="n">
        <v>-527.4400000000001</v>
      </c>
      <c r="H246" s="40" t="inlineStr">
        <is>
          <t>Alacak</t>
        </is>
      </c>
      <c r="I246" s="38" t="n">
        <v>1069.2</v>
      </c>
      <c r="J246" s="38" t="n">
        <v>1069.2</v>
      </c>
      <c r="K246" s="38" t="n">
        <v>0</v>
      </c>
    </row>
    <row r="247" s="34">
      <c r="A247" s="40" t="inlineStr">
        <is>
          <t>120.01.01.B007</t>
        </is>
      </c>
      <c r="B247" s="40" t="inlineStr">
        <is>
          <t>Bedsopia Fzco</t>
        </is>
      </c>
      <c r="C247" s="40" t="inlineStr">
        <is>
          <t>EUR</t>
        </is>
      </c>
      <c r="D247" s="40" t="inlineStr">
        <is>
          <t>ROYAL HOLIDAY</t>
        </is>
      </c>
      <c r="E247" s="38" t="n">
        <v>111557.04</v>
      </c>
      <c r="F247" s="38" t="n">
        <v>111555.8</v>
      </c>
      <c r="G247" s="38" t="n">
        <v>1.24</v>
      </c>
      <c r="H247" s="40" t="inlineStr">
        <is>
          <t>Borç</t>
        </is>
      </c>
      <c r="I247" s="38" t="n">
        <v>2100</v>
      </c>
      <c r="J247" s="38" t="n">
        <v>2088.97</v>
      </c>
      <c r="K247" s="38" t="n">
        <v>11.03</v>
      </c>
      <c r="L247" s="40" t="inlineStr">
        <is>
          <t>Borç</t>
        </is>
      </c>
    </row>
    <row r="248" s="34">
      <c r="A248" s="40" t="inlineStr">
        <is>
          <t>120.01.01.B007</t>
        </is>
      </c>
      <c r="B248" s="40" t="inlineStr">
        <is>
          <t>Bedsopia Fzco</t>
        </is>
      </c>
      <c r="C248" s="40" t="inlineStr">
        <is>
          <t>EUR</t>
        </is>
      </c>
      <c r="D248" s="40" t="inlineStr">
        <is>
          <t>SERTAŞ MERKEZ</t>
        </is>
      </c>
      <c r="E248" s="38" t="n">
        <v>559.73</v>
      </c>
      <c r="F248" s="38" t="n">
        <v>559.73</v>
      </c>
      <c r="G248" s="38" t="n">
        <v>0</v>
      </c>
      <c r="I248" s="38" t="n">
        <v>10.56</v>
      </c>
      <c r="J248" s="38" t="n">
        <v>10.56</v>
      </c>
      <c r="K248" s="38" t="n">
        <v>0</v>
      </c>
    </row>
    <row r="249" s="34">
      <c r="A249" s="40" t="inlineStr">
        <is>
          <t>120.01.01.B011</t>
        </is>
      </c>
      <c r="B249" s="40" t="inlineStr">
        <is>
          <t>Bentour Reisen Turistik HizmeTLer A.Ş.</t>
        </is>
      </c>
      <c r="C249" s="40" t="inlineStr">
        <is>
          <t>EUR</t>
        </is>
      </c>
      <c r="D249" s="40" t="inlineStr">
        <is>
          <t>ROYAL ALHAMBRA</t>
        </is>
      </c>
      <c r="E249" s="38" t="n">
        <v>233574.68</v>
      </c>
      <c r="F249" s="38" t="n">
        <v>0</v>
      </c>
      <c r="G249" s="38" t="n">
        <v>233574.68</v>
      </c>
      <c r="H249" s="40" t="inlineStr">
        <is>
          <t>Borç</t>
        </is>
      </c>
      <c r="I249" s="38" t="n">
        <v>4418.75</v>
      </c>
      <c r="J249" s="38" t="n">
        <v>0</v>
      </c>
      <c r="K249" s="38" t="n">
        <v>4418.75</v>
      </c>
      <c r="L249" s="40" t="inlineStr">
        <is>
          <t>Borç</t>
        </is>
      </c>
    </row>
    <row r="250" s="34">
      <c r="A250" s="40" t="inlineStr">
        <is>
          <t>120.01.01.B011</t>
        </is>
      </c>
      <c r="B250" s="40" t="inlineStr">
        <is>
          <t>Bentour Reisen Turistik HizmeTLer A.Ş.</t>
        </is>
      </c>
      <c r="C250" s="40" t="inlineStr">
        <is>
          <t>EUR</t>
        </is>
      </c>
      <c r="D250" s="40" t="inlineStr">
        <is>
          <t>ROYAL DRAGON</t>
        </is>
      </c>
      <c r="E250" s="38" t="n">
        <v>85918.48</v>
      </c>
      <c r="F250" s="38" t="n">
        <v>0</v>
      </c>
      <c r="G250" s="38" t="n">
        <v>85918.48</v>
      </c>
      <c r="H250" s="40" t="inlineStr">
        <is>
          <t>Borç</t>
        </is>
      </c>
      <c r="I250" s="38" t="n">
        <v>1625.4</v>
      </c>
      <c r="J250" s="38" t="n">
        <v>0</v>
      </c>
      <c r="K250" s="38" t="n">
        <v>1625.4</v>
      </c>
      <c r="L250" s="40" t="inlineStr">
        <is>
          <t>Borç</t>
        </is>
      </c>
    </row>
    <row r="251" s="34">
      <c r="A251" s="40" t="inlineStr">
        <is>
          <t>120.01.01.B011</t>
        </is>
      </c>
      <c r="B251" s="40" t="inlineStr">
        <is>
          <t>Bentour Reisen Turistik HizmeTLer A.Ş.</t>
        </is>
      </c>
      <c r="C251" s="40" t="inlineStr">
        <is>
          <t>EUR</t>
        </is>
      </c>
      <c r="D251" s="40" t="inlineStr">
        <is>
          <t>ROYAL HOLIDAY</t>
        </is>
      </c>
      <c r="E251" s="38" t="n">
        <v>67505.39999999999</v>
      </c>
      <c r="F251" s="38" t="n">
        <v>0</v>
      </c>
      <c r="G251" s="38" t="n">
        <v>67505.39999999999</v>
      </c>
      <c r="H251" s="40" t="inlineStr">
        <is>
          <t>Borç</t>
        </is>
      </c>
      <c r="I251" s="38" t="n">
        <v>1277.06</v>
      </c>
      <c r="J251" s="38" t="n">
        <v>0</v>
      </c>
      <c r="K251" s="38" t="n">
        <v>1277.06</v>
      </c>
      <c r="L251" s="40" t="inlineStr">
        <is>
          <t>Borç</t>
        </is>
      </c>
    </row>
    <row r="252" s="34">
      <c r="A252" s="40" t="inlineStr">
        <is>
          <t>120.01.01.B013</t>
        </is>
      </c>
      <c r="B252" s="40" t="inlineStr">
        <is>
          <t>Beril Otelcilik Turizm Tic. Ltd.Şti.</t>
        </is>
      </c>
      <c r="C252" s="40" t="inlineStr">
        <is>
          <t>EUR</t>
        </is>
      </c>
      <c r="D252" s="40" t="inlineStr">
        <is>
          <t>ROYAL ADAM EVE</t>
        </is>
      </c>
      <c r="E252" s="38" t="n">
        <v>679237.6</v>
      </c>
      <c r="F252" s="38" t="n">
        <v>0</v>
      </c>
      <c r="G252" s="38" t="n">
        <v>679237.6</v>
      </c>
      <c r="H252" s="40" t="inlineStr">
        <is>
          <t>Borç</t>
        </is>
      </c>
      <c r="I252" s="38" t="n">
        <v>12738.75</v>
      </c>
      <c r="J252" s="38" t="n">
        <v>0</v>
      </c>
      <c r="K252" s="38" t="n">
        <v>12738.75</v>
      </c>
      <c r="L252" s="40" t="inlineStr">
        <is>
          <t>Borç</t>
        </is>
      </c>
    </row>
    <row r="253" s="34">
      <c r="A253" s="40" t="inlineStr">
        <is>
          <t>120.01.01.B013</t>
        </is>
      </c>
      <c r="B253" s="40" t="inlineStr">
        <is>
          <t>Beril Otelcilik Turizm Tic. Ltd.Şti.</t>
        </is>
      </c>
      <c r="C253" s="40" t="inlineStr">
        <is>
          <t>EUR</t>
        </is>
      </c>
      <c r="D253" s="40" t="inlineStr">
        <is>
          <t>ROYAL ALHAMBRA</t>
        </is>
      </c>
      <c r="E253" s="38" t="n">
        <v>2379914.57</v>
      </c>
      <c r="F253" s="38" t="n">
        <v>0</v>
      </c>
      <c r="G253" s="38" t="n">
        <v>2379914.57</v>
      </c>
      <c r="H253" s="40" t="inlineStr">
        <is>
          <t>Borç</t>
        </is>
      </c>
      <c r="I253" s="38" t="n">
        <v>44762.95</v>
      </c>
      <c r="J253" s="38" t="n">
        <v>0</v>
      </c>
      <c r="K253" s="38" t="n">
        <v>44762.95</v>
      </c>
      <c r="L253" s="40" t="inlineStr">
        <is>
          <t>Borç</t>
        </is>
      </c>
    </row>
    <row r="254" s="34">
      <c r="A254" s="40" t="inlineStr">
        <is>
          <t>120.01.01.B013</t>
        </is>
      </c>
      <c r="B254" s="40" t="inlineStr">
        <is>
          <t>Beril Otelcilik Turizm Tic. Ltd.Şti.</t>
        </is>
      </c>
      <c r="C254" s="40" t="inlineStr">
        <is>
          <t>EUR</t>
        </is>
      </c>
      <c r="D254" s="40" t="inlineStr">
        <is>
          <t>ROYAL DRAGON</t>
        </is>
      </c>
      <c r="E254" s="38" t="n">
        <v>1405603.33</v>
      </c>
      <c r="F254" s="38" t="n">
        <v>0</v>
      </c>
      <c r="G254" s="38" t="n">
        <v>1405603.33</v>
      </c>
      <c r="H254" s="40" t="inlineStr">
        <is>
          <t>Borç</t>
        </is>
      </c>
      <c r="I254" s="38" t="n">
        <v>26399.52</v>
      </c>
      <c r="J254" s="38" t="n">
        <v>0</v>
      </c>
      <c r="K254" s="38" t="n">
        <v>26399.52</v>
      </c>
      <c r="L254" s="40" t="inlineStr">
        <is>
          <t>Borç</t>
        </is>
      </c>
    </row>
    <row r="255" s="34">
      <c r="A255" s="40" t="inlineStr">
        <is>
          <t>120.01.01.B013</t>
        </is>
      </c>
      <c r="B255" s="40" t="inlineStr">
        <is>
          <t>Beril Otelcilik Turizm Tic. Ltd.Şti.</t>
        </is>
      </c>
      <c r="C255" s="40" t="inlineStr">
        <is>
          <t>EUR</t>
        </is>
      </c>
      <c r="D255" s="40" t="inlineStr">
        <is>
          <t>ROYAL HOLIDAY</t>
        </is>
      </c>
      <c r="E255" s="38" t="n">
        <v>2139384.75</v>
      </c>
      <c r="F255" s="38" t="n">
        <v>0</v>
      </c>
      <c r="G255" s="38" t="n">
        <v>2139384.75</v>
      </c>
      <c r="H255" s="40" t="inlineStr">
        <is>
          <t>Borç</t>
        </is>
      </c>
      <c r="I255" s="38" t="n">
        <v>40232.32</v>
      </c>
      <c r="J255" s="38" t="n">
        <v>0</v>
      </c>
      <c r="K255" s="38" t="n">
        <v>40232.32</v>
      </c>
      <c r="L255" s="40" t="inlineStr">
        <is>
          <t>Borç</t>
        </is>
      </c>
    </row>
    <row r="256" s="34">
      <c r="A256" s="40" t="inlineStr">
        <is>
          <t>120.01.01.B013</t>
        </is>
      </c>
      <c r="B256" s="40" t="inlineStr">
        <is>
          <t>Beril Otelcilik Turizm Tic. Ltd.Şti.</t>
        </is>
      </c>
      <c r="C256" s="40" t="inlineStr">
        <is>
          <t>EUR</t>
        </is>
      </c>
      <c r="D256" s="40" t="inlineStr">
        <is>
          <t>ROYAL SEGINUS</t>
        </is>
      </c>
      <c r="E256" s="38" t="n">
        <v>2887830.89</v>
      </c>
      <c r="F256" s="38" t="n">
        <v>0</v>
      </c>
      <c r="G256" s="38" t="n">
        <v>2887830.89</v>
      </c>
      <c r="H256" s="40" t="inlineStr">
        <is>
          <t>Borç</t>
        </is>
      </c>
      <c r="I256" s="38" t="n">
        <v>54216.16</v>
      </c>
      <c r="J256" s="38" t="n">
        <v>0</v>
      </c>
      <c r="K256" s="38" t="n">
        <v>54216.16</v>
      </c>
      <c r="L256" s="40" t="inlineStr">
        <is>
          <t>Borç</t>
        </is>
      </c>
    </row>
    <row r="257" s="34">
      <c r="A257" s="40" t="inlineStr">
        <is>
          <t>120.01.01.B022</t>
        </is>
      </c>
      <c r="B257" s="40" t="inlineStr">
        <is>
          <t>Bluebird Turizm Tic. Ltd. Şti.</t>
        </is>
      </c>
      <c r="C257" s="40" t="inlineStr">
        <is>
          <t>EUR</t>
        </is>
      </c>
      <c r="D257" s="40" t="inlineStr">
        <is>
          <t>ROYAL DRAGON</t>
        </is>
      </c>
      <c r="E257" s="38" t="n">
        <v>314741.06</v>
      </c>
      <c r="F257" s="38" t="n">
        <v>318622.02</v>
      </c>
      <c r="G257" s="38" t="n">
        <v>-3880.96</v>
      </c>
      <c r="H257" s="40" t="inlineStr">
        <is>
          <t>Alacak</t>
        </is>
      </c>
      <c r="I257" s="38" t="n">
        <v>5942.7</v>
      </c>
      <c r="J257" s="38" t="n">
        <v>5942.7</v>
      </c>
      <c r="K257" s="38" t="n">
        <v>0</v>
      </c>
    </row>
    <row r="258" s="34">
      <c r="A258" s="40" t="inlineStr">
        <is>
          <t>120.01.01.B023</t>
        </is>
      </c>
      <c r="B258" s="40" t="inlineStr">
        <is>
          <t>Bluemania Holidays Sey.Acen.Turizm Tic.Ltd.Şti.</t>
        </is>
      </c>
      <c r="C258" s="40" t="inlineStr">
        <is>
          <t>EUR</t>
        </is>
      </c>
      <c r="D258" s="40" t="inlineStr">
        <is>
          <t>ROYAL SEGINUS</t>
        </is>
      </c>
      <c r="E258" s="38" t="n">
        <v>118569.2</v>
      </c>
      <c r="F258" s="38" t="n">
        <v>118569.2</v>
      </c>
      <c r="G258" s="38" t="n">
        <v>0</v>
      </c>
      <c r="I258" s="38" t="n">
        <v>2232</v>
      </c>
      <c r="J258" s="38" t="n">
        <v>2232</v>
      </c>
      <c r="K258" s="38" t="n">
        <v>0</v>
      </c>
    </row>
    <row r="259" s="34">
      <c r="A259" s="40" t="inlineStr">
        <is>
          <t>120.01.01.B023</t>
        </is>
      </c>
      <c r="B259" s="40" t="inlineStr">
        <is>
          <t>Bluemania Holidays Sey.Acen.Turizm Tic.Ltd.Şti.</t>
        </is>
      </c>
      <c r="C259" s="40" t="inlineStr">
        <is>
          <t>EUR</t>
        </is>
      </c>
      <c r="D259" s="40" t="inlineStr">
        <is>
          <t>SERTAŞ MERKEZ</t>
        </is>
      </c>
      <c r="E259" s="38" t="n">
        <v>118569.2</v>
      </c>
      <c r="F259" s="38" t="n">
        <v>118569.2</v>
      </c>
      <c r="G259" s="38" t="n">
        <v>0</v>
      </c>
      <c r="I259" s="38" t="n">
        <v>2232</v>
      </c>
      <c r="J259" s="38" t="n">
        <v>2232</v>
      </c>
      <c r="K259" s="38" t="n">
        <v>0</v>
      </c>
    </row>
    <row r="260" s="34">
      <c r="A260" s="40" t="inlineStr">
        <is>
          <t>120.01.01.B036</t>
        </is>
      </c>
      <c r="B260" s="40" t="inlineStr">
        <is>
          <t>Bye Bye Gmbh</t>
        </is>
      </c>
      <c r="C260" s="40" t="inlineStr">
        <is>
          <t>EUR</t>
        </is>
      </c>
      <c r="D260" s="40" t="inlineStr">
        <is>
          <t>ROYAL ADAM EVE</t>
        </is>
      </c>
      <c r="E260" s="38" t="n">
        <v>120483.3</v>
      </c>
      <c r="F260" s="38" t="n">
        <v>0</v>
      </c>
      <c r="G260" s="38" t="n">
        <v>120483.3</v>
      </c>
      <c r="H260" s="40" t="inlineStr">
        <is>
          <t>Borç</t>
        </is>
      </c>
      <c r="I260" s="38" t="n">
        <v>2247.5</v>
      </c>
      <c r="J260" s="38" t="n">
        <v>0</v>
      </c>
      <c r="K260" s="38" t="n">
        <v>2247.5</v>
      </c>
      <c r="L260" s="40" t="inlineStr">
        <is>
          <t>Borç</t>
        </is>
      </c>
    </row>
    <row r="261" s="34">
      <c r="A261" s="40" t="inlineStr">
        <is>
          <t>120.01.01.B036</t>
        </is>
      </c>
      <c r="B261" s="40" t="inlineStr">
        <is>
          <t>Bye Bye Gmbh</t>
        </is>
      </c>
      <c r="C261" s="40" t="inlineStr">
        <is>
          <t>EUR</t>
        </is>
      </c>
      <c r="D261" s="40" t="inlineStr">
        <is>
          <t>ROYAL ALHAMBRA</t>
        </is>
      </c>
      <c r="E261" s="38" t="n">
        <v>799922.4</v>
      </c>
      <c r="F261" s="38" t="n">
        <v>0</v>
      </c>
      <c r="G261" s="38" t="n">
        <v>799922.4</v>
      </c>
      <c r="H261" s="40" t="inlineStr">
        <is>
          <t>Borç</t>
        </is>
      </c>
      <c r="I261" s="38" t="n">
        <v>15033.64</v>
      </c>
      <c r="J261" s="38" t="n">
        <v>0</v>
      </c>
      <c r="K261" s="38" t="n">
        <v>15033.64</v>
      </c>
      <c r="L261" s="40" t="inlineStr">
        <is>
          <t>Borç</t>
        </is>
      </c>
    </row>
    <row r="262" s="34">
      <c r="A262" s="40" t="inlineStr">
        <is>
          <t>120.01.01.B036</t>
        </is>
      </c>
      <c r="B262" s="40" t="inlineStr">
        <is>
          <t>Bye Bye Gmbh</t>
        </is>
      </c>
      <c r="C262" s="40" t="inlineStr">
        <is>
          <t>EUR</t>
        </is>
      </c>
      <c r="D262" s="40" t="inlineStr">
        <is>
          <t>ROYAL DRAGON</t>
        </is>
      </c>
      <c r="E262" s="38" t="n">
        <v>2388331.72</v>
      </c>
      <c r="F262" s="38" t="n">
        <v>0</v>
      </c>
      <c r="G262" s="38" t="n">
        <v>2388331.72</v>
      </c>
      <c r="H262" s="40" t="inlineStr">
        <is>
          <t>Borç</t>
        </is>
      </c>
      <c r="I262" s="38" t="n">
        <v>44952.18</v>
      </c>
      <c r="J262" s="38" t="n">
        <v>0</v>
      </c>
      <c r="K262" s="38" t="n">
        <v>44952.18</v>
      </c>
      <c r="L262" s="40" t="inlineStr">
        <is>
          <t>Borç</t>
        </is>
      </c>
    </row>
    <row r="263" s="34">
      <c r="A263" s="40" t="inlineStr">
        <is>
          <t>120.01.01.B036</t>
        </is>
      </c>
      <c r="B263" s="40" t="inlineStr">
        <is>
          <t>Bye Bye Gmbh</t>
        </is>
      </c>
      <c r="C263" s="40" t="inlineStr">
        <is>
          <t>EUR</t>
        </is>
      </c>
      <c r="D263" s="40" t="inlineStr">
        <is>
          <t>ROYAL HOLIDAY</t>
        </is>
      </c>
      <c r="E263" s="38" t="n">
        <v>1375735.2</v>
      </c>
      <c r="F263" s="38" t="n">
        <v>0</v>
      </c>
      <c r="G263" s="38" t="n">
        <v>1375735.2</v>
      </c>
      <c r="H263" s="40" t="inlineStr">
        <is>
          <t>Borç</t>
        </is>
      </c>
      <c r="I263" s="38" t="n">
        <v>25874.4</v>
      </c>
      <c r="J263" s="38" t="n">
        <v>0</v>
      </c>
      <c r="K263" s="38" t="n">
        <v>25874.4</v>
      </c>
      <c r="L263" s="40" t="inlineStr">
        <is>
          <t>Borç</t>
        </is>
      </c>
    </row>
    <row r="264" s="34">
      <c r="A264" s="40" t="inlineStr">
        <is>
          <t>120.01.01.B036</t>
        </is>
      </c>
      <c r="B264" s="40" t="inlineStr">
        <is>
          <t>Bye Bye Gmbh</t>
        </is>
      </c>
      <c r="C264" s="40" t="inlineStr">
        <is>
          <t>EUR</t>
        </is>
      </c>
      <c r="D264" s="40" t="inlineStr">
        <is>
          <t>ROYAL SEGINUS</t>
        </is>
      </c>
      <c r="E264" s="38" t="n">
        <v>636274.58</v>
      </c>
      <c r="F264" s="38" t="n">
        <v>0</v>
      </c>
      <c r="G264" s="38" t="n">
        <v>636274.58</v>
      </c>
      <c r="H264" s="40" t="inlineStr">
        <is>
          <t>Borç</t>
        </is>
      </c>
      <c r="I264" s="38" t="n">
        <v>11956.8</v>
      </c>
      <c r="J264" s="38" t="n">
        <v>0</v>
      </c>
      <c r="K264" s="38" t="n">
        <v>11956.8</v>
      </c>
      <c r="L264" s="40" t="inlineStr">
        <is>
          <t>Borç</t>
        </is>
      </c>
    </row>
    <row r="265" s="34">
      <c r="A265" s="40" t="inlineStr">
        <is>
          <t>120.01.01.B037</t>
        </is>
      </c>
      <c r="B265" s="40" t="inlineStr">
        <is>
          <t>Booking.Com B.V</t>
        </is>
      </c>
      <c r="C265" s="40" t="inlineStr">
        <is>
          <t>EUR</t>
        </is>
      </c>
      <c r="D265" s="40" t="inlineStr">
        <is>
          <t>ROYAL ADAM EVE</t>
        </is>
      </c>
      <c r="E265" s="38" t="n">
        <v>2479070.42</v>
      </c>
      <c r="F265" s="38" t="n">
        <v>2479070.42</v>
      </c>
      <c r="G265" s="38" t="n">
        <v>0</v>
      </c>
      <c r="I265" s="38" t="n">
        <v>46509.56</v>
      </c>
      <c r="J265" s="38" t="n">
        <v>46533.05</v>
      </c>
      <c r="K265" s="38" t="n">
        <v>-23.49</v>
      </c>
      <c r="L265" s="40" t="inlineStr">
        <is>
          <t>Alacak</t>
        </is>
      </c>
    </row>
    <row r="266" s="34">
      <c r="A266" s="40" t="inlineStr">
        <is>
          <t>120.01.01.B037</t>
        </is>
      </c>
      <c r="B266" s="40" t="inlineStr">
        <is>
          <t>Booking.Com B.V</t>
        </is>
      </c>
      <c r="C266" s="40" t="inlineStr">
        <is>
          <t>EUR</t>
        </is>
      </c>
      <c r="D266" s="40" t="inlineStr">
        <is>
          <t>ROYAL ALHAMBRA</t>
        </is>
      </c>
      <c r="E266" s="38" t="n">
        <v>302125.04</v>
      </c>
      <c r="F266" s="38" t="n">
        <v>161037.8</v>
      </c>
      <c r="G266" s="38" t="n">
        <v>141087.24</v>
      </c>
      <c r="H266" s="40" t="inlineStr">
        <is>
          <t>Borç</t>
        </is>
      </c>
      <c r="I266" s="38" t="n">
        <v>5690.76</v>
      </c>
      <c r="J266" s="38" t="n">
        <v>3027.66</v>
      </c>
      <c r="K266" s="38" t="n">
        <v>2663.1</v>
      </c>
      <c r="L266" s="40" t="inlineStr">
        <is>
          <t>Borç</t>
        </is>
      </c>
    </row>
    <row r="267" s="34">
      <c r="A267" s="40" t="inlineStr">
        <is>
          <t>120.01.01.B037</t>
        </is>
      </c>
      <c r="B267" s="40" t="inlineStr">
        <is>
          <t>Booking.Com B.V</t>
        </is>
      </c>
      <c r="C267" s="40" t="inlineStr">
        <is>
          <t>EUR</t>
        </is>
      </c>
      <c r="D267" s="40" t="inlineStr">
        <is>
          <t>ROYAL HOLIDAY</t>
        </is>
      </c>
      <c r="E267" s="38" t="n">
        <v>1728000.65</v>
      </c>
      <c r="F267" s="38" t="n">
        <v>1728000.65</v>
      </c>
      <c r="G267" s="38" t="n">
        <v>0</v>
      </c>
      <c r="I267" s="38" t="n">
        <v>32387.3</v>
      </c>
      <c r="J267" s="38" t="n">
        <v>32373.43</v>
      </c>
      <c r="K267" s="38" t="n">
        <v>13.87</v>
      </c>
      <c r="L267" s="40" t="inlineStr">
        <is>
          <t>Borç</t>
        </is>
      </c>
    </row>
    <row r="268" s="34">
      <c r="A268" s="40" t="inlineStr">
        <is>
          <t>120.01.01.B037</t>
        </is>
      </c>
      <c r="B268" s="40" t="inlineStr">
        <is>
          <t>Booking.Com B.V</t>
        </is>
      </c>
      <c r="C268" s="40" t="inlineStr">
        <is>
          <t>EUR</t>
        </is>
      </c>
      <c r="D268" s="40" t="inlineStr">
        <is>
          <t>ROYAL SEGINUS</t>
        </is>
      </c>
      <c r="E268" s="38" t="n">
        <v>3144867.18</v>
      </c>
      <c r="F268" s="38" t="n">
        <v>3144867.18</v>
      </c>
      <c r="G268" s="38" t="n">
        <v>0</v>
      </c>
      <c r="I268" s="38" t="n">
        <v>59103.81</v>
      </c>
      <c r="J268" s="38" t="n">
        <v>59222.77</v>
      </c>
      <c r="K268" s="38" t="n">
        <v>-118.96</v>
      </c>
      <c r="L268" s="40" t="inlineStr">
        <is>
          <t>Alacak</t>
        </is>
      </c>
    </row>
    <row r="269" s="34">
      <c r="A269" s="40" t="inlineStr">
        <is>
          <t>120.01.01.C004</t>
        </is>
      </c>
      <c r="B269" s="40" t="inlineStr">
        <is>
          <t>Coop-ITS-Travel AG</t>
        </is>
      </c>
      <c r="C269" s="40" t="inlineStr">
        <is>
          <t>EUR</t>
        </is>
      </c>
      <c r="D269" s="40" t="inlineStr">
        <is>
          <t>ROYAL DRAGON</t>
        </is>
      </c>
      <c r="E269" s="38" t="n">
        <v>0</v>
      </c>
      <c r="F269" s="38" t="n">
        <v>211542.2</v>
      </c>
      <c r="G269" s="38" t="n">
        <v>-211542.2</v>
      </c>
      <c r="H269" s="40" t="inlineStr">
        <is>
          <t>Alacak</t>
        </is>
      </c>
      <c r="I269" s="38" t="n">
        <v>0</v>
      </c>
      <c r="J269" s="38" t="n">
        <v>3980.6</v>
      </c>
      <c r="K269" s="38" t="n">
        <v>-3980.6</v>
      </c>
      <c r="L269" s="40" t="inlineStr">
        <is>
          <t>Alacak</t>
        </is>
      </c>
    </row>
    <row r="270" s="34">
      <c r="A270" s="40" t="inlineStr">
        <is>
          <t>120.01.01.C004</t>
        </is>
      </c>
      <c r="B270" s="40" t="inlineStr">
        <is>
          <t>Coop-ITS-Travel AG</t>
        </is>
      </c>
      <c r="C270" s="40" t="inlineStr">
        <is>
          <t>EUR</t>
        </is>
      </c>
      <c r="D270" s="40" t="inlineStr">
        <is>
          <t>ROYAL HOLIDAY</t>
        </is>
      </c>
      <c r="E270" s="38" t="n">
        <v>196349.5</v>
      </c>
      <c r="F270" s="38" t="n">
        <v>120592.63</v>
      </c>
      <c r="G270" s="38" t="n">
        <v>75756.87</v>
      </c>
      <c r="H270" s="40" t="inlineStr">
        <is>
          <t>Borç</t>
        </is>
      </c>
      <c r="I270" s="38" t="n">
        <v>3704.4</v>
      </c>
      <c r="J270" s="38" t="n">
        <v>2270.09</v>
      </c>
      <c r="K270" s="38" t="n">
        <v>1434.31</v>
      </c>
      <c r="L270" s="40" t="inlineStr">
        <is>
          <t>Borç</t>
        </is>
      </c>
    </row>
    <row r="271" s="34">
      <c r="A271" s="40" t="inlineStr">
        <is>
          <t>120.01.01.C006</t>
        </is>
      </c>
      <c r="B271" s="40" t="inlineStr">
        <is>
          <t>Cpm İstanbul prodüksiyon Paz.Reklam Tur.ve Halkla İliş.Tic.A.Ş.</t>
        </is>
      </c>
      <c r="C271" s="40" t="inlineStr">
        <is>
          <t>TRY</t>
        </is>
      </c>
      <c r="D271" s="40" t="inlineStr">
        <is>
          <t>ROYAL SEGINUS</t>
        </is>
      </c>
      <c r="E271" s="38" t="n">
        <v>0</v>
      </c>
      <c r="F271" s="38" t="n">
        <v>122743.64</v>
      </c>
      <c r="G271" s="38" t="n">
        <v>-122743.64</v>
      </c>
      <c r="H271" s="40" t="inlineStr">
        <is>
          <t>Alacak</t>
        </is>
      </c>
      <c r="I271" s="38" t="n">
        <v>0</v>
      </c>
      <c r="J271" s="38" t="n">
        <v>2310</v>
      </c>
      <c r="K271" s="38" t="n">
        <v>-2310</v>
      </c>
      <c r="L271" s="40" t="inlineStr">
        <is>
          <t>Alacak</t>
        </is>
      </c>
    </row>
    <row r="272" s="34">
      <c r="A272" s="40" t="inlineStr">
        <is>
          <t>120.01.01.C009</t>
        </is>
      </c>
      <c r="B272" s="40" t="inlineStr">
        <is>
          <t>Club Jolly Turizm Ve Tic.A.Ş.</t>
        </is>
      </c>
      <c r="C272" s="40" t="inlineStr">
        <is>
          <t>TRY</t>
        </is>
      </c>
      <c r="D272" s="40" t="inlineStr">
        <is>
          <t>ROYAL ADAM EVE</t>
        </is>
      </c>
      <c r="E272" s="38" t="n">
        <v>2633061.6</v>
      </c>
      <c r="F272" s="38" t="n">
        <v>135161.25</v>
      </c>
      <c r="G272" s="38" t="n">
        <v>2497900.35</v>
      </c>
      <c r="H272" s="40" t="inlineStr">
        <is>
          <t>Borç</t>
        </is>
      </c>
      <c r="I272" s="38" t="n">
        <v>2633061.6</v>
      </c>
      <c r="J272" s="38" t="n">
        <v>135161.25</v>
      </c>
      <c r="K272" s="38" t="n">
        <v>2497900.35</v>
      </c>
      <c r="L272" s="40" t="inlineStr">
        <is>
          <t>Borç</t>
        </is>
      </c>
    </row>
    <row r="273" s="34">
      <c r="A273" s="40" t="inlineStr">
        <is>
          <t>120.01.01.C009</t>
        </is>
      </c>
      <c r="B273" s="40" t="inlineStr">
        <is>
          <t>Club Jolly Turizm Ve Tic.A.Ş.</t>
        </is>
      </c>
      <c r="C273" s="40" t="inlineStr">
        <is>
          <t>TRY</t>
        </is>
      </c>
      <c r="D273" s="40" t="inlineStr">
        <is>
          <t>ROYAL ALHAMBRA</t>
        </is>
      </c>
      <c r="E273" s="38" t="n">
        <v>1452684.24</v>
      </c>
      <c r="F273" s="38" t="n">
        <v>9916</v>
      </c>
      <c r="G273" s="38" t="n">
        <v>1442768.24</v>
      </c>
      <c r="H273" s="40" t="inlineStr">
        <is>
          <t>Borç</t>
        </is>
      </c>
      <c r="I273" s="38" t="n">
        <v>1452684.24</v>
      </c>
      <c r="J273" s="38" t="n">
        <v>9916</v>
      </c>
      <c r="K273" s="38" t="n">
        <v>1442768.24</v>
      </c>
      <c r="L273" s="40" t="inlineStr">
        <is>
          <t>Borç</t>
        </is>
      </c>
    </row>
    <row r="274" s="34">
      <c r="A274" s="40" t="inlineStr">
        <is>
          <t>120.01.01.C009</t>
        </is>
      </c>
      <c r="B274" s="40" t="inlineStr">
        <is>
          <t>Club Jolly Turizm Ve Tic.A.Ş.</t>
        </is>
      </c>
      <c r="C274" s="40" t="inlineStr">
        <is>
          <t>TRY</t>
        </is>
      </c>
      <c r="D274" s="40" t="inlineStr">
        <is>
          <t>ROYAL DRAGON</t>
        </is>
      </c>
      <c r="E274" s="38" t="n">
        <v>899732.24</v>
      </c>
      <c r="F274" s="38" t="n">
        <v>113515.5</v>
      </c>
      <c r="G274" s="38" t="n">
        <v>786216.74</v>
      </c>
      <c r="H274" s="40" t="inlineStr">
        <is>
          <t>Borç</t>
        </is>
      </c>
      <c r="I274" s="38" t="n">
        <v>899732.24</v>
      </c>
      <c r="J274" s="38" t="n">
        <v>113515.5</v>
      </c>
      <c r="K274" s="38" t="n">
        <v>786216.74</v>
      </c>
      <c r="L274" s="40" t="inlineStr">
        <is>
          <t>Borç</t>
        </is>
      </c>
    </row>
    <row r="275" s="34">
      <c r="A275" s="40" t="inlineStr">
        <is>
          <t>120.01.01.C009</t>
        </is>
      </c>
      <c r="B275" s="40" t="inlineStr">
        <is>
          <t>Club Jolly Turizm Ve Tic.A.Ş.</t>
        </is>
      </c>
      <c r="C275" s="40" t="inlineStr">
        <is>
          <t>TRY</t>
        </is>
      </c>
      <c r="D275" s="40" t="inlineStr">
        <is>
          <t>ROYAL HOLIDAY</t>
        </is>
      </c>
      <c r="E275" s="38" t="n">
        <v>1623327.5</v>
      </c>
      <c r="F275" s="38" t="n">
        <v>0</v>
      </c>
      <c r="G275" s="38" t="n">
        <v>1623327.5</v>
      </c>
      <c r="H275" s="40" t="inlineStr">
        <is>
          <t>Borç</t>
        </is>
      </c>
      <c r="I275" s="38" t="n">
        <v>1623327.5</v>
      </c>
      <c r="J275" s="38" t="n">
        <v>0</v>
      </c>
      <c r="K275" s="38" t="n">
        <v>1623327.5</v>
      </c>
      <c r="L275" s="40" t="inlineStr">
        <is>
          <t>Borç</t>
        </is>
      </c>
    </row>
    <row r="276" s="34">
      <c r="A276" s="40" t="inlineStr">
        <is>
          <t>120.01.01.C009</t>
        </is>
      </c>
      <c r="B276" s="40" t="inlineStr">
        <is>
          <t>Club Jolly Turizm Ve Tic.A.Ş.</t>
        </is>
      </c>
      <c r="C276" s="40" t="inlineStr">
        <is>
          <t>TRY</t>
        </is>
      </c>
      <c r="D276" s="40" t="inlineStr">
        <is>
          <t>ROYAL SEGINUS</t>
        </is>
      </c>
      <c r="E276" s="38" t="n">
        <v>2775970.75</v>
      </c>
      <c r="F276" s="38" t="n">
        <v>134713.5</v>
      </c>
      <c r="G276" s="38" t="n">
        <v>2641257.25</v>
      </c>
      <c r="H276" s="40" t="inlineStr">
        <is>
          <t>Borç</t>
        </is>
      </c>
      <c r="I276" s="38" t="n">
        <v>2775970.75</v>
      </c>
      <c r="J276" s="38" t="n">
        <v>134713.5</v>
      </c>
      <c r="K276" s="38" t="n">
        <v>2641257.25</v>
      </c>
      <c r="L276" s="40" t="inlineStr">
        <is>
          <t>Borç</t>
        </is>
      </c>
    </row>
    <row r="277" s="34">
      <c r="A277" s="40" t="inlineStr">
        <is>
          <t>120.01.01.C012</t>
        </is>
      </c>
      <c r="B277" s="40" t="inlineStr">
        <is>
          <t>Coral Seyahat A.Ş</t>
        </is>
      </c>
      <c r="C277" s="40" t="inlineStr">
        <is>
          <t>TRY</t>
        </is>
      </c>
      <c r="D277" s="40" t="inlineStr">
        <is>
          <t>ROYAL ADAM EVE</t>
        </is>
      </c>
      <c r="E277" s="38" t="n">
        <v>744516.6</v>
      </c>
      <c r="F277" s="38" t="n">
        <v>0</v>
      </c>
      <c r="G277" s="38" t="n">
        <v>744516.6</v>
      </c>
      <c r="H277" s="40" t="inlineStr">
        <is>
          <t>Borç</t>
        </is>
      </c>
      <c r="I277" s="38" t="n">
        <v>744516.6</v>
      </c>
      <c r="J277" s="38" t="n">
        <v>0</v>
      </c>
      <c r="K277" s="38" t="n">
        <v>744516.6</v>
      </c>
      <c r="L277" s="40" t="inlineStr">
        <is>
          <t>Borç</t>
        </is>
      </c>
    </row>
    <row r="278" s="34">
      <c r="A278" s="40" t="inlineStr">
        <is>
          <t>120.01.01.C012</t>
        </is>
      </c>
      <c r="B278" s="40" t="inlineStr">
        <is>
          <t>Coral Seyahat A.Ş</t>
        </is>
      </c>
      <c r="C278" s="40" t="inlineStr">
        <is>
          <t>TRY</t>
        </is>
      </c>
      <c r="D278" s="40" t="inlineStr">
        <is>
          <t>ROYAL ALHAMBRA</t>
        </is>
      </c>
      <c r="E278" s="38" t="n">
        <v>955231.92</v>
      </c>
      <c r="F278" s="38" t="n">
        <v>7301.19</v>
      </c>
      <c r="G278" s="38" t="n">
        <v>947930.73</v>
      </c>
      <c r="H278" s="40" t="inlineStr">
        <is>
          <t>Borç</t>
        </is>
      </c>
      <c r="I278" s="38" t="n">
        <v>955231.92</v>
      </c>
      <c r="J278" s="38" t="n">
        <v>7301.19</v>
      </c>
      <c r="K278" s="38" t="n">
        <v>947930.73</v>
      </c>
      <c r="L278" s="40" t="inlineStr">
        <is>
          <t>Borç</t>
        </is>
      </c>
    </row>
    <row r="279" s="34">
      <c r="A279" s="40" t="inlineStr">
        <is>
          <t>120.01.01.C012</t>
        </is>
      </c>
      <c r="B279" s="40" t="inlineStr">
        <is>
          <t>Coral Seyahat A.Ş</t>
        </is>
      </c>
      <c r="C279" s="40" t="inlineStr">
        <is>
          <t>TRY</t>
        </is>
      </c>
      <c r="D279" s="40" t="inlineStr">
        <is>
          <t>ROYAL DRAGON</t>
        </is>
      </c>
      <c r="E279" s="38" t="n">
        <v>121887</v>
      </c>
      <c r="F279" s="38" t="n">
        <v>0</v>
      </c>
      <c r="G279" s="38" t="n">
        <v>121887</v>
      </c>
      <c r="H279" s="40" t="inlineStr">
        <is>
          <t>Borç</t>
        </is>
      </c>
      <c r="I279" s="38" t="n">
        <v>121887</v>
      </c>
      <c r="J279" s="38" t="n">
        <v>0</v>
      </c>
      <c r="K279" s="38" t="n">
        <v>121887</v>
      </c>
      <c r="L279" s="40" t="inlineStr">
        <is>
          <t>Borç</t>
        </is>
      </c>
    </row>
    <row r="280" s="34">
      <c r="A280" s="40" t="inlineStr">
        <is>
          <t>120.01.01.C012</t>
        </is>
      </c>
      <c r="B280" s="40" t="inlineStr">
        <is>
          <t>Coral Seyahat A.Ş</t>
        </is>
      </c>
      <c r="C280" s="40" t="inlineStr">
        <is>
          <t>TRY</t>
        </is>
      </c>
      <c r="D280" s="40" t="inlineStr">
        <is>
          <t>ROYAL HOLIDAY</t>
        </is>
      </c>
      <c r="E280" s="38" t="n">
        <v>56580</v>
      </c>
      <c r="F280" s="38" t="n">
        <v>0</v>
      </c>
      <c r="G280" s="38" t="n">
        <v>56580</v>
      </c>
      <c r="H280" s="40" t="inlineStr">
        <is>
          <t>Borç</t>
        </is>
      </c>
      <c r="I280" s="38" t="n">
        <v>56580</v>
      </c>
      <c r="J280" s="38" t="n">
        <v>0</v>
      </c>
      <c r="K280" s="38" t="n">
        <v>56580</v>
      </c>
      <c r="L280" s="40" t="inlineStr">
        <is>
          <t>Borç</t>
        </is>
      </c>
    </row>
    <row r="281" s="34">
      <c r="A281" s="40" t="inlineStr">
        <is>
          <t>120.01.01.C012</t>
        </is>
      </c>
      <c r="B281" s="40" t="inlineStr">
        <is>
          <t>Coral Seyahat A.Ş</t>
        </is>
      </c>
      <c r="C281" s="40" t="inlineStr">
        <is>
          <t>TRY</t>
        </is>
      </c>
      <c r="D281" s="40" t="inlineStr">
        <is>
          <t>ROYAL SEGINUS</t>
        </is>
      </c>
      <c r="E281" s="38" t="n">
        <v>379790</v>
      </c>
      <c r="F281" s="38" t="n">
        <v>0</v>
      </c>
      <c r="G281" s="38" t="n">
        <v>379790</v>
      </c>
      <c r="H281" s="40" t="inlineStr">
        <is>
          <t>Borç</t>
        </is>
      </c>
      <c r="I281" s="38" t="n">
        <v>379790</v>
      </c>
      <c r="J281" s="38" t="n">
        <v>0</v>
      </c>
      <c r="K281" s="38" t="n">
        <v>379790</v>
      </c>
      <c r="L281" s="40" t="inlineStr">
        <is>
          <t>Borç</t>
        </is>
      </c>
    </row>
    <row r="282" s="34">
      <c r="A282" s="40" t="inlineStr">
        <is>
          <t>120.01.01.C016</t>
        </is>
      </c>
      <c r="B282" s="40" t="inlineStr">
        <is>
          <t>Corendon Internatıonal Travel Bv</t>
        </is>
      </c>
      <c r="C282" s="40" t="inlineStr">
        <is>
          <t>EUR</t>
        </is>
      </c>
      <c r="D282" s="40" t="inlineStr">
        <is>
          <t>ROYAL ADAM EVE</t>
        </is>
      </c>
      <c r="E282" s="38" t="n">
        <v>90109.32000000001</v>
      </c>
      <c r="F282" s="38" t="n">
        <v>0</v>
      </c>
      <c r="G282" s="38" t="n">
        <v>90109.32000000001</v>
      </c>
      <c r="H282" s="40" t="inlineStr">
        <is>
          <t>Borç</t>
        </is>
      </c>
      <c r="I282" s="38" t="n">
        <v>1680</v>
      </c>
      <c r="J282" s="38" t="n">
        <v>0</v>
      </c>
      <c r="K282" s="38" t="n">
        <v>1680</v>
      </c>
      <c r="L282" s="40" t="inlineStr">
        <is>
          <t>Borç</t>
        </is>
      </c>
    </row>
    <row r="283" s="34">
      <c r="A283" s="40" t="inlineStr">
        <is>
          <t>120.01.01.C016</t>
        </is>
      </c>
      <c r="B283" s="40" t="inlineStr">
        <is>
          <t>Corendon Internatıonal Travel Bv</t>
        </is>
      </c>
      <c r="C283" s="40" t="inlineStr">
        <is>
          <t>EUR</t>
        </is>
      </c>
      <c r="D283" s="40" t="inlineStr">
        <is>
          <t>ROYAL ALHAMBRA</t>
        </is>
      </c>
      <c r="E283" s="38" t="n">
        <v>190603.17</v>
      </c>
      <c r="F283" s="38" t="n">
        <v>23490.73</v>
      </c>
      <c r="G283" s="38" t="n">
        <v>167112.44</v>
      </c>
      <c r="H283" s="40" t="inlineStr">
        <is>
          <t>Borç</t>
        </is>
      </c>
      <c r="I283" s="38" t="n">
        <v>3588</v>
      </c>
      <c r="J283" s="38" t="n">
        <v>442.2</v>
      </c>
      <c r="K283" s="38" t="n">
        <v>3145.8</v>
      </c>
      <c r="L283" s="40" t="inlineStr">
        <is>
          <t>Borç</t>
        </is>
      </c>
    </row>
    <row r="284" s="34">
      <c r="A284" s="40" t="inlineStr">
        <is>
          <t>120.01.01.C016</t>
        </is>
      </c>
      <c r="B284" s="40" t="inlineStr">
        <is>
          <t>Corendon Internatıonal Travel Bv</t>
        </is>
      </c>
      <c r="C284" s="40" t="inlineStr">
        <is>
          <t>EUR</t>
        </is>
      </c>
      <c r="D284" s="40" t="inlineStr">
        <is>
          <t>ROYAL DRAGON</t>
        </is>
      </c>
      <c r="E284" s="38" t="n">
        <v>831860.9399999999</v>
      </c>
      <c r="F284" s="38" t="n">
        <v>0</v>
      </c>
      <c r="G284" s="38" t="n">
        <v>831860.9399999999</v>
      </c>
      <c r="H284" s="40" t="inlineStr">
        <is>
          <t>Borç</t>
        </is>
      </c>
      <c r="I284" s="38" t="n">
        <v>15673.41</v>
      </c>
      <c r="J284" s="38" t="n">
        <v>0</v>
      </c>
      <c r="K284" s="38" t="n">
        <v>15673.41</v>
      </c>
      <c r="L284" s="40" t="inlineStr">
        <is>
          <t>Borç</t>
        </is>
      </c>
    </row>
    <row r="285" s="34">
      <c r="A285" s="40" t="inlineStr">
        <is>
          <t>120.01.01.C016</t>
        </is>
      </c>
      <c r="B285" s="40" t="inlineStr">
        <is>
          <t>Corendon Internatıonal Travel Bv</t>
        </is>
      </c>
      <c r="C285" s="40" t="inlineStr">
        <is>
          <t>EUR</t>
        </is>
      </c>
      <c r="D285" s="40" t="inlineStr">
        <is>
          <t>ROYAL HOLIDAY</t>
        </is>
      </c>
      <c r="E285" s="38" t="n">
        <v>1206165.73</v>
      </c>
      <c r="F285" s="38" t="n">
        <v>0</v>
      </c>
      <c r="G285" s="38" t="n">
        <v>1206165.73</v>
      </c>
      <c r="H285" s="40" t="inlineStr">
        <is>
          <t>Borç</t>
        </is>
      </c>
      <c r="I285" s="38" t="n">
        <v>22748.78</v>
      </c>
      <c r="J285" s="38" t="n">
        <v>0</v>
      </c>
      <c r="K285" s="38" t="n">
        <v>22748.78</v>
      </c>
      <c r="L285" s="40" t="inlineStr">
        <is>
          <t>Borç</t>
        </is>
      </c>
    </row>
    <row r="286" s="34">
      <c r="A286" s="40" t="inlineStr">
        <is>
          <t>120.01.01.C016</t>
        </is>
      </c>
      <c r="B286" s="40" t="inlineStr">
        <is>
          <t>Corendon Internatıonal Travel Bv</t>
        </is>
      </c>
      <c r="C286" s="40" t="inlineStr">
        <is>
          <t>EUR</t>
        </is>
      </c>
      <c r="D286" s="40" t="inlineStr">
        <is>
          <t>ROYAL SEGINUS</t>
        </is>
      </c>
      <c r="E286" s="38" t="n">
        <v>1697544.53</v>
      </c>
      <c r="F286" s="38" t="n">
        <v>0</v>
      </c>
      <c r="G286" s="38" t="n">
        <v>1697544.53</v>
      </c>
      <c r="H286" s="40" t="inlineStr">
        <is>
          <t>Borç</t>
        </is>
      </c>
      <c r="I286" s="38" t="n">
        <v>31908.6</v>
      </c>
      <c r="J286" s="38" t="n">
        <v>0</v>
      </c>
      <c r="K286" s="38" t="n">
        <v>31908.6</v>
      </c>
      <c r="L286" s="40" t="inlineStr">
        <is>
          <t>Borç</t>
        </is>
      </c>
    </row>
    <row r="287" s="34">
      <c r="A287" s="40" t="inlineStr">
        <is>
          <t>120.01.01.D003</t>
        </is>
      </c>
      <c r="B287" s="40" t="inlineStr">
        <is>
          <t>Dertour Suisse AG Helvetic Tours / Kuoni</t>
        </is>
      </c>
      <c r="C287" s="40" t="inlineStr">
        <is>
          <t>EUR</t>
        </is>
      </c>
      <c r="D287" s="40" t="inlineStr">
        <is>
          <t>ROYAL HOLIDAY</t>
        </is>
      </c>
      <c r="E287" s="38" t="n">
        <v>0</v>
      </c>
      <c r="F287" s="38" t="n">
        <v>78390.96000000001</v>
      </c>
      <c r="G287" s="38" t="n">
        <v>-78390.96000000001</v>
      </c>
      <c r="H287" s="40" t="inlineStr">
        <is>
          <t>Alacak</t>
        </is>
      </c>
      <c r="I287" s="38" t="n">
        <v>0</v>
      </c>
      <c r="J287" s="38" t="n">
        <v>1470</v>
      </c>
      <c r="K287" s="38" t="n">
        <v>-1470</v>
      </c>
      <c r="L287" s="40" t="inlineStr">
        <is>
          <t>Alacak</t>
        </is>
      </c>
    </row>
    <row r="288" s="34">
      <c r="A288" s="40" t="inlineStr">
        <is>
          <t>120.01.01.D004</t>
        </is>
      </c>
      <c r="B288" s="40" t="inlineStr">
        <is>
          <t>Dertour Austria GmbH</t>
        </is>
      </c>
      <c r="C288" s="40" t="inlineStr">
        <is>
          <t>EUR</t>
        </is>
      </c>
      <c r="D288" s="40" t="inlineStr">
        <is>
          <t>ROYAL HOLIDAY</t>
        </is>
      </c>
      <c r="E288" s="38" t="n">
        <v>0</v>
      </c>
      <c r="F288" s="38" t="n">
        <v>99201.83</v>
      </c>
      <c r="G288" s="38" t="n">
        <v>-99201.83</v>
      </c>
      <c r="H288" s="40" t="inlineStr">
        <is>
          <t>Alacak</t>
        </is>
      </c>
      <c r="I288" s="38" t="n">
        <v>0</v>
      </c>
      <c r="J288" s="38" t="n">
        <v>1867.42</v>
      </c>
      <c r="K288" s="38" t="n">
        <v>-1867.42</v>
      </c>
      <c r="L288" s="40" t="inlineStr">
        <is>
          <t>Alacak</t>
        </is>
      </c>
    </row>
    <row r="289" s="34">
      <c r="A289" s="40" t="inlineStr">
        <is>
          <t>120.01.01.D005</t>
        </is>
      </c>
      <c r="B289" s="40" t="inlineStr">
        <is>
          <t>Deha Turizm Tic.A.Ş.</t>
        </is>
      </c>
      <c r="C289" s="40" t="inlineStr">
        <is>
          <t>EUR</t>
        </is>
      </c>
      <c r="D289" s="40" t="inlineStr">
        <is>
          <t>ROYAL ADAM EVE</t>
        </is>
      </c>
      <c r="E289" s="38" t="n">
        <v>80957.59</v>
      </c>
      <c r="F289" s="38" t="n">
        <v>0</v>
      </c>
      <c r="G289" s="38" t="n">
        <v>80957.59</v>
      </c>
      <c r="H289" s="40" t="inlineStr">
        <is>
          <t>Borç</t>
        </is>
      </c>
      <c r="I289" s="38" t="n">
        <v>1509.38</v>
      </c>
      <c r="J289" s="38" t="n">
        <v>0</v>
      </c>
      <c r="K289" s="38" t="n">
        <v>1509.38</v>
      </c>
      <c r="L289" s="40" t="inlineStr">
        <is>
          <t>Borç</t>
        </is>
      </c>
    </row>
    <row r="290" s="34">
      <c r="A290" s="40" t="inlineStr">
        <is>
          <t>120.01.01.D005</t>
        </is>
      </c>
      <c r="B290" s="40" t="inlineStr">
        <is>
          <t>Deha Turizm Tic.A.Ş.</t>
        </is>
      </c>
      <c r="C290" s="40" t="inlineStr">
        <is>
          <t>EUR</t>
        </is>
      </c>
      <c r="D290" s="40" t="inlineStr">
        <is>
          <t>ROYAL ALHAMBRA</t>
        </is>
      </c>
      <c r="E290" s="38" t="n">
        <v>312624.22</v>
      </c>
      <c r="F290" s="38" t="n">
        <v>0</v>
      </c>
      <c r="G290" s="38" t="n">
        <v>312624.22</v>
      </c>
      <c r="H290" s="40" t="inlineStr">
        <is>
          <t>Borç</t>
        </is>
      </c>
      <c r="I290" s="38" t="n">
        <v>5885.25</v>
      </c>
      <c r="J290" s="38" t="n">
        <v>0</v>
      </c>
      <c r="K290" s="38" t="n">
        <v>5885.25</v>
      </c>
      <c r="L290" s="40" t="inlineStr">
        <is>
          <t>Borç</t>
        </is>
      </c>
    </row>
    <row r="291" s="34">
      <c r="A291" s="40" t="inlineStr">
        <is>
          <t>120.01.01.D005</t>
        </is>
      </c>
      <c r="B291" s="40" t="inlineStr">
        <is>
          <t>Deha Turizm Tic.A.Ş.</t>
        </is>
      </c>
      <c r="C291" s="40" t="inlineStr">
        <is>
          <t>EUR</t>
        </is>
      </c>
      <c r="D291" s="40" t="inlineStr">
        <is>
          <t>ROYAL DRAGON</t>
        </is>
      </c>
      <c r="E291" s="38" t="n">
        <v>316901.68</v>
      </c>
      <c r="F291" s="38" t="n">
        <v>0</v>
      </c>
      <c r="G291" s="38" t="n">
        <v>316901.68</v>
      </c>
      <c r="H291" s="40" t="inlineStr">
        <is>
          <t>Borç</t>
        </is>
      </c>
      <c r="I291" s="38" t="n">
        <v>5965.51</v>
      </c>
      <c r="J291" s="38" t="n">
        <v>0</v>
      </c>
      <c r="K291" s="38" t="n">
        <v>5965.51</v>
      </c>
      <c r="L291" s="40" t="inlineStr">
        <is>
          <t>Borç</t>
        </is>
      </c>
    </row>
    <row r="292" s="34">
      <c r="A292" s="40" t="inlineStr">
        <is>
          <t>120.01.01.D005</t>
        </is>
      </c>
      <c r="B292" s="40" t="inlineStr">
        <is>
          <t>Deha Turizm Tic.A.Ş.</t>
        </is>
      </c>
      <c r="C292" s="40" t="inlineStr">
        <is>
          <t>EUR</t>
        </is>
      </c>
      <c r="D292" s="40" t="inlineStr">
        <is>
          <t>ROYAL HOLIDAY</t>
        </is>
      </c>
      <c r="E292" s="38" t="n">
        <v>507371.38</v>
      </c>
      <c r="F292" s="38" t="n">
        <v>0</v>
      </c>
      <c r="G292" s="38" t="n">
        <v>507371.38</v>
      </c>
      <c r="H292" s="40" t="inlineStr">
        <is>
          <t>Borç</t>
        </is>
      </c>
      <c r="I292" s="38" t="n">
        <v>9535.33</v>
      </c>
      <c r="J292" s="38" t="n">
        <v>0</v>
      </c>
      <c r="K292" s="38" t="n">
        <v>9535.33</v>
      </c>
      <c r="L292" s="40" t="inlineStr">
        <is>
          <t>Borç</t>
        </is>
      </c>
    </row>
    <row r="293" s="34">
      <c r="A293" s="40" t="inlineStr">
        <is>
          <t>120.01.01.D005</t>
        </is>
      </c>
      <c r="B293" s="40" t="inlineStr">
        <is>
          <t>Deha Turizm Tic.A.Ş.</t>
        </is>
      </c>
      <c r="C293" s="40" t="inlineStr">
        <is>
          <t>EUR</t>
        </is>
      </c>
      <c r="D293" s="40" t="inlineStr">
        <is>
          <t>ROYAL SEGINUS</t>
        </is>
      </c>
      <c r="E293" s="38" t="n">
        <v>66742.78999999999</v>
      </c>
      <c r="F293" s="38" t="n">
        <v>0</v>
      </c>
      <c r="G293" s="38" t="n">
        <v>66742.78999999999</v>
      </c>
      <c r="H293" s="40" t="inlineStr">
        <is>
          <t>Borç</t>
        </is>
      </c>
      <c r="I293" s="38" t="n">
        <v>1249.5</v>
      </c>
      <c r="J293" s="38" t="n">
        <v>0</v>
      </c>
      <c r="K293" s="38" t="n">
        <v>1249.5</v>
      </c>
      <c r="L293" s="40" t="inlineStr">
        <is>
          <t>Borç</t>
        </is>
      </c>
    </row>
    <row r="294" s="34">
      <c r="A294" s="40" t="inlineStr">
        <is>
          <t>120.01.01.D006</t>
        </is>
      </c>
      <c r="B294" s="40" t="inlineStr">
        <is>
          <t>Dossodossi Fuarcılık Anonim Şirketi</t>
        </is>
      </c>
      <c r="C294" s="40" t="inlineStr">
        <is>
          <t>EUR</t>
        </is>
      </c>
      <c r="D294" s="40" t="inlineStr">
        <is>
          <t>ROYAL HOLIDAY</t>
        </is>
      </c>
      <c r="E294" s="38" t="n">
        <v>13218042.63</v>
      </c>
      <c r="F294" s="38" t="n">
        <v>0</v>
      </c>
      <c r="G294" s="38" t="n">
        <v>13218042.63</v>
      </c>
      <c r="H294" s="40" t="inlineStr">
        <is>
          <t>Borç</t>
        </is>
      </c>
      <c r="I294" s="38" t="n">
        <v>247676</v>
      </c>
      <c r="J294" s="38" t="n">
        <v>0</v>
      </c>
      <c r="K294" s="38" t="n">
        <v>247676</v>
      </c>
      <c r="L294" s="40" t="inlineStr">
        <is>
          <t>Borç</t>
        </is>
      </c>
    </row>
    <row r="295" s="34">
      <c r="A295" s="40" t="inlineStr">
        <is>
          <t>120.01.01.D006</t>
        </is>
      </c>
      <c r="B295" s="40" t="inlineStr">
        <is>
          <t>Dossodossi Fuarcılık Anonim Şirketi</t>
        </is>
      </c>
      <c r="C295" s="40" t="inlineStr">
        <is>
          <t>EUR</t>
        </is>
      </c>
      <c r="D295" s="40" t="inlineStr">
        <is>
          <t>ROYAL SEGINUS</t>
        </is>
      </c>
      <c r="E295" s="38" t="n">
        <v>15393157.95</v>
      </c>
      <c r="F295" s="38" t="n">
        <v>0</v>
      </c>
      <c r="G295" s="38" t="n">
        <v>15393157.95</v>
      </c>
      <c r="H295" s="40" t="inlineStr">
        <is>
          <t>Borç</t>
        </is>
      </c>
      <c r="I295" s="38" t="n">
        <v>286694</v>
      </c>
      <c r="J295" s="38" t="n">
        <v>0</v>
      </c>
      <c r="K295" s="38" t="n">
        <v>286694</v>
      </c>
      <c r="L295" s="40" t="inlineStr">
        <is>
          <t>Borç</t>
        </is>
      </c>
    </row>
    <row r="296" s="34">
      <c r="A296" s="40" t="inlineStr">
        <is>
          <t>120.01.01.D008</t>
        </is>
      </c>
      <c r="B296" s="40" t="inlineStr">
        <is>
          <t>Destınatıon Services Turkey Seyahat A.Ş.</t>
        </is>
      </c>
      <c r="C296" s="40" t="inlineStr">
        <is>
          <t>EUR</t>
        </is>
      </c>
      <c r="D296" s="40" t="inlineStr">
        <is>
          <t>ROYAL SEGINUS</t>
        </is>
      </c>
      <c r="E296" s="38" t="n">
        <v>86328.78</v>
      </c>
      <c r="F296" s="38" t="n">
        <v>86181.39999999999</v>
      </c>
      <c r="G296" s="38" t="n">
        <v>147.38</v>
      </c>
      <c r="H296" s="40" t="inlineStr">
        <is>
          <t>Borç</t>
        </is>
      </c>
      <c r="I296" s="38" t="n">
        <v>1628.55</v>
      </c>
      <c r="J296" s="38" t="n">
        <v>1628.55</v>
      </c>
      <c r="K296" s="38" t="n">
        <v>0</v>
      </c>
    </row>
    <row r="297" s="34">
      <c r="A297" s="40" t="inlineStr">
        <is>
          <t>120.01.01.D010</t>
        </is>
      </c>
      <c r="B297" s="40" t="inlineStr">
        <is>
          <t>Destination Turistik Hizmetleri Ticaret Ltd.Şti.</t>
        </is>
      </c>
      <c r="C297" s="40" t="inlineStr">
        <is>
          <t>EUR</t>
        </is>
      </c>
      <c r="D297" s="40" t="inlineStr">
        <is>
          <t>ROYAL ADAM EVE</t>
        </is>
      </c>
      <c r="E297" s="38" t="n">
        <v>224017.79</v>
      </c>
      <c r="F297" s="38" t="n">
        <v>0</v>
      </c>
      <c r="G297" s="38" t="n">
        <v>224017.79</v>
      </c>
      <c r="H297" s="40" t="inlineStr">
        <is>
          <t>Borç</t>
        </is>
      </c>
      <c r="I297" s="38" t="n">
        <v>4192.5</v>
      </c>
      <c r="J297" s="38" t="n">
        <v>0</v>
      </c>
      <c r="K297" s="38" t="n">
        <v>4192.5</v>
      </c>
      <c r="L297" s="40" t="inlineStr">
        <is>
          <t>Borç</t>
        </is>
      </c>
    </row>
    <row r="298" s="34">
      <c r="A298" s="40" t="inlineStr">
        <is>
          <t>120.01.01.D010</t>
        </is>
      </c>
      <c r="B298" s="40" t="inlineStr">
        <is>
          <t>Destination Turistik Hizmetleri Ticaret Ltd.Şti.</t>
        </is>
      </c>
      <c r="C298" s="40" t="inlineStr">
        <is>
          <t>EUR</t>
        </is>
      </c>
      <c r="D298" s="40" t="inlineStr">
        <is>
          <t>ROYAL ALHAMBRA</t>
        </is>
      </c>
      <c r="E298" s="38" t="n">
        <v>1542369.28</v>
      </c>
      <c r="F298" s="38" t="n">
        <v>0</v>
      </c>
      <c r="G298" s="38" t="n">
        <v>1542369.28</v>
      </c>
      <c r="H298" s="40" t="inlineStr">
        <is>
          <t>Borç</t>
        </is>
      </c>
      <c r="I298" s="38" t="n">
        <v>28973.02</v>
      </c>
      <c r="J298" s="38" t="n">
        <v>0</v>
      </c>
      <c r="K298" s="38" t="n">
        <v>28973.02</v>
      </c>
      <c r="L298" s="40" t="inlineStr">
        <is>
          <t>Borç</t>
        </is>
      </c>
    </row>
    <row r="299" s="34">
      <c r="A299" s="40" t="inlineStr">
        <is>
          <t>120.01.01.D010</t>
        </is>
      </c>
      <c r="B299" s="40" t="inlineStr">
        <is>
          <t>Destination Turistik Hizmetleri Ticaret Ltd.Şti.</t>
        </is>
      </c>
      <c r="C299" s="40" t="inlineStr">
        <is>
          <t>EUR</t>
        </is>
      </c>
      <c r="D299" s="40" t="inlineStr">
        <is>
          <t>ROYAL DRAGON</t>
        </is>
      </c>
      <c r="E299" s="38" t="n">
        <v>1045302.28</v>
      </c>
      <c r="F299" s="38" t="n">
        <v>0</v>
      </c>
      <c r="G299" s="38" t="n">
        <v>1045302.28</v>
      </c>
      <c r="H299" s="40" t="inlineStr">
        <is>
          <t>Borç</t>
        </is>
      </c>
      <c r="I299" s="38" t="n">
        <v>19593.83</v>
      </c>
      <c r="J299" s="38" t="n">
        <v>0</v>
      </c>
      <c r="K299" s="38" t="n">
        <v>19593.83</v>
      </c>
      <c r="L299" s="40" t="inlineStr">
        <is>
          <t>Borç</t>
        </is>
      </c>
    </row>
    <row r="300" s="34">
      <c r="A300" s="40" t="inlineStr">
        <is>
          <t>120.01.01.D010</t>
        </is>
      </c>
      <c r="B300" s="40" t="inlineStr">
        <is>
          <t>Destination Turistik Hizmetleri Ticaret Ltd.Şti.</t>
        </is>
      </c>
      <c r="C300" s="40" t="inlineStr">
        <is>
          <t>EUR</t>
        </is>
      </c>
      <c r="D300" s="40" t="inlineStr">
        <is>
          <t>ROYAL HOLIDAY</t>
        </is>
      </c>
      <c r="E300" s="38" t="n">
        <v>1127716.41</v>
      </c>
      <c r="F300" s="38" t="n">
        <v>0</v>
      </c>
      <c r="G300" s="38" t="n">
        <v>1127716.41</v>
      </c>
      <c r="H300" s="40" t="inlineStr">
        <is>
          <t>Borç</t>
        </is>
      </c>
      <c r="I300" s="38" t="n">
        <v>21119.67</v>
      </c>
      <c r="J300" s="38" t="n">
        <v>0</v>
      </c>
      <c r="K300" s="38" t="n">
        <v>21119.67</v>
      </c>
      <c r="L300" s="40" t="inlineStr">
        <is>
          <t>Borç</t>
        </is>
      </c>
    </row>
    <row r="301" s="34">
      <c r="A301" s="40" t="inlineStr">
        <is>
          <t>120.01.01.D010</t>
        </is>
      </c>
      <c r="B301" s="40" t="inlineStr">
        <is>
          <t>Destination Turistik Hizmetleri Ticaret Ltd.Şti.</t>
        </is>
      </c>
      <c r="C301" s="40" t="inlineStr">
        <is>
          <t>EUR</t>
        </is>
      </c>
      <c r="D301" s="40" t="inlineStr">
        <is>
          <t>ROYAL SEGINUS</t>
        </is>
      </c>
      <c r="E301" s="38" t="n">
        <v>730758.37</v>
      </c>
      <c r="F301" s="38" t="n">
        <v>0</v>
      </c>
      <c r="G301" s="38" t="n">
        <v>730758.37</v>
      </c>
      <c r="H301" s="40" t="inlineStr">
        <is>
          <t>Borç</t>
        </is>
      </c>
      <c r="I301" s="38" t="n">
        <v>13741.2</v>
      </c>
      <c r="J301" s="38" t="n">
        <v>0</v>
      </c>
      <c r="K301" s="38" t="n">
        <v>13741.2</v>
      </c>
      <c r="L301" s="40" t="inlineStr">
        <is>
          <t>Borç</t>
        </is>
      </c>
    </row>
    <row r="302" s="34">
      <c r="A302" s="40" t="inlineStr">
        <is>
          <t>120.01.01.D014</t>
        </is>
      </c>
      <c r="B302" s="40" t="inlineStr">
        <is>
          <t>Diana Turizm Otelcilik Tic. Ve San. A.Ş.</t>
        </is>
      </c>
      <c r="C302" s="40" t="inlineStr">
        <is>
          <t>EUR</t>
        </is>
      </c>
      <c r="D302" s="40" t="inlineStr">
        <is>
          <t>ROYAL ALHAMBRA</t>
        </is>
      </c>
      <c r="E302" s="38" t="n">
        <v>334256.19</v>
      </c>
      <c r="F302" s="38" t="n">
        <v>268021.81</v>
      </c>
      <c r="G302" s="38" t="n">
        <v>66234.38</v>
      </c>
      <c r="H302" s="40" t="inlineStr">
        <is>
          <t>Borç</t>
        </is>
      </c>
      <c r="I302" s="38" t="n">
        <v>6298.21</v>
      </c>
      <c r="J302" s="38" t="n">
        <v>5021.11</v>
      </c>
      <c r="K302" s="38" t="n">
        <v>1277.1</v>
      </c>
      <c r="L302" s="40" t="inlineStr">
        <is>
          <t>Borç</t>
        </is>
      </c>
    </row>
    <row r="303" s="34">
      <c r="A303" s="40" t="inlineStr">
        <is>
          <t>120.01.01.D014</t>
        </is>
      </c>
      <c r="B303" s="40" t="inlineStr">
        <is>
          <t>Diana Turizm Otelcilik Tic. Ve San. A.Ş.</t>
        </is>
      </c>
      <c r="C303" s="40" t="inlineStr">
        <is>
          <t>EUR</t>
        </is>
      </c>
      <c r="D303" s="40" t="inlineStr">
        <is>
          <t>ROYAL DRAGON</t>
        </is>
      </c>
      <c r="E303" s="38" t="n">
        <v>497416.83</v>
      </c>
      <c r="F303" s="38" t="n">
        <v>326425.86</v>
      </c>
      <c r="G303" s="38" t="n">
        <v>170990.97</v>
      </c>
      <c r="H303" s="40" t="inlineStr">
        <is>
          <t>Borç</t>
        </is>
      </c>
      <c r="I303" s="38" t="n">
        <v>9316.49</v>
      </c>
      <c r="J303" s="38" t="n">
        <v>6110.8</v>
      </c>
      <c r="K303" s="38" t="n">
        <v>3205.69</v>
      </c>
      <c r="L303" s="40" t="inlineStr">
        <is>
          <t>Borç</t>
        </is>
      </c>
    </row>
    <row r="304" s="34">
      <c r="A304" s="40" t="inlineStr">
        <is>
          <t>120.01.01.D014</t>
        </is>
      </c>
      <c r="B304" s="40" t="inlineStr">
        <is>
          <t>Diana Turizm Otelcilik Tic. Ve San. A.Ş.</t>
        </is>
      </c>
      <c r="C304" s="40" t="inlineStr">
        <is>
          <t>EUR</t>
        </is>
      </c>
      <c r="D304" s="40" t="inlineStr">
        <is>
          <t>ROYAL HOLIDAY</t>
        </is>
      </c>
      <c r="E304" s="38" t="n">
        <v>1946691.88</v>
      </c>
      <c r="F304" s="38" t="n">
        <v>1859452.85</v>
      </c>
      <c r="G304" s="38" t="n">
        <v>87239.03</v>
      </c>
      <c r="H304" s="40" t="inlineStr">
        <is>
          <t>Borç</t>
        </is>
      </c>
      <c r="I304" s="38" t="n">
        <v>36622.75</v>
      </c>
      <c r="J304" s="38" t="n">
        <v>34873.45</v>
      </c>
      <c r="K304" s="38" t="n">
        <v>1749.3</v>
      </c>
      <c r="L304" s="40" t="inlineStr">
        <is>
          <t>Borç</t>
        </is>
      </c>
    </row>
    <row r="305" s="34">
      <c r="A305" s="40" t="inlineStr">
        <is>
          <t>120.01.01.D014</t>
        </is>
      </c>
      <c r="B305" s="40" t="inlineStr">
        <is>
          <t>Diana Turizm Otelcilik Tic. Ve San. A.Ş.</t>
        </is>
      </c>
      <c r="C305" s="40" t="inlineStr">
        <is>
          <t>EUR</t>
        </is>
      </c>
      <c r="D305" s="40" t="inlineStr">
        <is>
          <t>ROYAL SEGINUS</t>
        </is>
      </c>
      <c r="E305" s="38" t="n">
        <v>285906.44</v>
      </c>
      <c r="F305" s="38" t="n">
        <v>201274.95</v>
      </c>
      <c r="G305" s="38" t="n">
        <v>84631.49000000001</v>
      </c>
      <c r="H305" s="40" t="inlineStr">
        <is>
          <t>Borç</t>
        </is>
      </c>
      <c r="I305" s="38" t="n">
        <v>5371.2</v>
      </c>
      <c r="J305" s="38" t="n">
        <v>3768.9</v>
      </c>
      <c r="K305" s="38" t="n">
        <v>1602.3</v>
      </c>
      <c r="L305" s="40" t="inlineStr">
        <is>
          <t>Borç</t>
        </is>
      </c>
    </row>
    <row r="306" s="34">
      <c r="A306" s="40" t="inlineStr">
        <is>
          <t>120.01.01.D017</t>
        </is>
      </c>
      <c r="B306" s="40" t="inlineStr">
        <is>
          <t>Dlt Turizm Ve Ticaret A.Ş.</t>
        </is>
      </c>
      <c r="C306" s="40" t="inlineStr">
        <is>
          <t>TRY</t>
        </is>
      </c>
      <c r="D306" s="40" t="inlineStr">
        <is>
          <t>ROYAL ADAM EVE</t>
        </is>
      </c>
      <c r="E306" s="38" t="n">
        <v>752025.25</v>
      </c>
      <c r="F306" s="38" t="n">
        <v>752025.25</v>
      </c>
      <c r="G306" s="38" t="n">
        <v>0</v>
      </c>
      <c r="I306" s="38" t="n">
        <v>752025.25</v>
      </c>
      <c r="J306" s="38" t="n">
        <v>752025.25</v>
      </c>
      <c r="K306" s="38" t="n">
        <v>0</v>
      </c>
    </row>
    <row r="307" s="34">
      <c r="A307" s="40" t="inlineStr">
        <is>
          <t>120.01.01.D017</t>
        </is>
      </c>
      <c r="B307" s="40" t="inlineStr">
        <is>
          <t>Dlt Turizm Ve Ticaret A.Ş.</t>
        </is>
      </c>
      <c r="C307" s="40" t="inlineStr">
        <is>
          <t>TRY</t>
        </is>
      </c>
      <c r="D307" s="40" t="inlineStr">
        <is>
          <t>ROYAL ALHAMBRA</t>
        </is>
      </c>
      <c r="E307" s="38" t="n">
        <v>244349.76</v>
      </c>
      <c r="F307" s="38" t="n">
        <v>244349.76</v>
      </c>
      <c r="G307" s="38" t="n">
        <v>0</v>
      </c>
      <c r="I307" s="38" t="n">
        <v>244349.76</v>
      </c>
      <c r="J307" s="38" t="n">
        <v>244349.76</v>
      </c>
      <c r="K307" s="38" t="n">
        <v>0</v>
      </c>
    </row>
    <row r="308" s="34">
      <c r="A308" s="40" t="inlineStr">
        <is>
          <t>120.01.01.D017</t>
        </is>
      </c>
      <c r="B308" s="40" t="inlineStr">
        <is>
          <t>Dlt Turizm Ve Ticaret A.Ş.</t>
        </is>
      </c>
      <c r="C308" s="40" t="inlineStr">
        <is>
          <t>TRY</t>
        </is>
      </c>
      <c r="D308" s="40" t="inlineStr">
        <is>
          <t>ROYAL DRAGON</t>
        </is>
      </c>
      <c r="E308" s="38" t="n">
        <v>0</v>
      </c>
      <c r="F308" s="38" t="n">
        <v>352194.4</v>
      </c>
      <c r="G308" s="38" t="n">
        <v>-352194.4</v>
      </c>
      <c r="H308" s="40" t="inlineStr">
        <is>
          <t>Alacak</t>
        </is>
      </c>
      <c r="I308" s="38" t="n">
        <v>0</v>
      </c>
      <c r="J308" s="38" t="n">
        <v>352194.4</v>
      </c>
      <c r="K308" s="38" t="n">
        <v>-352194.4</v>
      </c>
      <c r="L308" s="40" t="inlineStr">
        <is>
          <t>Alacak</t>
        </is>
      </c>
    </row>
    <row r="309" s="34">
      <c r="A309" s="40" t="inlineStr">
        <is>
          <t>120.01.01.D017</t>
        </is>
      </c>
      <c r="B309" s="40" t="inlineStr">
        <is>
          <t>Dlt Turizm Ve Ticaret A.Ş.</t>
        </is>
      </c>
      <c r="C309" s="40" t="inlineStr">
        <is>
          <t>TRY</t>
        </is>
      </c>
      <c r="D309" s="40" t="inlineStr">
        <is>
          <t>ROYAL HOLIDAY</t>
        </is>
      </c>
      <c r="E309" s="38" t="n">
        <v>42720</v>
      </c>
      <c r="F309" s="38" t="n">
        <v>42720</v>
      </c>
      <c r="G309" s="38" t="n">
        <v>0</v>
      </c>
      <c r="I309" s="38" t="n">
        <v>42720</v>
      </c>
      <c r="J309" s="38" t="n">
        <v>42720</v>
      </c>
      <c r="K309" s="38" t="n">
        <v>0</v>
      </c>
    </row>
    <row r="310" s="34">
      <c r="A310" s="40" t="inlineStr">
        <is>
          <t>120.01.01.D017</t>
        </is>
      </c>
      <c r="B310" s="40" t="inlineStr">
        <is>
          <t>Dlt Turizm Ve Ticaret A.Ş.</t>
        </is>
      </c>
      <c r="C310" s="40" t="inlineStr">
        <is>
          <t>TRY</t>
        </is>
      </c>
      <c r="D310" s="40" t="inlineStr">
        <is>
          <t>ROYAL SEGINUS</t>
        </is>
      </c>
      <c r="E310" s="38" t="n">
        <v>529191</v>
      </c>
      <c r="F310" s="38" t="n">
        <v>881387.52</v>
      </c>
      <c r="G310" s="38" t="n">
        <v>-352196.52</v>
      </c>
      <c r="H310" s="40" t="inlineStr">
        <is>
          <t>Alacak</t>
        </is>
      </c>
      <c r="I310" s="38" t="n">
        <v>529191</v>
      </c>
      <c r="J310" s="38" t="n">
        <v>881387.52</v>
      </c>
      <c r="K310" s="38" t="n">
        <v>-352196.52</v>
      </c>
      <c r="L310" s="40" t="inlineStr">
        <is>
          <t>Alacak</t>
        </is>
      </c>
    </row>
    <row r="311" s="34">
      <c r="A311" s="40" t="inlineStr">
        <is>
          <t>120.01.01.D023</t>
        </is>
      </c>
      <c r="B311" s="40" t="inlineStr">
        <is>
          <t>Dertour Deutschlan Gmbh</t>
        </is>
      </c>
      <c r="C311" s="40" t="inlineStr">
        <is>
          <t>EUR</t>
        </is>
      </c>
      <c r="D311" s="40" t="inlineStr">
        <is>
          <t>ROYAL ADAM EVE</t>
        </is>
      </c>
      <c r="E311" s="38" t="n">
        <v>632467.16</v>
      </c>
      <c r="F311" s="38" t="n">
        <v>964210.9300000001</v>
      </c>
      <c r="G311" s="38" t="n">
        <v>-331743.77</v>
      </c>
      <c r="H311" s="40" t="inlineStr">
        <is>
          <t>Alacak</t>
        </is>
      </c>
      <c r="I311" s="38" t="n">
        <v>11900</v>
      </c>
      <c r="J311" s="38" t="n">
        <v>18233.32</v>
      </c>
      <c r="K311" s="38" t="n">
        <v>-6333.32</v>
      </c>
      <c r="L311" s="40" t="inlineStr">
        <is>
          <t>Alacak</t>
        </is>
      </c>
    </row>
    <row r="312" s="34">
      <c r="A312" s="40" t="inlineStr">
        <is>
          <t>120.01.01.D023</t>
        </is>
      </c>
      <c r="B312" s="40" t="inlineStr">
        <is>
          <t>Dertour Deutschlan Gmbh</t>
        </is>
      </c>
      <c r="C312" s="40" t="inlineStr">
        <is>
          <t>EUR</t>
        </is>
      </c>
      <c r="D312" s="40" t="inlineStr">
        <is>
          <t>ROYAL ALHAMBRA</t>
        </is>
      </c>
      <c r="E312" s="38" t="n">
        <v>3840490.57</v>
      </c>
      <c r="F312" s="38" t="n">
        <v>4608048.04</v>
      </c>
      <c r="G312" s="38" t="n">
        <v>-767557.47</v>
      </c>
      <c r="H312" s="40" t="inlineStr">
        <is>
          <t>Alacak</t>
        </is>
      </c>
      <c r="I312" s="38" t="n">
        <v>72337.48</v>
      </c>
      <c r="J312" s="38" t="n">
        <v>86675.24000000001</v>
      </c>
      <c r="K312" s="38" t="n">
        <v>-14337.76</v>
      </c>
      <c r="L312" s="40" t="inlineStr">
        <is>
          <t>Alacak</t>
        </is>
      </c>
    </row>
    <row r="313" s="34">
      <c r="A313" s="40" t="inlineStr">
        <is>
          <t>120.01.01.D023</t>
        </is>
      </c>
      <c r="B313" s="40" t="inlineStr">
        <is>
          <t>Dertour Deutschlan Gmbh</t>
        </is>
      </c>
      <c r="C313" s="40" t="inlineStr">
        <is>
          <t>EUR</t>
        </is>
      </c>
      <c r="D313" s="40" t="inlineStr">
        <is>
          <t>ROYAL DRAGON</t>
        </is>
      </c>
      <c r="E313" s="38" t="n">
        <v>3911662.96</v>
      </c>
      <c r="F313" s="38" t="n">
        <v>4712549.73</v>
      </c>
      <c r="G313" s="38" t="n">
        <v>-800886.77</v>
      </c>
      <c r="H313" s="40" t="inlineStr">
        <is>
          <t>Alacak</t>
        </is>
      </c>
      <c r="I313" s="38" t="n">
        <v>73493.63</v>
      </c>
      <c r="J313" s="38" t="n">
        <v>88686.02</v>
      </c>
      <c r="K313" s="38" t="n">
        <v>-15192.39</v>
      </c>
      <c r="L313" s="40" t="inlineStr">
        <is>
          <t>Alacak</t>
        </is>
      </c>
    </row>
    <row r="314" s="34">
      <c r="A314" s="40" t="inlineStr">
        <is>
          <t>120.01.01.D023</t>
        </is>
      </c>
      <c r="B314" s="40" t="inlineStr">
        <is>
          <t>Dertour Deutschlan Gmbh</t>
        </is>
      </c>
      <c r="C314" s="40" t="inlineStr">
        <is>
          <t>EUR</t>
        </is>
      </c>
      <c r="D314" s="40" t="inlineStr">
        <is>
          <t>ROYAL HOLIDAY</t>
        </is>
      </c>
      <c r="E314" s="38" t="n">
        <v>3748862.88</v>
      </c>
      <c r="F314" s="38" t="n">
        <v>5300164.74</v>
      </c>
      <c r="G314" s="38" t="n">
        <v>-1551301.86</v>
      </c>
      <c r="H314" s="40" t="inlineStr">
        <is>
          <t>Alacak</t>
        </is>
      </c>
      <c r="I314" s="38" t="n">
        <v>70588.64</v>
      </c>
      <c r="J314" s="38" t="n">
        <v>99483.92</v>
      </c>
      <c r="K314" s="38" t="n">
        <v>-28895.28</v>
      </c>
      <c r="L314" s="40" t="inlineStr">
        <is>
          <t>Alacak</t>
        </is>
      </c>
    </row>
    <row r="315" s="34">
      <c r="A315" s="40" t="inlineStr">
        <is>
          <t>120.01.01.D023</t>
        </is>
      </c>
      <c r="B315" s="40" t="inlineStr">
        <is>
          <t>Dertour Deutschlan Gmbh</t>
        </is>
      </c>
      <c r="C315" s="40" t="inlineStr">
        <is>
          <t>EUR</t>
        </is>
      </c>
      <c r="D315" s="40" t="inlineStr">
        <is>
          <t>ROYAL SEGINUS</t>
        </is>
      </c>
      <c r="E315" s="38" t="n">
        <v>1360895.04</v>
      </c>
      <c r="F315" s="38" t="n">
        <v>1633878.45</v>
      </c>
      <c r="G315" s="38" t="n">
        <v>-272983.41</v>
      </c>
      <c r="H315" s="40" t="inlineStr">
        <is>
          <t>Alacak</t>
        </is>
      </c>
      <c r="I315" s="38" t="n">
        <v>25633.62</v>
      </c>
      <c r="J315" s="38" t="n">
        <v>30747.5</v>
      </c>
      <c r="K315" s="38" t="n">
        <v>-5113.88</v>
      </c>
      <c r="L315" s="40" t="inlineStr">
        <is>
          <t>Alacak</t>
        </is>
      </c>
    </row>
    <row r="316" s="34">
      <c r="A316" s="40" t="inlineStr">
        <is>
          <t>120.01.01.D029</t>
        </is>
      </c>
      <c r="B316" s="40" t="inlineStr">
        <is>
          <t>Doka Ar Turizm Seyahat Acentaları Gıda Emlak Tarım Ürünleri Ve Sanayi ve Ticaret Limited Şirketi</t>
        </is>
      </c>
      <c r="C316" s="40" t="inlineStr">
        <is>
          <t>EUR</t>
        </is>
      </c>
      <c r="D316" s="40" t="inlineStr">
        <is>
          <t>ROYAL SEGINUS</t>
        </is>
      </c>
      <c r="E316" s="38" t="n">
        <v>0</v>
      </c>
      <c r="F316" s="38" t="n">
        <v>68209.16</v>
      </c>
      <c r="G316" s="38" t="n">
        <v>-68209.16</v>
      </c>
      <c r="H316" s="40" t="inlineStr">
        <is>
          <t>Alacak</t>
        </is>
      </c>
      <c r="I316" s="38" t="n">
        <v>0</v>
      </c>
      <c r="J316" s="38" t="n">
        <v>1284</v>
      </c>
      <c r="K316" s="38" t="n">
        <v>-1284</v>
      </c>
      <c r="L316" s="40" t="inlineStr">
        <is>
          <t>Alacak</t>
        </is>
      </c>
    </row>
    <row r="317" s="34">
      <c r="A317" s="40" t="inlineStr">
        <is>
          <t>120.01.01.E006</t>
        </is>
      </c>
      <c r="B317" s="40" t="inlineStr">
        <is>
          <t>Eksperto Turizm İnş.İth.İhr.San.Ve Tic.Ltd. Şti.</t>
        </is>
      </c>
      <c r="C317" s="40" t="inlineStr">
        <is>
          <t>EUR</t>
        </is>
      </c>
      <c r="D317" s="40" t="inlineStr">
        <is>
          <t>ROYAL ADAM EVE</t>
        </is>
      </c>
      <c r="E317" s="38" t="n">
        <v>46407.45</v>
      </c>
      <c r="F317" s="38" t="n">
        <v>46118.35</v>
      </c>
      <c r="G317" s="38" t="n">
        <v>289.1</v>
      </c>
      <c r="H317" s="40" t="inlineStr">
        <is>
          <t>Borç</t>
        </is>
      </c>
      <c r="I317" s="38" t="n">
        <v>870</v>
      </c>
      <c r="J317" s="38" t="n">
        <v>870</v>
      </c>
      <c r="K317" s="38" t="n">
        <v>0</v>
      </c>
    </row>
    <row r="318" s="34">
      <c r="A318" s="40" t="inlineStr">
        <is>
          <t>120.01.01.E006</t>
        </is>
      </c>
      <c r="B318" s="40" t="inlineStr">
        <is>
          <t>Eksperto Turizm İnş.İth.İhr.San.Ve Tic.Ltd. Şti.</t>
        </is>
      </c>
      <c r="C318" s="40" t="inlineStr">
        <is>
          <t>EUR</t>
        </is>
      </c>
      <c r="D318" s="40" t="inlineStr">
        <is>
          <t>ROYAL ALHAMBRA</t>
        </is>
      </c>
      <c r="E318" s="38" t="n">
        <v>76968.38</v>
      </c>
      <c r="F318" s="38" t="n">
        <v>75579.00999999999</v>
      </c>
      <c r="G318" s="38" t="n">
        <v>1389.37</v>
      </c>
      <c r="H318" s="40" t="inlineStr">
        <is>
          <t>Borç</t>
        </is>
      </c>
      <c r="I318" s="38" t="n">
        <v>1435</v>
      </c>
      <c r="J318" s="38" t="n">
        <v>1435</v>
      </c>
      <c r="K318" s="38" t="n">
        <v>0</v>
      </c>
    </row>
    <row r="319" s="34">
      <c r="A319" s="40" t="inlineStr">
        <is>
          <t>120.01.01.E006</t>
        </is>
      </c>
      <c r="B319" s="40" t="inlineStr">
        <is>
          <t>Eksperto Turizm İnş.İth.İhr.San.Ve Tic.Ltd. Şti.</t>
        </is>
      </c>
      <c r="C319" s="40" t="inlineStr">
        <is>
          <t>EUR</t>
        </is>
      </c>
      <c r="D319" s="40" t="inlineStr">
        <is>
          <t>ROYAL SEGINUS</t>
        </is>
      </c>
      <c r="E319" s="38" t="n">
        <v>137110.02</v>
      </c>
      <c r="F319" s="38" t="n">
        <v>136023.25</v>
      </c>
      <c r="G319" s="38" t="n">
        <v>1086.77</v>
      </c>
      <c r="H319" s="40" t="inlineStr">
        <is>
          <t>Borç</t>
        </is>
      </c>
      <c r="I319" s="38" t="n">
        <v>2570.4</v>
      </c>
      <c r="J319" s="38" t="n">
        <v>2570.4</v>
      </c>
      <c r="K319" s="38" t="n">
        <v>0</v>
      </c>
    </row>
    <row r="320" s="34">
      <c r="A320" s="40" t="inlineStr">
        <is>
          <t>120.01.01.E007</t>
        </is>
      </c>
      <c r="B320" s="40" t="inlineStr">
        <is>
          <t>Etc Seyahat Turizm Tıcaret Ltd.Şti.</t>
        </is>
      </c>
      <c r="C320" s="40" t="inlineStr">
        <is>
          <t>EUR</t>
        </is>
      </c>
      <c r="D320" s="40" t="inlineStr">
        <is>
          <t>ROYAL ALHAMBRA</t>
        </is>
      </c>
      <c r="E320" s="38" t="n">
        <v>57955.97</v>
      </c>
      <c r="F320" s="38" t="n">
        <v>57594.93</v>
      </c>
      <c r="G320" s="38" t="n">
        <v>361.04</v>
      </c>
      <c r="H320" s="40" t="inlineStr">
        <is>
          <t>Borç</t>
        </is>
      </c>
      <c r="I320" s="38" t="n">
        <v>1086.5</v>
      </c>
      <c r="J320" s="38" t="n">
        <v>1086.5</v>
      </c>
      <c r="K320" s="38" t="n">
        <v>0</v>
      </c>
    </row>
    <row r="321" s="34">
      <c r="A321" s="40" t="inlineStr">
        <is>
          <t>120.01.01.E007</t>
        </is>
      </c>
      <c r="B321" s="40" t="inlineStr">
        <is>
          <t>Etc Seyahat Turizm Tıcaret Ltd.Şti.</t>
        </is>
      </c>
      <c r="C321" s="40" t="inlineStr">
        <is>
          <t>EUR</t>
        </is>
      </c>
      <c r="D321" s="40" t="inlineStr">
        <is>
          <t>ROYAL SEGINUS</t>
        </is>
      </c>
      <c r="E321" s="38" t="n">
        <v>0</v>
      </c>
      <c r="F321" s="38" t="n">
        <v>63746.88</v>
      </c>
      <c r="G321" s="38" t="n">
        <v>-63746.88</v>
      </c>
      <c r="H321" s="40" t="inlineStr">
        <is>
          <t>Alacak</t>
        </is>
      </c>
      <c r="I321" s="38" t="n">
        <v>0</v>
      </c>
      <c r="J321" s="38" t="n">
        <v>1200</v>
      </c>
      <c r="K321" s="38" t="n">
        <v>-1200</v>
      </c>
      <c r="L321" s="40" t="inlineStr">
        <is>
          <t>Alacak</t>
        </is>
      </c>
    </row>
    <row r="322" s="34">
      <c r="A322" s="40" t="inlineStr">
        <is>
          <t>120.01.01.E027</t>
        </is>
      </c>
      <c r="B322" s="40" t="inlineStr">
        <is>
          <t>Ets Ersoy Turistik Servis A.Ş.</t>
        </is>
      </c>
      <c r="C322" s="40" t="inlineStr">
        <is>
          <t>TRY</t>
        </is>
      </c>
      <c r="D322" s="40" t="inlineStr">
        <is>
          <t>ROYAL ADAM EVE</t>
        </is>
      </c>
      <c r="E322" s="38" t="n">
        <v>3354713.45</v>
      </c>
      <c r="F322" s="38" t="n">
        <v>0</v>
      </c>
      <c r="G322" s="38" t="n">
        <v>3354713.45</v>
      </c>
      <c r="H322" s="40" t="inlineStr">
        <is>
          <t>Borç</t>
        </is>
      </c>
      <c r="I322" s="38" t="n">
        <v>3268972.1</v>
      </c>
      <c r="J322" s="38" t="n">
        <v>0</v>
      </c>
      <c r="K322" s="38" t="n">
        <v>3268972.1</v>
      </c>
      <c r="L322" s="40" t="inlineStr">
        <is>
          <t>Borç</t>
        </is>
      </c>
    </row>
    <row r="323" s="34">
      <c r="A323" s="40" t="inlineStr">
        <is>
          <t>120.01.01.E027</t>
        </is>
      </c>
      <c r="B323" s="40" t="inlineStr">
        <is>
          <t>Ets Ersoy Turistik Servis A.Ş.</t>
        </is>
      </c>
      <c r="C323" s="40" t="inlineStr">
        <is>
          <t>TRY</t>
        </is>
      </c>
      <c r="D323" s="40" t="inlineStr">
        <is>
          <t>ROYAL ALHAMBRA</t>
        </is>
      </c>
      <c r="E323" s="38" t="n">
        <v>258928.6</v>
      </c>
      <c r="F323" s="38" t="n">
        <v>4824</v>
      </c>
      <c r="G323" s="38" t="n">
        <v>254104.6</v>
      </c>
      <c r="H323" s="40" t="inlineStr">
        <is>
          <t>Borç</t>
        </is>
      </c>
      <c r="I323" s="38" t="n">
        <v>205618.76</v>
      </c>
      <c r="J323" s="38" t="n">
        <v>4824</v>
      </c>
      <c r="K323" s="38" t="n">
        <v>200794.76</v>
      </c>
      <c r="L323" s="40" t="inlineStr">
        <is>
          <t>Borç</t>
        </is>
      </c>
    </row>
    <row r="324" s="34">
      <c r="A324" s="40" t="inlineStr">
        <is>
          <t>120.01.01.E027</t>
        </is>
      </c>
      <c r="B324" s="40" t="inlineStr">
        <is>
          <t>Ets Ersoy Turistik Servis A.Ş.</t>
        </is>
      </c>
      <c r="C324" s="40" t="inlineStr">
        <is>
          <t>TRY</t>
        </is>
      </c>
      <c r="D324" s="40" t="inlineStr">
        <is>
          <t>ROYAL DRAGON</t>
        </is>
      </c>
      <c r="E324" s="38" t="n">
        <v>485952.1</v>
      </c>
      <c r="F324" s="38" t="n">
        <v>13386</v>
      </c>
      <c r="G324" s="38" t="n">
        <v>472566.1</v>
      </c>
      <c r="H324" s="40" t="inlineStr">
        <is>
          <t>Borç</t>
        </is>
      </c>
      <c r="I324" s="38" t="n">
        <v>485952.1</v>
      </c>
      <c r="J324" s="38" t="n">
        <v>13386</v>
      </c>
      <c r="K324" s="38" t="n">
        <v>472566.1</v>
      </c>
      <c r="L324" s="40" t="inlineStr">
        <is>
          <t>Borç</t>
        </is>
      </c>
    </row>
    <row r="325" s="34">
      <c r="A325" s="40" t="inlineStr">
        <is>
          <t>120.01.01.E027</t>
        </is>
      </c>
      <c r="B325" s="40" t="inlineStr">
        <is>
          <t>Ets Ersoy Turistik Servis A.Ş.</t>
        </is>
      </c>
      <c r="C325" s="40" t="inlineStr">
        <is>
          <t>TRY</t>
        </is>
      </c>
      <c r="D325" s="40" t="inlineStr">
        <is>
          <t>ROYAL HOLIDAY</t>
        </is>
      </c>
      <c r="E325" s="38" t="n">
        <v>862907.25</v>
      </c>
      <c r="F325" s="38" t="n">
        <v>0</v>
      </c>
      <c r="G325" s="38" t="n">
        <v>862907.25</v>
      </c>
      <c r="H325" s="40" t="inlineStr">
        <is>
          <t>Borç</t>
        </is>
      </c>
      <c r="I325" s="38" t="n">
        <v>698526.23</v>
      </c>
      <c r="J325" s="38" t="n">
        <v>0</v>
      </c>
      <c r="K325" s="38" t="n">
        <v>698526.23</v>
      </c>
      <c r="L325" s="40" t="inlineStr">
        <is>
          <t>Borç</t>
        </is>
      </c>
    </row>
    <row r="326" s="34">
      <c r="A326" s="40" t="inlineStr">
        <is>
          <t>120.01.01.E027</t>
        </is>
      </c>
      <c r="B326" s="40" t="inlineStr">
        <is>
          <t>Ets Ersoy Turistik Servis A.Ş.</t>
        </is>
      </c>
      <c r="C326" s="40" t="inlineStr">
        <is>
          <t>TRY</t>
        </is>
      </c>
      <c r="D326" s="40" t="inlineStr">
        <is>
          <t>ROYAL SEGINUS</t>
        </is>
      </c>
      <c r="E326" s="38" t="n">
        <v>2514335.04</v>
      </c>
      <c r="F326" s="38" t="n">
        <v>89137</v>
      </c>
      <c r="G326" s="38" t="n">
        <v>2425198.04</v>
      </c>
      <c r="H326" s="40" t="inlineStr">
        <is>
          <t>Borç</t>
        </is>
      </c>
      <c r="I326" s="38" t="n">
        <v>1989795.55</v>
      </c>
      <c r="J326" s="38" t="n">
        <v>89137</v>
      </c>
      <c r="K326" s="38" t="n">
        <v>1900658.55</v>
      </c>
      <c r="L326" s="40" t="inlineStr">
        <is>
          <t>Borç</t>
        </is>
      </c>
    </row>
    <row r="327" s="34">
      <c r="A327" s="40" t="inlineStr">
        <is>
          <t>120.01.01.E034</t>
        </is>
      </c>
      <c r="B327" s="40" t="inlineStr">
        <is>
          <t>Easyjet Holidays Limited</t>
        </is>
      </c>
      <c r="C327" s="40" t="inlineStr">
        <is>
          <t>EUR</t>
        </is>
      </c>
      <c r="D327" s="40" t="inlineStr">
        <is>
          <t>ROYAL ALHAMBRA</t>
        </is>
      </c>
      <c r="E327" s="38" t="n">
        <v>79986.39999999999</v>
      </c>
      <c r="F327" s="38" t="n">
        <v>0</v>
      </c>
      <c r="G327" s="38" t="n">
        <v>79986.39999999999</v>
      </c>
      <c r="H327" s="40" t="inlineStr">
        <is>
          <t>Borç</t>
        </is>
      </c>
      <c r="I327" s="38" t="n">
        <v>1505.7</v>
      </c>
      <c r="J327" s="38" t="n">
        <v>0</v>
      </c>
      <c r="K327" s="38" t="n">
        <v>1505.7</v>
      </c>
      <c r="L327" s="40" t="inlineStr">
        <is>
          <t>Borç</t>
        </is>
      </c>
    </row>
    <row r="328" s="34">
      <c r="A328" s="40" t="inlineStr">
        <is>
          <t>120.01.01.E034</t>
        </is>
      </c>
      <c r="B328" s="40" t="inlineStr">
        <is>
          <t>Easyjet Holidays Limited</t>
        </is>
      </c>
      <c r="C328" s="40" t="inlineStr">
        <is>
          <t>EUR</t>
        </is>
      </c>
      <c r="D328" s="40" t="inlineStr">
        <is>
          <t>ROYAL DRAGON</t>
        </is>
      </c>
      <c r="E328" s="38" t="n">
        <v>177301.32</v>
      </c>
      <c r="F328" s="38" t="n">
        <v>0</v>
      </c>
      <c r="G328" s="38" t="n">
        <v>177301.32</v>
      </c>
      <c r="H328" s="40" t="inlineStr">
        <is>
          <t>Borç</t>
        </is>
      </c>
      <c r="I328" s="38" t="n">
        <v>3337.6</v>
      </c>
      <c r="J328" s="38" t="n">
        <v>0</v>
      </c>
      <c r="K328" s="38" t="n">
        <v>3337.6</v>
      </c>
      <c r="L328" s="40" t="inlineStr">
        <is>
          <t>Borç</t>
        </is>
      </c>
    </row>
    <row r="329" s="34">
      <c r="A329" s="40" t="inlineStr">
        <is>
          <t>120.01.01.E034</t>
        </is>
      </c>
      <c r="B329" s="40" t="inlineStr">
        <is>
          <t>Easyjet Holidays Limited</t>
        </is>
      </c>
      <c r="C329" s="40" t="inlineStr">
        <is>
          <t>EUR</t>
        </is>
      </c>
      <c r="D329" s="40" t="inlineStr">
        <is>
          <t>ROYAL HOLIDAY</t>
        </is>
      </c>
      <c r="E329" s="38" t="n">
        <v>597265.23</v>
      </c>
      <c r="F329" s="38" t="n">
        <v>0</v>
      </c>
      <c r="G329" s="38" t="n">
        <v>597265.23</v>
      </c>
      <c r="H329" s="40" t="inlineStr">
        <is>
          <t>Borç</t>
        </is>
      </c>
      <c r="I329" s="38" t="n">
        <v>11227.44</v>
      </c>
      <c r="J329" s="38" t="n">
        <v>0</v>
      </c>
      <c r="K329" s="38" t="n">
        <v>11227.44</v>
      </c>
      <c r="L329" s="40" t="inlineStr">
        <is>
          <t>Borç</t>
        </is>
      </c>
    </row>
    <row r="330" s="34">
      <c r="A330" s="40" t="inlineStr">
        <is>
          <t>120.01.01.E034</t>
        </is>
      </c>
      <c r="B330" s="40" t="inlineStr">
        <is>
          <t>Easyjet Holidays Limited</t>
        </is>
      </c>
      <c r="C330" s="40" t="inlineStr">
        <is>
          <t>EUR</t>
        </is>
      </c>
      <c r="D330" s="40" t="inlineStr">
        <is>
          <t>ROYAL SEGINUS</t>
        </is>
      </c>
      <c r="E330" s="38" t="n">
        <v>2236667.07</v>
      </c>
      <c r="F330" s="38" t="n">
        <v>0</v>
      </c>
      <c r="G330" s="38" t="n">
        <v>2236667.07</v>
      </c>
      <c r="H330" s="40" t="inlineStr">
        <is>
          <t>Borç</t>
        </is>
      </c>
      <c r="I330" s="38" t="n">
        <v>42030.61</v>
      </c>
      <c r="J330" s="38" t="n">
        <v>0</v>
      </c>
      <c r="K330" s="38" t="n">
        <v>42030.61</v>
      </c>
      <c r="L330" s="40" t="inlineStr">
        <is>
          <t>Borç</t>
        </is>
      </c>
    </row>
    <row r="331" s="34">
      <c r="A331" s="40" t="inlineStr">
        <is>
          <t>120.01.01.E037</t>
        </is>
      </c>
      <c r="B331" s="40" t="inlineStr">
        <is>
          <t>Expedia Lodging Partner Services</t>
        </is>
      </c>
      <c r="C331" s="40" t="inlineStr">
        <is>
          <t>EUR</t>
        </is>
      </c>
      <c r="D331" s="40" t="inlineStr">
        <is>
          <t>ROYAL ADAM EVE</t>
        </is>
      </c>
      <c r="E331" s="38" t="n">
        <v>436752.37</v>
      </c>
      <c r="F331" s="38" t="n">
        <v>436752.37</v>
      </c>
      <c r="G331" s="38" t="n">
        <v>0</v>
      </c>
      <c r="I331" s="38" t="n">
        <v>8235.540000000001</v>
      </c>
      <c r="J331" s="38" t="n">
        <v>8235.540000000001</v>
      </c>
      <c r="K331" s="38" t="n">
        <v>0</v>
      </c>
    </row>
    <row r="332" s="34">
      <c r="A332" s="40" t="inlineStr">
        <is>
          <t>120.01.01.E037</t>
        </is>
      </c>
      <c r="B332" s="40" t="inlineStr">
        <is>
          <t>Expedia Lodging Partner Services</t>
        </is>
      </c>
      <c r="C332" s="40" t="inlineStr">
        <is>
          <t>EUR</t>
        </is>
      </c>
      <c r="D332" s="40" t="inlineStr">
        <is>
          <t>ROYAL ALHAMBRA</t>
        </is>
      </c>
      <c r="E332" s="38" t="n">
        <v>191115.68</v>
      </c>
      <c r="F332" s="38" t="n">
        <v>191115.68</v>
      </c>
      <c r="G332" s="38" t="n">
        <v>0</v>
      </c>
      <c r="I332" s="38" t="n">
        <v>3577.9</v>
      </c>
      <c r="J332" s="38" t="n">
        <v>3577.9</v>
      </c>
      <c r="K332" s="38" t="n">
        <v>0</v>
      </c>
    </row>
    <row r="333" s="34">
      <c r="A333" s="40" t="inlineStr">
        <is>
          <t>120.01.01.F002</t>
        </is>
      </c>
      <c r="B333" s="40" t="inlineStr">
        <is>
          <t>Falcon Organizasyon Turizm San. ve Tic. Ltd. Şti.</t>
        </is>
      </c>
      <c r="C333" s="40" t="inlineStr">
        <is>
          <t>EUR</t>
        </is>
      </c>
      <c r="D333" s="40" t="inlineStr">
        <is>
          <t>ROYAL ALHAMBRA</t>
        </is>
      </c>
      <c r="E333" s="38" t="n">
        <v>20904.99</v>
      </c>
      <c r="F333" s="38" t="n">
        <v>21099.39</v>
      </c>
      <c r="G333" s="38" t="n">
        <v>-194.4</v>
      </c>
      <c r="H333" s="40" t="inlineStr">
        <is>
          <t>Alacak</t>
        </is>
      </c>
      <c r="I333" s="38" t="n">
        <v>393.53</v>
      </c>
      <c r="J333" s="38" t="n">
        <v>393.53</v>
      </c>
      <c r="K333" s="38" t="n">
        <v>0</v>
      </c>
    </row>
    <row r="334" s="34">
      <c r="A334" s="40" t="inlineStr">
        <is>
          <t>120.01.01.F009</t>
        </is>
      </c>
      <c r="B334" s="40" t="inlineStr">
        <is>
          <t>Fer Organizasyon Turizm Tic. Ltd.Şti</t>
        </is>
      </c>
      <c r="C334" s="40" t="inlineStr">
        <is>
          <t>EUR</t>
        </is>
      </c>
      <c r="D334" s="40" t="inlineStr">
        <is>
          <t>ROYAL ADAM EVE</t>
        </is>
      </c>
      <c r="E334" s="38" t="n">
        <v>138649.68</v>
      </c>
      <c r="F334" s="38" t="n">
        <v>139400.82</v>
      </c>
      <c r="G334" s="38" t="n">
        <v>-751.14</v>
      </c>
      <c r="H334" s="40" t="inlineStr">
        <is>
          <t>Alacak</t>
        </is>
      </c>
      <c r="I334" s="38" t="n">
        <v>2600</v>
      </c>
      <c r="J334" s="38" t="n">
        <v>2600</v>
      </c>
      <c r="K334" s="38" t="n">
        <v>0</v>
      </c>
    </row>
    <row r="335" s="34">
      <c r="A335" s="40" t="inlineStr">
        <is>
          <t>120.01.01.F011</t>
        </is>
      </c>
      <c r="B335" s="40" t="inlineStr">
        <is>
          <t>Feron Turizm Sanayı Ve Ticaret Ltd.Şti.</t>
        </is>
      </c>
      <c r="C335" s="40" t="inlineStr">
        <is>
          <t>EUR</t>
        </is>
      </c>
      <c r="D335" s="40" t="inlineStr">
        <is>
          <t>ROYAL SEGINUS</t>
        </is>
      </c>
      <c r="E335" s="38" t="n">
        <v>148068.04</v>
      </c>
      <c r="F335" s="38" t="n">
        <v>146942.61</v>
      </c>
      <c r="G335" s="38" t="n">
        <v>1125.43</v>
      </c>
      <c r="H335" s="40" t="inlineStr">
        <is>
          <t>Borç</t>
        </is>
      </c>
      <c r="I335" s="38" t="n">
        <v>2772</v>
      </c>
      <c r="J335" s="38" t="n">
        <v>2772</v>
      </c>
      <c r="K335" s="38" t="n">
        <v>0</v>
      </c>
    </row>
    <row r="336" s="34">
      <c r="A336" s="40" t="inlineStr">
        <is>
          <t>120.01.01.F015</t>
        </is>
      </c>
      <c r="B336" s="40" t="inlineStr">
        <is>
          <t>Fit Turizm Emlak İnşaat Ticaret A.Ş.</t>
        </is>
      </c>
      <c r="C336" s="40" t="inlineStr">
        <is>
          <t>EUR</t>
        </is>
      </c>
      <c r="D336" s="40" t="inlineStr">
        <is>
          <t>ROYAL ADAM EVE</t>
        </is>
      </c>
      <c r="E336" s="38" t="n">
        <v>1702236.81</v>
      </c>
      <c r="F336" s="38" t="n">
        <v>0</v>
      </c>
      <c r="G336" s="38" t="n">
        <v>1702236.81</v>
      </c>
      <c r="H336" s="40" t="inlineStr">
        <is>
          <t>Borç</t>
        </is>
      </c>
      <c r="I336" s="38" t="n">
        <v>32007.35</v>
      </c>
      <c r="J336" s="38" t="n">
        <v>0</v>
      </c>
      <c r="K336" s="38" t="n">
        <v>32007.35</v>
      </c>
      <c r="L336" s="40" t="inlineStr">
        <is>
          <t>Borç</t>
        </is>
      </c>
    </row>
    <row r="337" s="34">
      <c r="A337" s="40" t="inlineStr">
        <is>
          <t>120.01.01.F015</t>
        </is>
      </c>
      <c r="B337" s="40" t="inlineStr">
        <is>
          <t>Fit Turizm Emlak İnşaat Ticaret A.Ş.</t>
        </is>
      </c>
      <c r="C337" s="40" t="inlineStr">
        <is>
          <t>EUR</t>
        </is>
      </c>
      <c r="D337" s="40" t="inlineStr">
        <is>
          <t>ROYAL ALHAMBRA</t>
        </is>
      </c>
      <c r="E337" s="38" t="n">
        <v>131334.33</v>
      </c>
      <c r="F337" s="38" t="n">
        <v>0</v>
      </c>
      <c r="G337" s="38" t="n">
        <v>131334.33</v>
      </c>
      <c r="H337" s="40" t="inlineStr">
        <is>
          <t>Borç</t>
        </is>
      </c>
      <c r="I337" s="38" t="n">
        <v>2448.6</v>
      </c>
      <c r="J337" s="38" t="n">
        <v>0</v>
      </c>
      <c r="K337" s="38" t="n">
        <v>2448.6</v>
      </c>
      <c r="L337" s="40" t="inlineStr">
        <is>
          <t>Borç</t>
        </is>
      </c>
    </row>
    <row r="338" s="34">
      <c r="A338" s="40" t="inlineStr">
        <is>
          <t>120.01.01.F015</t>
        </is>
      </c>
      <c r="B338" s="40" t="inlineStr">
        <is>
          <t>Fit Turizm Emlak İnşaat Ticaret A.Ş.</t>
        </is>
      </c>
      <c r="C338" s="40" t="inlineStr">
        <is>
          <t>EUR</t>
        </is>
      </c>
      <c r="D338" s="40" t="inlineStr">
        <is>
          <t>ROYAL DRAGON</t>
        </is>
      </c>
      <c r="E338" s="38" t="n">
        <v>339839.1</v>
      </c>
      <c r="F338" s="38" t="n">
        <v>0</v>
      </c>
      <c r="G338" s="38" t="n">
        <v>339839.1</v>
      </c>
      <c r="H338" s="40" t="inlineStr">
        <is>
          <t>Borç</t>
        </is>
      </c>
      <c r="I338" s="38" t="n">
        <v>6380.4</v>
      </c>
      <c r="J338" s="38" t="n">
        <v>0</v>
      </c>
      <c r="K338" s="38" t="n">
        <v>6380.4</v>
      </c>
      <c r="L338" s="40" t="inlineStr">
        <is>
          <t>Borç</t>
        </is>
      </c>
    </row>
    <row r="339" s="34">
      <c r="A339" s="40" t="inlineStr">
        <is>
          <t>120.01.01.F015</t>
        </is>
      </c>
      <c r="B339" s="40" t="inlineStr">
        <is>
          <t>Fit Turizm Emlak İnşaat Ticaret A.Ş.</t>
        </is>
      </c>
      <c r="C339" s="40" t="inlineStr">
        <is>
          <t>EUR</t>
        </is>
      </c>
      <c r="D339" s="40" t="inlineStr">
        <is>
          <t>ROYAL HOLIDAY</t>
        </is>
      </c>
      <c r="E339" s="38" t="n">
        <v>1705692.17</v>
      </c>
      <c r="F339" s="38" t="n">
        <v>0</v>
      </c>
      <c r="G339" s="38" t="n">
        <v>1705692.17</v>
      </c>
      <c r="H339" s="40" t="inlineStr">
        <is>
          <t>Borç</t>
        </is>
      </c>
      <c r="I339" s="38" t="n">
        <v>32021.6</v>
      </c>
      <c r="J339" s="38" t="n">
        <v>0</v>
      </c>
      <c r="K339" s="38" t="n">
        <v>32021.6</v>
      </c>
      <c r="L339" s="40" t="inlineStr">
        <is>
          <t>Borç</t>
        </is>
      </c>
    </row>
    <row r="340" s="34">
      <c r="A340" s="40" t="inlineStr">
        <is>
          <t>120.01.01.F015</t>
        </is>
      </c>
      <c r="B340" s="40" t="inlineStr">
        <is>
          <t>Fit Turizm Emlak İnşaat Ticaret A.Ş.</t>
        </is>
      </c>
      <c r="C340" s="40" t="inlineStr">
        <is>
          <t>EUR</t>
        </is>
      </c>
      <c r="D340" s="40" t="inlineStr">
        <is>
          <t>ROYAL SEGINUS</t>
        </is>
      </c>
      <c r="E340" s="38" t="n">
        <v>1809889.1</v>
      </c>
      <c r="F340" s="38" t="n">
        <v>0</v>
      </c>
      <c r="G340" s="38" t="n">
        <v>1809889.1</v>
      </c>
      <c r="H340" s="40" t="inlineStr">
        <is>
          <t>Borç</t>
        </is>
      </c>
      <c r="I340" s="38" t="n">
        <v>34007.13</v>
      </c>
      <c r="J340" s="38" t="n">
        <v>0</v>
      </c>
      <c r="K340" s="38" t="n">
        <v>34007.13</v>
      </c>
      <c r="L340" s="40" t="inlineStr">
        <is>
          <t>Borç</t>
        </is>
      </c>
    </row>
    <row r="341" s="34">
      <c r="A341" s="40" t="inlineStr">
        <is>
          <t>120.01.01.F022</t>
        </is>
      </c>
      <c r="B341" s="40" t="inlineStr">
        <is>
          <t>Fun And Sun Hotels Otel Isl. Turizm Ins.Tic.A.Ş.</t>
        </is>
      </c>
      <c r="C341" s="40" t="inlineStr">
        <is>
          <t>EUR</t>
        </is>
      </c>
      <c r="D341" s="40" t="inlineStr">
        <is>
          <t>ROYAL ADAM EVE</t>
        </is>
      </c>
      <c r="E341" s="38" t="n">
        <v>6101175.19</v>
      </c>
      <c r="F341" s="38" t="n">
        <v>0</v>
      </c>
      <c r="G341" s="38" t="n">
        <v>6101175.19</v>
      </c>
      <c r="H341" s="40" t="inlineStr">
        <is>
          <t>Borç</t>
        </is>
      </c>
      <c r="I341" s="38" t="n">
        <v>114697.25</v>
      </c>
      <c r="J341" s="38" t="n">
        <v>0</v>
      </c>
      <c r="K341" s="38" t="n">
        <v>114697.25</v>
      </c>
      <c r="L341" s="40" t="inlineStr">
        <is>
          <t>Borç</t>
        </is>
      </c>
    </row>
    <row r="342" s="34">
      <c r="A342" s="40" t="inlineStr">
        <is>
          <t>120.01.01.F022</t>
        </is>
      </c>
      <c r="B342" s="40" t="inlineStr">
        <is>
          <t>Fun And Sun Hotels Otel Isl. Turizm Ins.Tic.A.Ş.</t>
        </is>
      </c>
      <c r="C342" s="40" t="inlineStr">
        <is>
          <t>EUR</t>
        </is>
      </c>
      <c r="D342" s="40" t="inlineStr">
        <is>
          <t>ROYAL ALHAMBRA</t>
        </is>
      </c>
      <c r="E342" s="38" t="n">
        <v>1034523.2</v>
      </c>
      <c r="F342" s="38" t="n">
        <v>0</v>
      </c>
      <c r="G342" s="38" t="n">
        <v>1034523.2</v>
      </c>
      <c r="H342" s="40" t="inlineStr">
        <is>
          <t>Borç</t>
        </is>
      </c>
      <c r="I342" s="38" t="n">
        <v>19417.17</v>
      </c>
      <c r="J342" s="38" t="n">
        <v>0</v>
      </c>
      <c r="K342" s="38" t="n">
        <v>19417.17</v>
      </c>
      <c r="L342" s="40" t="inlineStr">
        <is>
          <t>Borç</t>
        </is>
      </c>
    </row>
    <row r="343" s="34">
      <c r="A343" s="40" t="inlineStr">
        <is>
          <t>120.01.01.F022</t>
        </is>
      </c>
      <c r="B343" s="40" t="inlineStr">
        <is>
          <t>Fun And Sun Hotels Otel Isl. Turizm Ins.Tic.A.Ş.</t>
        </is>
      </c>
      <c r="C343" s="40" t="inlineStr">
        <is>
          <t>EUR</t>
        </is>
      </c>
      <c r="D343" s="40" t="inlineStr">
        <is>
          <t>ROYAL DRAGON</t>
        </is>
      </c>
      <c r="E343" s="38" t="n">
        <v>1323740.4</v>
      </c>
      <c r="F343" s="38" t="n">
        <v>0</v>
      </c>
      <c r="G343" s="38" t="n">
        <v>1323740.4</v>
      </c>
      <c r="H343" s="40" t="inlineStr">
        <is>
          <t>Borç</t>
        </is>
      </c>
      <c r="I343" s="38" t="n">
        <v>24864.93</v>
      </c>
      <c r="J343" s="38" t="n">
        <v>0</v>
      </c>
      <c r="K343" s="38" t="n">
        <v>24864.93</v>
      </c>
      <c r="L343" s="40" t="inlineStr">
        <is>
          <t>Borç</t>
        </is>
      </c>
    </row>
    <row r="344" s="34">
      <c r="A344" s="40" t="inlineStr">
        <is>
          <t>120.01.01.F022</t>
        </is>
      </c>
      <c r="B344" s="40" t="inlineStr">
        <is>
          <t>Fun And Sun Hotels Otel Isl. Turizm Ins.Tic.A.Ş.</t>
        </is>
      </c>
      <c r="C344" s="40" t="inlineStr">
        <is>
          <t>EUR</t>
        </is>
      </c>
      <c r="D344" s="40" t="inlineStr">
        <is>
          <t>ROYAL HOLIDAY</t>
        </is>
      </c>
      <c r="E344" s="38" t="n">
        <v>4976269.91</v>
      </c>
      <c r="F344" s="38" t="n">
        <v>0</v>
      </c>
      <c r="G344" s="38" t="n">
        <v>4976269.91</v>
      </c>
      <c r="H344" s="40" t="inlineStr">
        <is>
          <t>Borç</t>
        </is>
      </c>
      <c r="I344" s="38" t="n">
        <v>93655.50999999999</v>
      </c>
      <c r="J344" s="38" t="n">
        <v>0</v>
      </c>
      <c r="K344" s="38" t="n">
        <v>93655.50999999999</v>
      </c>
      <c r="L344" s="40" t="inlineStr">
        <is>
          <t>Borç</t>
        </is>
      </c>
    </row>
    <row r="345" s="34">
      <c r="A345" s="40" t="inlineStr">
        <is>
          <t>120.01.01.F022</t>
        </is>
      </c>
      <c r="B345" s="40" t="inlineStr">
        <is>
          <t>Fun And Sun Hotels Otel Isl. Turizm Ins.Tic.A.Ş.</t>
        </is>
      </c>
      <c r="C345" s="40" t="inlineStr">
        <is>
          <t>EUR</t>
        </is>
      </c>
      <c r="D345" s="40" t="inlineStr">
        <is>
          <t>ROYAL SEGINUS</t>
        </is>
      </c>
      <c r="E345" s="38" t="n">
        <v>4409783.7</v>
      </c>
      <c r="F345" s="38" t="n">
        <v>0</v>
      </c>
      <c r="G345" s="38" t="n">
        <v>4409783.7</v>
      </c>
      <c r="H345" s="40" t="inlineStr">
        <is>
          <t>Borç</t>
        </is>
      </c>
      <c r="I345" s="38" t="n">
        <v>82794.98</v>
      </c>
      <c r="J345" s="38" t="n">
        <v>0</v>
      </c>
      <c r="K345" s="38" t="n">
        <v>82794.98</v>
      </c>
      <c r="L345" s="40" t="inlineStr">
        <is>
          <t>Borç</t>
        </is>
      </c>
    </row>
    <row r="346" s="34">
      <c r="A346" s="40" t="inlineStr">
        <is>
          <t>120.01.01.G003</t>
        </is>
      </c>
      <c r="B346" s="40" t="inlineStr">
        <is>
          <t>Gepard Turizm Taşımacılık Eml.İnş.Ve Tic</t>
        </is>
      </c>
      <c r="C346" s="40" t="inlineStr">
        <is>
          <t>EUR</t>
        </is>
      </c>
      <c r="D346" s="40" t="inlineStr">
        <is>
          <t>ROYAL ALHAMBRA</t>
        </is>
      </c>
      <c r="E346" s="38" t="n">
        <v>135072.99</v>
      </c>
      <c r="F346" s="38" t="n">
        <v>136327.57</v>
      </c>
      <c r="G346" s="38" t="n">
        <v>-1254.58</v>
      </c>
      <c r="H346" s="40" t="inlineStr">
        <is>
          <t>Alacak</t>
        </is>
      </c>
      <c r="I346" s="38" t="n">
        <v>2542.68</v>
      </c>
      <c r="J346" s="38" t="n">
        <v>2542.68</v>
      </c>
      <c r="K346" s="38" t="n">
        <v>0</v>
      </c>
    </row>
    <row r="347" s="34">
      <c r="A347" s="40" t="inlineStr">
        <is>
          <t>120.01.01.G004</t>
        </is>
      </c>
      <c r="B347" s="40" t="inlineStr">
        <is>
          <t>Gabriel Tour Turizm Limited Şirketi</t>
        </is>
      </c>
      <c r="C347" s="40" t="inlineStr">
        <is>
          <t>EUR</t>
        </is>
      </c>
      <c r="D347" s="40" t="inlineStr">
        <is>
          <t>ROYAL ADAM EVE</t>
        </is>
      </c>
      <c r="E347" s="38" t="n">
        <v>895803.03</v>
      </c>
      <c r="F347" s="38" t="n">
        <v>904121.55</v>
      </c>
      <c r="G347" s="38" t="n">
        <v>-8318.52</v>
      </c>
      <c r="H347" s="40" t="inlineStr">
        <is>
          <t>Alacak</t>
        </is>
      </c>
      <c r="I347" s="38" t="n">
        <v>16863</v>
      </c>
      <c r="J347" s="38" t="n">
        <v>16863</v>
      </c>
      <c r="K347" s="38" t="n">
        <v>0</v>
      </c>
    </row>
    <row r="348" s="34">
      <c r="A348" s="40" t="inlineStr">
        <is>
          <t>120.01.01.G006</t>
        </is>
      </c>
      <c r="B348" s="40" t="inlineStr">
        <is>
          <t>Gezinomi Seyahat Turizm Ticaret A.Ş</t>
        </is>
      </c>
      <c r="C348" s="40" t="inlineStr">
        <is>
          <t>TRY</t>
        </is>
      </c>
      <c r="D348" s="40" t="inlineStr">
        <is>
          <t>ROYAL ADAM EVE</t>
        </is>
      </c>
      <c r="E348" s="38" t="n">
        <v>549638</v>
      </c>
      <c r="F348" s="38" t="n">
        <v>501302</v>
      </c>
      <c r="G348" s="38" t="n">
        <v>48336</v>
      </c>
      <c r="H348" s="40" t="inlineStr">
        <is>
          <t>Borç</t>
        </is>
      </c>
      <c r="I348" s="38" t="n">
        <v>549638</v>
      </c>
      <c r="J348" s="38" t="n">
        <v>501302</v>
      </c>
      <c r="K348" s="38" t="n">
        <v>48336</v>
      </c>
      <c r="L348" s="40" t="inlineStr">
        <is>
          <t>Borç</t>
        </is>
      </c>
    </row>
    <row r="349" s="34">
      <c r="A349" s="40" t="inlineStr">
        <is>
          <t>120.01.01.G006</t>
        </is>
      </c>
      <c r="B349" s="40" t="inlineStr">
        <is>
          <t>Gezinomi Seyahat Turizm Ticaret A.Ş</t>
        </is>
      </c>
      <c r="C349" s="40" t="inlineStr">
        <is>
          <t>TRY</t>
        </is>
      </c>
      <c r="D349" s="40" t="inlineStr">
        <is>
          <t>ROYAL ALHAMBRA</t>
        </is>
      </c>
      <c r="E349" s="38" t="n">
        <v>1143162.4</v>
      </c>
      <c r="F349" s="38" t="n">
        <v>945574.8</v>
      </c>
      <c r="G349" s="38" t="n">
        <v>197587.6</v>
      </c>
      <c r="H349" s="40" t="inlineStr">
        <is>
          <t>Borç</t>
        </is>
      </c>
      <c r="I349" s="38" t="n">
        <v>1143162.4</v>
      </c>
      <c r="J349" s="38" t="n">
        <v>945574.8</v>
      </c>
      <c r="K349" s="38" t="n">
        <v>197587.6</v>
      </c>
      <c r="L349" s="40" t="inlineStr">
        <is>
          <t>Borç</t>
        </is>
      </c>
    </row>
    <row r="350" s="34">
      <c r="A350" s="40" t="inlineStr">
        <is>
          <t>120.01.01.G006</t>
        </is>
      </c>
      <c r="B350" s="40" t="inlineStr">
        <is>
          <t>Gezinomi Seyahat Turizm Ticaret A.Ş</t>
        </is>
      </c>
      <c r="C350" s="40" t="inlineStr">
        <is>
          <t>TRY</t>
        </is>
      </c>
      <c r="D350" s="40" t="inlineStr">
        <is>
          <t>ROYAL DRAGON</t>
        </is>
      </c>
      <c r="E350" s="38" t="n">
        <v>153645</v>
      </c>
      <c r="F350" s="38" t="n">
        <v>81673.8</v>
      </c>
      <c r="G350" s="38" t="n">
        <v>71971.2</v>
      </c>
      <c r="H350" s="40" t="inlineStr">
        <is>
          <t>Borç</t>
        </is>
      </c>
      <c r="I350" s="38" t="n">
        <v>153645</v>
      </c>
      <c r="J350" s="38" t="n">
        <v>81673.8</v>
      </c>
      <c r="K350" s="38" t="n">
        <v>71971.2</v>
      </c>
      <c r="L350" s="40" t="inlineStr">
        <is>
          <t>Borç</t>
        </is>
      </c>
    </row>
    <row r="351" s="34">
      <c r="A351" s="40" t="inlineStr">
        <is>
          <t>120.01.01.G006</t>
        </is>
      </c>
      <c r="B351" s="40" t="inlineStr">
        <is>
          <t>Gezinomi Seyahat Turizm Ticaret A.Ş</t>
        </is>
      </c>
      <c r="C351" s="40" t="inlineStr">
        <is>
          <t>TRY</t>
        </is>
      </c>
      <c r="D351" s="40" t="inlineStr">
        <is>
          <t>ROYAL SEGINUS</t>
        </is>
      </c>
      <c r="E351" s="38" t="n">
        <v>591593</v>
      </c>
      <c r="F351" s="38" t="n">
        <v>534633</v>
      </c>
      <c r="G351" s="38" t="n">
        <v>56960</v>
      </c>
      <c r="H351" s="40" t="inlineStr">
        <is>
          <t>Borç</t>
        </is>
      </c>
      <c r="I351" s="38" t="n">
        <v>591593</v>
      </c>
      <c r="J351" s="38" t="n">
        <v>534633</v>
      </c>
      <c r="K351" s="38" t="n">
        <v>56960</v>
      </c>
      <c r="L351" s="40" t="inlineStr">
        <is>
          <t>Borç</t>
        </is>
      </c>
    </row>
    <row r="352" s="34">
      <c r="A352" s="40" t="inlineStr">
        <is>
          <t>120.01.01.G019</t>
        </is>
      </c>
      <c r="B352" s="40" t="inlineStr">
        <is>
          <t>Gm Production Tur. San. Tic. A.Ş. (Ext)</t>
        </is>
      </c>
      <c r="C352" s="40" t="inlineStr">
        <is>
          <t>EUR</t>
        </is>
      </c>
      <c r="D352" s="40" t="inlineStr">
        <is>
          <t>ROYAL ADAM EVE</t>
        </is>
      </c>
      <c r="E352" s="38" t="n">
        <v>0</v>
      </c>
      <c r="F352" s="38" t="n">
        <v>106377.2</v>
      </c>
      <c r="G352" s="38" t="n">
        <v>-106377.2</v>
      </c>
      <c r="H352" s="40" t="inlineStr">
        <is>
          <t>Alacak</t>
        </is>
      </c>
      <c r="I352" s="38" t="n">
        <v>0</v>
      </c>
      <c r="J352" s="38" t="n">
        <v>2000</v>
      </c>
      <c r="K352" s="38" t="n">
        <v>-2000</v>
      </c>
      <c r="L352" s="40" t="inlineStr">
        <is>
          <t>Alacak</t>
        </is>
      </c>
    </row>
    <row r="353" s="34">
      <c r="A353" s="40" t="inlineStr">
        <is>
          <t>120.01.01.H008</t>
        </is>
      </c>
      <c r="B353" s="40" t="inlineStr">
        <is>
          <t>Heaventour Turizm Ltd. Şti.</t>
        </is>
      </c>
      <c r="C353" s="40" t="inlineStr">
        <is>
          <t>EUR</t>
        </is>
      </c>
      <c r="D353" s="40" t="inlineStr">
        <is>
          <t>ROYAL ADAM EVE</t>
        </is>
      </c>
      <c r="E353" s="38" t="n">
        <v>104224.11</v>
      </c>
      <c r="F353" s="38" t="n">
        <v>104657.85</v>
      </c>
      <c r="G353" s="38" t="n">
        <v>-433.74</v>
      </c>
      <c r="H353" s="40" t="inlineStr">
        <is>
          <t>Alacak</t>
        </is>
      </c>
      <c r="I353" s="38" t="n">
        <v>1952</v>
      </c>
      <c r="J353" s="38" t="n">
        <v>1952</v>
      </c>
      <c r="K353" s="38" t="n">
        <v>0</v>
      </c>
    </row>
    <row r="354" s="34">
      <c r="A354" s="40" t="inlineStr">
        <is>
          <t>120.01.01.H008</t>
        </is>
      </c>
      <c r="B354" s="40" t="inlineStr">
        <is>
          <t>Heaventour Turizm Ltd. Şti.</t>
        </is>
      </c>
      <c r="C354" s="40" t="inlineStr">
        <is>
          <t>EUR</t>
        </is>
      </c>
      <c r="D354" s="40" t="inlineStr">
        <is>
          <t>ROYAL SEGINUS</t>
        </is>
      </c>
      <c r="E354" s="38" t="n">
        <v>763977.75</v>
      </c>
      <c r="F354" s="38" t="n">
        <v>923785.84</v>
      </c>
      <c r="G354" s="38" t="n">
        <v>-159808.09</v>
      </c>
      <c r="H354" s="40" t="inlineStr">
        <is>
          <t>Alacak</t>
        </is>
      </c>
      <c r="I354" s="38" t="n">
        <v>14327.75</v>
      </c>
      <c r="J354" s="38" t="n">
        <v>17297.75</v>
      </c>
      <c r="K354" s="38" t="n">
        <v>-2970</v>
      </c>
      <c r="L354" s="40" t="inlineStr">
        <is>
          <t>Alacak</t>
        </is>
      </c>
    </row>
    <row r="355" s="34">
      <c r="A355" s="40" t="inlineStr">
        <is>
          <t>120.01.01.H011</t>
        </is>
      </c>
      <c r="B355" s="40" t="inlineStr">
        <is>
          <t>Hema Turizm Sey. Gıda Teks.Rek.Eml.Taş.Ve Day.Tük.Mal.San.Ve Tic.Ltd.Şti.</t>
        </is>
      </c>
      <c r="C355" s="40" t="inlineStr">
        <is>
          <t>EUR</t>
        </is>
      </c>
      <c r="D355" s="40" t="inlineStr">
        <is>
          <t>ROYAL ADAM EVE</t>
        </is>
      </c>
      <c r="E355" s="38" t="n">
        <v>162310.51</v>
      </c>
      <c r="F355" s="38" t="n">
        <v>162628.4</v>
      </c>
      <c r="G355" s="38" t="n">
        <v>-317.89</v>
      </c>
      <c r="H355" s="40" t="inlineStr">
        <is>
          <t>Alacak</t>
        </is>
      </c>
      <c r="I355" s="38" t="n">
        <v>83547</v>
      </c>
      <c r="J355" s="38" t="n">
        <v>83547</v>
      </c>
      <c r="K355" s="38" t="n">
        <v>0</v>
      </c>
    </row>
    <row r="356" s="34">
      <c r="A356" s="40" t="inlineStr">
        <is>
          <t>120.01.01.H022</t>
        </is>
      </c>
      <c r="B356" s="40" t="inlineStr">
        <is>
          <t>Holidayce Vibes Turizm Emlak Danışmanlık</t>
        </is>
      </c>
      <c r="C356" s="40" t="inlineStr">
        <is>
          <t>EUR</t>
        </is>
      </c>
      <c r="D356" s="40" t="inlineStr">
        <is>
          <t>ROYAL SEGINUS</t>
        </is>
      </c>
      <c r="E356" s="38" t="n">
        <v>1528478.47</v>
      </c>
      <c r="F356" s="38" t="n">
        <v>1521811.97</v>
      </c>
      <c r="G356" s="38" t="n">
        <v>6666.5</v>
      </c>
      <c r="H356" s="40" t="inlineStr">
        <is>
          <t>Borç</t>
        </is>
      </c>
      <c r="I356" s="38" t="n">
        <v>28649.7</v>
      </c>
      <c r="J356" s="38" t="n">
        <v>28649.7</v>
      </c>
      <c r="K356" s="38" t="n">
        <v>0</v>
      </c>
    </row>
    <row r="357" s="34">
      <c r="A357" s="40" t="inlineStr">
        <is>
          <t>120.01.01.H025</t>
        </is>
      </c>
      <c r="B357" s="40" t="inlineStr">
        <is>
          <t>Hsc Grup Tur.Emlak Taş.Tic.Ve San.Ltd.Şt</t>
        </is>
      </c>
      <c r="C357" s="40" t="inlineStr">
        <is>
          <t>EUR</t>
        </is>
      </c>
      <c r="D357" s="40" t="inlineStr">
        <is>
          <t>ROYAL ALHAMBRA</t>
        </is>
      </c>
      <c r="E357" s="38" t="n">
        <v>351033.98</v>
      </c>
      <c r="F357" s="38" t="n">
        <v>196474.73</v>
      </c>
      <c r="G357" s="38" t="n">
        <v>154559.25</v>
      </c>
      <c r="H357" s="40" t="inlineStr">
        <is>
          <t>Borç</t>
        </is>
      </c>
      <c r="I357" s="38" t="n">
        <v>6606.29</v>
      </c>
      <c r="J357" s="38" t="n">
        <v>3664.5</v>
      </c>
      <c r="K357" s="38" t="n">
        <v>2941.79</v>
      </c>
      <c r="L357" s="40" t="inlineStr">
        <is>
          <t>Borç</t>
        </is>
      </c>
    </row>
    <row r="358" s="34">
      <c r="A358" s="40" t="inlineStr">
        <is>
          <t>120.01.01.H025</t>
        </is>
      </c>
      <c r="B358" s="40" t="inlineStr">
        <is>
          <t>Hsc Grup Tur.Emlak Taş.Tic.Ve San.Ltd.Şt</t>
        </is>
      </c>
      <c r="C358" s="40" t="inlineStr">
        <is>
          <t>EUR</t>
        </is>
      </c>
      <c r="D358" s="40" t="inlineStr">
        <is>
          <t>ROYAL DRAGON</t>
        </is>
      </c>
      <c r="E358" s="38" t="n">
        <v>95125.06</v>
      </c>
      <c r="F358" s="38" t="n">
        <v>0</v>
      </c>
      <c r="G358" s="38" t="n">
        <v>95125.06</v>
      </c>
      <c r="H358" s="40" t="inlineStr">
        <is>
          <t>Borç</t>
        </is>
      </c>
      <c r="I358" s="38" t="n">
        <v>1790.95</v>
      </c>
      <c r="J358" s="38" t="n">
        <v>0</v>
      </c>
      <c r="K358" s="38" t="n">
        <v>1790.95</v>
      </c>
      <c r="L358" s="40" t="inlineStr">
        <is>
          <t>Borç</t>
        </is>
      </c>
    </row>
    <row r="359" s="34">
      <c r="A359" s="40" t="inlineStr">
        <is>
          <t>120.01.01.H025</t>
        </is>
      </c>
      <c r="B359" s="40" t="inlineStr">
        <is>
          <t>Hsc Grup Tur.Emlak Taş.Tic.Ve San.Ltd.Şt</t>
        </is>
      </c>
      <c r="C359" s="40" t="inlineStr">
        <is>
          <t>EUR</t>
        </is>
      </c>
      <c r="D359" s="40" t="inlineStr">
        <is>
          <t>ROYAL HOLIDAY</t>
        </is>
      </c>
      <c r="E359" s="38" t="n">
        <v>429389.27</v>
      </c>
      <c r="F359" s="38" t="n">
        <v>188818.41</v>
      </c>
      <c r="G359" s="38" t="n">
        <v>240570.86</v>
      </c>
      <c r="H359" s="40" t="inlineStr">
        <is>
          <t>Borç</t>
        </is>
      </c>
      <c r="I359" s="38" t="n">
        <v>8044.89</v>
      </c>
      <c r="J359" s="38" t="n">
        <v>3521.7</v>
      </c>
      <c r="K359" s="38" t="n">
        <v>4523.19</v>
      </c>
      <c r="L359" s="40" t="inlineStr">
        <is>
          <t>Borç</t>
        </is>
      </c>
    </row>
    <row r="360" s="34">
      <c r="A360" s="40" t="inlineStr">
        <is>
          <t>120.01.01.H025</t>
        </is>
      </c>
      <c r="B360" s="40" t="inlineStr">
        <is>
          <t>Hsc Grup Tur.Emlak Taş.Tic.Ve San.Ltd.Şt</t>
        </is>
      </c>
      <c r="C360" s="40" t="inlineStr">
        <is>
          <t>EUR</t>
        </is>
      </c>
      <c r="D360" s="40" t="inlineStr">
        <is>
          <t>ROYAL SEGINUS</t>
        </is>
      </c>
      <c r="E360" s="38" t="n">
        <v>257501.59</v>
      </c>
      <c r="F360" s="38" t="n">
        <v>86133.62</v>
      </c>
      <c r="G360" s="38" t="n">
        <v>171367.97</v>
      </c>
      <c r="H360" s="40" t="inlineStr">
        <is>
          <t>Borç</t>
        </is>
      </c>
      <c r="I360" s="38" t="n">
        <v>4833.99</v>
      </c>
      <c r="J360" s="38" t="n">
        <v>1606.5</v>
      </c>
      <c r="K360" s="38" t="n">
        <v>3227.49</v>
      </c>
      <c r="L360" s="40" t="inlineStr">
        <is>
          <t>Borç</t>
        </is>
      </c>
    </row>
    <row r="361" s="34">
      <c r="A361" s="40" t="inlineStr">
        <is>
          <t>120.01.01.I003</t>
        </is>
      </c>
      <c r="B361" s="40" t="inlineStr">
        <is>
          <t>İnova İth. İhr. Ve Turizm Ltd. Şti.</t>
        </is>
      </c>
      <c r="C361" s="40" t="inlineStr">
        <is>
          <t>EUR</t>
        </is>
      </c>
      <c r="D361" s="40" t="inlineStr">
        <is>
          <t>ROYAL HOLIDAY</t>
        </is>
      </c>
      <c r="E361" s="38" t="n">
        <v>45572.07</v>
      </c>
      <c r="F361" s="38" t="n">
        <v>45404.59</v>
      </c>
      <c r="G361" s="38" t="n">
        <v>167.48</v>
      </c>
      <c r="H361" s="40" t="inlineStr">
        <is>
          <t>Borç</t>
        </is>
      </c>
      <c r="I361" s="38" t="n">
        <v>858</v>
      </c>
      <c r="J361" s="38" t="n">
        <v>858</v>
      </c>
      <c r="K361" s="38" t="n">
        <v>0</v>
      </c>
    </row>
    <row r="362" s="34">
      <c r="A362" s="40" t="inlineStr">
        <is>
          <t>120.01.01.I006</t>
        </is>
      </c>
      <c r="B362" s="40" t="inlineStr">
        <is>
          <t>Irel Turizm Tic. Ltd Şti</t>
        </is>
      </c>
      <c r="C362" s="40" t="inlineStr">
        <is>
          <t>EUR</t>
        </is>
      </c>
      <c r="D362" s="40" t="inlineStr">
        <is>
          <t>ROYAL ALHAMBRA</t>
        </is>
      </c>
      <c r="E362" s="38" t="n">
        <v>88574.23</v>
      </c>
      <c r="F362" s="38" t="n">
        <v>88022.44</v>
      </c>
      <c r="G362" s="38" t="n">
        <v>551.79</v>
      </c>
      <c r="H362" s="40" t="inlineStr">
        <is>
          <t>Borç</t>
        </is>
      </c>
      <c r="I362" s="38" t="n">
        <v>1660.5</v>
      </c>
      <c r="J362" s="38" t="n">
        <v>1660.5</v>
      </c>
      <c r="K362" s="38" t="n">
        <v>0</v>
      </c>
    </row>
    <row r="363" s="34">
      <c r="A363" s="40" t="inlineStr">
        <is>
          <t>120.01.01.I006</t>
        </is>
      </c>
      <c r="B363" s="40" t="inlineStr">
        <is>
          <t>Irel Turizm Tic. Ltd Şti</t>
        </is>
      </c>
      <c r="C363" s="40" t="inlineStr">
        <is>
          <t>EUR</t>
        </is>
      </c>
      <c r="D363" s="40" t="inlineStr">
        <is>
          <t>ROYAL DRAGON</t>
        </is>
      </c>
      <c r="E363" s="38" t="n">
        <v>21257.81</v>
      </c>
      <c r="F363" s="38" t="n">
        <v>21366.93</v>
      </c>
      <c r="G363" s="38" t="n">
        <v>-109.12</v>
      </c>
      <c r="H363" s="40" t="inlineStr">
        <is>
          <t>Alacak</t>
        </is>
      </c>
      <c r="I363" s="38" t="n">
        <v>398.52</v>
      </c>
      <c r="J363" s="38" t="n">
        <v>398.52</v>
      </c>
      <c r="K363" s="38" t="n">
        <v>0</v>
      </c>
    </row>
    <row r="364" s="34">
      <c r="A364" s="40" t="inlineStr">
        <is>
          <t>120.01.01.I006</t>
        </is>
      </c>
      <c r="B364" s="40" t="inlineStr">
        <is>
          <t>Irel Turizm Tic. Ltd Şti</t>
        </is>
      </c>
      <c r="C364" s="40" t="inlineStr">
        <is>
          <t>EUR</t>
        </is>
      </c>
      <c r="D364" s="40" t="inlineStr">
        <is>
          <t>ROYAL SEGINUS</t>
        </is>
      </c>
      <c r="E364" s="38" t="n">
        <v>82233.48</v>
      </c>
      <c r="F364" s="38" t="n">
        <v>82997.10000000001</v>
      </c>
      <c r="G364" s="38" t="n">
        <v>-763.62</v>
      </c>
      <c r="H364" s="40" t="inlineStr">
        <is>
          <t>Alacak</t>
        </is>
      </c>
      <c r="I364" s="38" t="n">
        <v>1548</v>
      </c>
      <c r="J364" s="38" t="n">
        <v>1548</v>
      </c>
      <c r="K364" s="38" t="n">
        <v>0</v>
      </c>
    </row>
    <row r="365" s="34">
      <c r="A365" s="40" t="inlineStr">
        <is>
          <t>120.01.01.J001</t>
        </is>
      </c>
      <c r="B365" s="40" t="inlineStr">
        <is>
          <t>Join Up Dmc Tr Turizm ve Ticaret A.Ş.</t>
        </is>
      </c>
      <c r="C365" s="40" t="inlineStr">
        <is>
          <t>EUR</t>
        </is>
      </c>
      <c r="D365" s="40" t="inlineStr">
        <is>
          <t>ROYAL ADAM EVE</t>
        </is>
      </c>
      <c r="E365" s="38" t="n">
        <v>358623.34</v>
      </c>
      <c r="F365" s="38" t="n">
        <v>764675.71</v>
      </c>
      <c r="G365" s="38" t="n">
        <v>-406052.37</v>
      </c>
      <c r="H365" s="40" t="inlineStr">
        <is>
          <t>Alacak</t>
        </is>
      </c>
      <c r="I365" s="38" t="n">
        <v>6730</v>
      </c>
      <c r="J365" s="38" t="n">
        <v>14301.5</v>
      </c>
      <c r="K365" s="38" t="n">
        <v>-7571.5</v>
      </c>
      <c r="L365" s="40" t="inlineStr">
        <is>
          <t>Alacak</t>
        </is>
      </c>
    </row>
    <row r="366" s="34">
      <c r="A366" s="40" t="inlineStr">
        <is>
          <t>120.01.01.J001</t>
        </is>
      </c>
      <c r="B366" s="40" t="inlineStr">
        <is>
          <t>Join Up Dmc Tr Turizm ve Ticaret A.Ş.</t>
        </is>
      </c>
      <c r="C366" s="40" t="inlineStr">
        <is>
          <t>EUR</t>
        </is>
      </c>
      <c r="D366" s="40" t="inlineStr">
        <is>
          <t>ROYAL ALHAMBRA</t>
        </is>
      </c>
      <c r="E366" s="38" t="n">
        <v>1087377.73</v>
      </c>
      <c r="F366" s="38" t="n">
        <v>882663.48</v>
      </c>
      <c r="G366" s="38" t="n">
        <v>204714.25</v>
      </c>
      <c r="H366" s="40" t="inlineStr">
        <is>
          <t>Borç</t>
        </is>
      </c>
      <c r="I366" s="38" t="n">
        <v>20431.63</v>
      </c>
      <c r="J366" s="38" t="n">
        <v>16557.13</v>
      </c>
      <c r="K366" s="38" t="n">
        <v>3874.5</v>
      </c>
      <c r="L366" s="40" t="inlineStr">
        <is>
          <t>Borç</t>
        </is>
      </c>
    </row>
    <row r="367" s="34">
      <c r="A367" s="40" t="inlineStr">
        <is>
          <t>120.01.01.J001</t>
        </is>
      </c>
      <c r="B367" s="40" t="inlineStr">
        <is>
          <t>Join Up Dmc Tr Turizm ve Ticaret A.Ş.</t>
        </is>
      </c>
      <c r="C367" s="40" t="inlineStr">
        <is>
          <t>EUR</t>
        </is>
      </c>
      <c r="D367" s="40" t="inlineStr">
        <is>
          <t>ROYAL DRAGON</t>
        </is>
      </c>
      <c r="E367" s="38" t="n">
        <v>107700.35</v>
      </c>
      <c r="F367" s="38" t="n">
        <v>108700.47</v>
      </c>
      <c r="G367" s="38" t="n">
        <v>-1000.12</v>
      </c>
      <c r="H367" s="40" t="inlineStr">
        <is>
          <t>Alacak</t>
        </is>
      </c>
      <c r="I367" s="38" t="n">
        <v>2027.4</v>
      </c>
      <c r="J367" s="38" t="n">
        <v>2027.4</v>
      </c>
      <c r="K367" s="38" t="n">
        <v>0</v>
      </c>
    </row>
    <row r="368" s="34">
      <c r="A368" s="40" t="inlineStr">
        <is>
          <t>120.01.01.J001</t>
        </is>
      </c>
      <c r="B368" s="40" t="inlineStr">
        <is>
          <t>Join Up Dmc Tr Turizm ve Ticaret A.Ş.</t>
        </is>
      </c>
      <c r="C368" s="40" t="inlineStr">
        <is>
          <t>EUR</t>
        </is>
      </c>
      <c r="D368" s="40" t="inlineStr">
        <is>
          <t>ROYAL HOLIDAY</t>
        </is>
      </c>
      <c r="E368" s="38" t="n">
        <v>546515.64</v>
      </c>
      <c r="F368" s="38" t="n">
        <v>544959.3100000001</v>
      </c>
      <c r="G368" s="38" t="n">
        <v>1556.33</v>
      </c>
      <c r="H368" s="40" t="inlineStr">
        <is>
          <t>Borç</t>
        </is>
      </c>
      <c r="I368" s="38" t="n">
        <v>10248</v>
      </c>
      <c r="J368" s="38" t="n">
        <v>10248</v>
      </c>
      <c r="K368" s="38" t="n">
        <v>0</v>
      </c>
    </row>
    <row r="369" s="34">
      <c r="A369" s="40" t="inlineStr">
        <is>
          <t>120.01.01.J001</t>
        </is>
      </c>
      <c r="B369" s="40" t="inlineStr">
        <is>
          <t>Join Up Dmc Tr Turizm ve Ticaret A.Ş.</t>
        </is>
      </c>
      <c r="C369" s="40" t="inlineStr">
        <is>
          <t>EUR</t>
        </is>
      </c>
      <c r="D369" s="40" t="inlineStr">
        <is>
          <t>ROYAL SEGINUS</t>
        </is>
      </c>
      <c r="E369" s="38" t="n">
        <v>618587.45</v>
      </c>
      <c r="F369" s="38" t="n">
        <v>616652.34</v>
      </c>
      <c r="G369" s="38" t="n">
        <v>1935.11</v>
      </c>
      <c r="H369" s="40" t="inlineStr">
        <is>
          <t>Borç</t>
        </is>
      </c>
      <c r="I369" s="38" t="n">
        <v>11613</v>
      </c>
      <c r="J369" s="38" t="n">
        <v>11613</v>
      </c>
      <c r="K369" s="38" t="n">
        <v>0</v>
      </c>
    </row>
    <row r="370" s="34">
      <c r="A370" s="40" t="inlineStr">
        <is>
          <t>120.01.01.K004</t>
        </is>
      </c>
      <c r="B370" s="40" t="inlineStr">
        <is>
          <t>Kamila Turizm Seyahat Emlak Tic.Ltd.Şti.</t>
        </is>
      </c>
      <c r="C370" s="40" t="inlineStr">
        <is>
          <t>EUR</t>
        </is>
      </c>
      <c r="D370" s="40" t="inlineStr">
        <is>
          <t>ROYAL ADAM EVE</t>
        </is>
      </c>
      <c r="E370" s="38" t="n">
        <v>526570.33</v>
      </c>
      <c r="F370" s="38" t="n">
        <v>529280.79</v>
      </c>
      <c r="G370" s="38" t="n">
        <v>-2710.46</v>
      </c>
      <c r="H370" s="40" t="inlineStr">
        <is>
          <t>Alacak</t>
        </is>
      </c>
      <c r="I370" s="38" t="n">
        <v>9871.75</v>
      </c>
      <c r="J370" s="38" t="n">
        <v>9871.75</v>
      </c>
      <c r="K370" s="38" t="n">
        <v>0</v>
      </c>
    </row>
    <row r="371" s="34">
      <c r="A371" s="40" t="inlineStr">
        <is>
          <t>120.01.01.K008</t>
        </is>
      </c>
      <c r="B371" s="40" t="inlineStr">
        <is>
          <t>Karnak Dış Tic. Ve Turizm Ltd. Şti.</t>
        </is>
      </c>
      <c r="C371" s="40" t="inlineStr">
        <is>
          <t>EUR</t>
        </is>
      </c>
      <c r="D371" s="40" t="inlineStr">
        <is>
          <t>ROYAL SEGINUS</t>
        </is>
      </c>
      <c r="E371" s="38" t="n">
        <v>176618.36</v>
      </c>
      <c r="F371" s="38" t="n">
        <v>177575.2</v>
      </c>
      <c r="G371" s="38" t="n">
        <v>-956.84</v>
      </c>
      <c r="H371" s="40" t="inlineStr">
        <is>
          <t>Alacak</t>
        </is>
      </c>
      <c r="I371" s="38" t="n">
        <v>3312</v>
      </c>
      <c r="J371" s="38" t="n">
        <v>3312</v>
      </c>
      <c r="K371" s="38" t="n">
        <v>0</v>
      </c>
    </row>
    <row r="372" s="34">
      <c r="A372" s="40" t="inlineStr">
        <is>
          <t>120.01.01.K009</t>
        </is>
      </c>
      <c r="B372" s="40" t="inlineStr">
        <is>
          <t>Kartaca Tur.Sey.Tic.Ve San.Ltd.Şti.</t>
        </is>
      </c>
      <c r="C372" s="40" t="inlineStr">
        <is>
          <t>EUR</t>
        </is>
      </c>
      <c r="D372" s="40" t="inlineStr">
        <is>
          <t>ROYAL ADAM EVE</t>
        </is>
      </c>
      <c r="E372" s="38" t="n">
        <v>87159.31</v>
      </c>
      <c r="F372" s="38" t="n">
        <v>85993.53999999999</v>
      </c>
      <c r="G372" s="38" t="n">
        <v>1165.77</v>
      </c>
      <c r="H372" s="40" t="inlineStr">
        <is>
          <t>Borç</t>
        </is>
      </c>
      <c r="I372" s="38" t="n">
        <v>1625</v>
      </c>
      <c r="J372" s="38" t="n">
        <v>1625</v>
      </c>
      <c r="K372" s="38" t="n">
        <v>0</v>
      </c>
    </row>
    <row r="373" s="34">
      <c r="A373" s="40" t="inlineStr">
        <is>
          <t>120.01.01.K009</t>
        </is>
      </c>
      <c r="B373" s="40" t="inlineStr">
        <is>
          <t>Kartaca Tur.Sey.Tic.Ve San.Ltd.Şti.</t>
        </is>
      </c>
      <c r="C373" s="40" t="inlineStr">
        <is>
          <t>EUR</t>
        </is>
      </c>
      <c r="D373" s="40" t="inlineStr">
        <is>
          <t>ROYAL ALHAMBRA</t>
        </is>
      </c>
      <c r="E373" s="38" t="n">
        <v>104320.75</v>
      </c>
      <c r="F373" s="38" t="n">
        <v>103670.87</v>
      </c>
      <c r="G373" s="38" t="n">
        <v>649.88</v>
      </c>
      <c r="H373" s="40" t="inlineStr">
        <is>
          <t>Borç</t>
        </is>
      </c>
      <c r="I373" s="38" t="n">
        <v>1955.7</v>
      </c>
      <c r="J373" s="38" t="n">
        <v>1955.7</v>
      </c>
      <c r="K373" s="38" t="n">
        <v>0</v>
      </c>
    </row>
    <row r="374" s="34">
      <c r="A374" s="40" t="inlineStr">
        <is>
          <t>120.01.01.K009</t>
        </is>
      </c>
      <c r="B374" s="40" t="inlineStr">
        <is>
          <t>Kartaca Tur.Sey.Tic.Ve San.Ltd.Şti.</t>
        </is>
      </c>
      <c r="C374" s="40" t="inlineStr">
        <is>
          <t>EUR</t>
        </is>
      </c>
      <c r="D374" s="40" t="inlineStr">
        <is>
          <t>ROYAL SEGINUS</t>
        </is>
      </c>
      <c r="E374" s="38" t="n">
        <v>253061.75</v>
      </c>
      <c r="F374" s="38" t="n">
        <v>254009.74</v>
      </c>
      <c r="G374" s="38" t="n">
        <v>-947.99</v>
      </c>
      <c r="H374" s="40" t="inlineStr">
        <is>
          <t>Alacak</t>
        </is>
      </c>
      <c r="I374" s="38" t="n">
        <v>4737.6</v>
      </c>
      <c r="J374" s="38" t="n">
        <v>4737.6</v>
      </c>
      <c r="K374" s="38" t="n">
        <v>0</v>
      </c>
    </row>
    <row r="375" s="34">
      <c r="A375" s="40" t="inlineStr">
        <is>
          <t>120.01.01.K012</t>
        </is>
      </c>
      <c r="B375" s="40" t="inlineStr">
        <is>
          <t>Keyf Global Turizm Ticaret A.Ş.</t>
        </is>
      </c>
      <c r="C375" s="40" t="inlineStr">
        <is>
          <t>EUR</t>
        </is>
      </c>
      <c r="D375" s="40" t="inlineStr">
        <is>
          <t>ROYAL ALHAMBRA</t>
        </is>
      </c>
      <c r="E375" s="38" t="n">
        <v>120714.01</v>
      </c>
      <c r="F375" s="38" t="n">
        <v>121835.24</v>
      </c>
      <c r="G375" s="38" t="n">
        <v>-1121.23</v>
      </c>
      <c r="H375" s="40" t="inlineStr">
        <is>
          <t>Alacak</t>
        </is>
      </c>
      <c r="I375" s="38" t="n">
        <v>2272.38</v>
      </c>
      <c r="J375" s="38" t="n">
        <v>2272.38</v>
      </c>
      <c r="K375" s="38" t="n">
        <v>0</v>
      </c>
    </row>
    <row r="376" s="34">
      <c r="A376" s="40" t="inlineStr">
        <is>
          <t>120.01.01.K012</t>
        </is>
      </c>
      <c r="B376" s="40" t="inlineStr">
        <is>
          <t>Keyf Global Turizm Ticaret A.Ş.</t>
        </is>
      </c>
      <c r="C376" s="40" t="inlineStr">
        <is>
          <t>EUR</t>
        </is>
      </c>
      <c r="D376" s="40" t="inlineStr">
        <is>
          <t>ROYAL SEGINUS</t>
        </is>
      </c>
      <c r="E376" s="38" t="n">
        <v>168808.97</v>
      </c>
      <c r="F376" s="38" t="n">
        <v>169854.54</v>
      </c>
      <c r="G376" s="38" t="n">
        <v>-1045.57</v>
      </c>
      <c r="H376" s="40" t="inlineStr">
        <is>
          <t>Alacak</t>
        </is>
      </c>
      <c r="I376" s="38" t="n">
        <v>3168</v>
      </c>
      <c r="J376" s="38" t="n">
        <v>3168</v>
      </c>
      <c r="K376" s="38" t="n">
        <v>0</v>
      </c>
    </row>
    <row r="377" s="34">
      <c r="A377" s="40" t="inlineStr">
        <is>
          <t>120.01.01.L003</t>
        </is>
      </c>
      <c r="B377" s="40" t="inlineStr">
        <is>
          <t xml:space="preserve">Linaydın Turizm Organizasyon Sanayi ve Ticaret Limited Şirketi </t>
        </is>
      </c>
      <c r="C377" s="40" t="inlineStr">
        <is>
          <t>EUR</t>
        </is>
      </c>
      <c r="D377" s="40" t="inlineStr">
        <is>
          <t>ROYAL SEGINUS</t>
        </is>
      </c>
      <c r="E377" s="38" t="n">
        <v>316688.87</v>
      </c>
      <c r="F377" s="38" t="n">
        <v>317381.02</v>
      </c>
      <c r="G377" s="38" t="n">
        <v>-692.15</v>
      </c>
      <c r="H377" s="40" t="inlineStr">
        <is>
          <t>Alacak</t>
        </is>
      </c>
      <c r="I377" s="38" t="n">
        <v>5943</v>
      </c>
      <c r="J377" s="38" t="n">
        <v>5943</v>
      </c>
      <c r="K377" s="38" t="n">
        <v>0</v>
      </c>
    </row>
    <row r="378" s="34">
      <c r="A378" s="40" t="inlineStr">
        <is>
          <t>120.01.01.L004</t>
        </is>
      </c>
      <c r="B378" s="40" t="inlineStr">
        <is>
          <t>Luxe Vacation Turizm Seyahat Acentalığı Taş.İnş.İth İhr.ve Tic.Ltd.Şti.</t>
        </is>
      </c>
      <c r="C378" s="40" t="inlineStr">
        <is>
          <t>EUR</t>
        </is>
      </c>
      <c r="D378" s="40" t="inlineStr">
        <is>
          <t>ROYAL HOLIDAY</t>
        </is>
      </c>
      <c r="E378" s="38" t="n">
        <v>222561.4</v>
      </c>
      <c r="F378" s="38" t="n">
        <v>223046.52</v>
      </c>
      <c r="G378" s="38" t="n">
        <v>-485.12</v>
      </c>
      <c r="H378" s="40" t="inlineStr">
        <is>
          <t>Alacak</t>
        </is>
      </c>
      <c r="I378" s="38" t="n">
        <v>4181.7</v>
      </c>
      <c r="J378" s="38" t="n">
        <v>4181.7</v>
      </c>
      <c r="K378" s="38" t="n">
        <v>0</v>
      </c>
    </row>
    <row r="379" s="34">
      <c r="A379" s="40" t="inlineStr">
        <is>
          <t>120.01.01.L006</t>
        </is>
      </c>
      <c r="B379" s="40" t="inlineStr">
        <is>
          <t>La Dolce Vita Travel Turizm Ticaret Anonim Şirketi</t>
        </is>
      </c>
      <c r="C379" s="40" t="inlineStr">
        <is>
          <t>EUR</t>
        </is>
      </c>
      <c r="D379" s="40" t="inlineStr">
        <is>
          <t>ROYAL ADAM EVE</t>
        </is>
      </c>
      <c r="E379" s="38" t="n">
        <v>87386.35000000001</v>
      </c>
      <c r="F379" s="38" t="n">
        <v>88197.83</v>
      </c>
      <c r="G379" s="38" t="n">
        <v>-811.48</v>
      </c>
      <c r="H379" s="40" t="inlineStr">
        <is>
          <t>Alacak</t>
        </is>
      </c>
      <c r="I379" s="38" t="n">
        <v>1645</v>
      </c>
      <c r="J379" s="38" t="n">
        <v>1645</v>
      </c>
      <c r="K379" s="38" t="n">
        <v>0</v>
      </c>
    </row>
    <row r="380" s="34">
      <c r="A380" s="40" t="inlineStr">
        <is>
          <t>120.01.01.L006</t>
        </is>
      </c>
      <c r="B380" s="40" t="inlineStr">
        <is>
          <t>La Dolce Vita Travel Turizm Ticaret Anonim Şirketi</t>
        </is>
      </c>
      <c r="C380" s="40" t="inlineStr">
        <is>
          <t>EUR</t>
        </is>
      </c>
      <c r="D380" s="40" t="inlineStr">
        <is>
          <t>ROYAL HOLIDAY</t>
        </is>
      </c>
      <c r="E380" s="38" t="n">
        <v>103570.08</v>
      </c>
      <c r="F380" s="38" t="n">
        <v>102239.7</v>
      </c>
      <c r="G380" s="38" t="n">
        <v>1330.38</v>
      </c>
      <c r="H380" s="40" t="inlineStr">
        <is>
          <t>Borç</t>
        </is>
      </c>
      <c r="I380" s="38" t="n">
        <v>1932</v>
      </c>
      <c r="J380" s="38" t="n">
        <v>1932</v>
      </c>
      <c r="K380" s="38" t="n">
        <v>0</v>
      </c>
    </row>
    <row r="381" s="34">
      <c r="A381" s="40" t="inlineStr">
        <is>
          <t>120.01.01.L006</t>
        </is>
      </c>
      <c r="B381" s="40" t="inlineStr">
        <is>
          <t>La Dolce Vita Travel Turizm Ticaret Anonim Şirketi</t>
        </is>
      </c>
      <c r="C381" s="40" t="inlineStr">
        <is>
          <t>EUR</t>
        </is>
      </c>
      <c r="D381" s="40" t="inlineStr">
        <is>
          <t>ROYAL SEGINUS</t>
        </is>
      </c>
      <c r="E381" s="38" t="n">
        <v>64414.37</v>
      </c>
      <c r="F381" s="38" t="n">
        <v>0</v>
      </c>
      <c r="G381" s="38" t="n">
        <v>64414.37</v>
      </c>
      <c r="H381" s="40" t="inlineStr">
        <is>
          <t>Borç</t>
        </is>
      </c>
      <c r="I381" s="38" t="n">
        <v>1212.75</v>
      </c>
      <c r="J381" s="38" t="n">
        <v>0</v>
      </c>
      <c r="K381" s="38" t="n">
        <v>1212.75</v>
      </c>
      <c r="L381" s="40" t="inlineStr">
        <is>
          <t>Borç</t>
        </is>
      </c>
    </row>
    <row r="382" s="34">
      <c r="A382" s="40" t="inlineStr">
        <is>
          <t>120.01.01.L007</t>
        </is>
      </c>
      <c r="B382" s="40" t="inlineStr">
        <is>
          <t>Özyer Tur.San.Ve Tic.A.Ş.</t>
        </is>
      </c>
      <c r="C382" s="40" t="inlineStr">
        <is>
          <t>EUR</t>
        </is>
      </c>
      <c r="D382" s="40" t="inlineStr">
        <is>
          <t>ROYAL SEGINUS</t>
        </is>
      </c>
      <c r="E382" s="38" t="n">
        <v>72517.13</v>
      </c>
      <c r="F382" s="38" t="n">
        <v>0</v>
      </c>
      <c r="G382" s="38" t="n">
        <v>72517.13</v>
      </c>
      <c r="H382" s="40" t="inlineStr">
        <is>
          <t>Borç</t>
        </is>
      </c>
      <c r="I382" s="38" t="n">
        <v>1368</v>
      </c>
      <c r="J382" s="38" t="n">
        <v>0</v>
      </c>
      <c r="K382" s="38" t="n">
        <v>1368</v>
      </c>
      <c r="L382" s="40" t="inlineStr">
        <is>
          <t>Borç</t>
        </is>
      </c>
    </row>
    <row r="383" s="34">
      <c r="A383" s="40" t="inlineStr">
        <is>
          <t>120.01.01.M002</t>
        </is>
      </c>
      <c r="B383" s="40" t="inlineStr">
        <is>
          <t>Mevsim Taşımacılık Turizm Gıda İnş.San.ve Tic.Ltd.Şti.</t>
        </is>
      </c>
      <c r="C383" s="40" t="inlineStr">
        <is>
          <t>TRY</t>
        </is>
      </c>
      <c r="D383" s="40" t="inlineStr">
        <is>
          <t>ROYAL ALHAMBRA</t>
        </is>
      </c>
      <c r="E383" s="38" t="n">
        <v>62229.6</v>
      </c>
      <c r="F383" s="38" t="n">
        <v>62229.6</v>
      </c>
      <c r="G383" s="38" t="n">
        <v>0</v>
      </c>
      <c r="I383" s="38" t="n">
        <v>62229.6</v>
      </c>
      <c r="J383" s="38" t="n">
        <v>62229.6</v>
      </c>
      <c r="K383" s="38" t="n">
        <v>0</v>
      </c>
    </row>
    <row r="384" s="34">
      <c r="A384" s="40" t="inlineStr">
        <is>
          <t>120.01.01.M002</t>
        </is>
      </c>
      <c r="B384" s="40" t="inlineStr">
        <is>
          <t>Mevsim Taşımacılık Turizm Gıda İnş.San.ve Tic.Ltd.Şti.</t>
        </is>
      </c>
      <c r="C384" s="40" t="inlineStr">
        <is>
          <t>TRY</t>
        </is>
      </c>
      <c r="D384" s="40" t="inlineStr">
        <is>
          <t>ROYAL SEGINUS</t>
        </is>
      </c>
      <c r="E384" s="38" t="n">
        <v>37380</v>
      </c>
      <c r="F384" s="38" t="n">
        <v>37380</v>
      </c>
      <c r="G384" s="38" t="n">
        <v>0</v>
      </c>
      <c r="I384" s="38" t="n">
        <v>37380</v>
      </c>
      <c r="J384" s="38" t="n">
        <v>37380</v>
      </c>
      <c r="K384" s="38" t="n">
        <v>0</v>
      </c>
    </row>
    <row r="385" s="34">
      <c r="A385" s="40" t="inlineStr">
        <is>
          <t>120.01.01.M010</t>
        </is>
      </c>
      <c r="B385" s="40" t="inlineStr">
        <is>
          <t>Mavisu Turizm Tic.Ve Sey.Acentası A.Ş.</t>
        </is>
      </c>
      <c r="C385" s="40" t="inlineStr">
        <is>
          <t>EUR</t>
        </is>
      </c>
      <c r="D385" s="40" t="inlineStr">
        <is>
          <t>ROYAL ADAM EVE</t>
        </is>
      </c>
      <c r="E385" s="38" t="n">
        <v>384426.57</v>
      </c>
      <c r="F385" s="38" t="n">
        <v>384216.84</v>
      </c>
      <c r="G385" s="38" t="n">
        <v>209.73</v>
      </c>
      <c r="H385" s="40" t="inlineStr">
        <is>
          <t>Borç</t>
        </is>
      </c>
      <c r="I385" s="38" t="n">
        <v>7207.5</v>
      </c>
      <c r="J385" s="38" t="n">
        <v>7207.5</v>
      </c>
      <c r="K385" s="38" t="n">
        <v>0</v>
      </c>
    </row>
    <row r="386" s="34">
      <c r="A386" s="40" t="inlineStr">
        <is>
          <t>120.01.01.M010</t>
        </is>
      </c>
      <c r="B386" s="40" t="inlineStr">
        <is>
          <t>Mavisu Turizm Tic.Ve Sey.Acentası A.Ş.</t>
        </is>
      </c>
      <c r="C386" s="40" t="inlineStr">
        <is>
          <t>EUR</t>
        </is>
      </c>
      <c r="D386" s="40" t="inlineStr">
        <is>
          <t>ROYAL ALHAMBRA</t>
        </is>
      </c>
      <c r="E386" s="38" t="n">
        <v>415355.32</v>
      </c>
      <c r="F386" s="38" t="n">
        <v>353136.05</v>
      </c>
      <c r="G386" s="38" t="n">
        <v>62219.27</v>
      </c>
      <c r="H386" s="40" t="inlineStr">
        <is>
          <t>Borç</t>
        </is>
      </c>
      <c r="I386" s="38" t="n">
        <v>7804.13</v>
      </c>
      <c r="J386" s="38" t="n">
        <v>6586.43</v>
      </c>
      <c r="K386" s="38" t="n">
        <v>1217.7</v>
      </c>
      <c r="L386" s="40" t="inlineStr">
        <is>
          <t>Borç</t>
        </is>
      </c>
    </row>
    <row r="387" s="34">
      <c r="A387" s="40" t="inlineStr">
        <is>
          <t>120.01.01.M010</t>
        </is>
      </c>
      <c r="B387" s="40" t="inlineStr">
        <is>
          <t>Mavisu Turizm Tic.Ve Sey.Acentası A.Ş.</t>
        </is>
      </c>
      <c r="C387" s="40" t="inlineStr">
        <is>
          <t>EUR</t>
        </is>
      </c>
      <c r="D387" s="40" t="inlineStr">
        <is>
          <t>ROYAL HOLIDAY</t>
        </is>
      </c>
      <c r="E387" s="38" t="n">
        <v>241506.84</v>
      </c>
      <c r="F387" s="38" t="n">
        <v>241666.45</v>
      </c>
      <c r="G387" s="38" t="n">
        <v>-159.61</v>
      </c>
      <c r="H387" s="40" t="inlineStr">
        <is>
          <t>Alacak</t>
        </is>
      </c>
      <c r="I387" s="38" t="n">
        <v>4551.54</v>
      </c>
      <c r="J387" s="38" t="n">
        <v>4551.54</v>
      </c>
      <c r="K387" s="38" t="n">
        <v>0</v>
      </c>
    </row>
    <row r="388" s="34">
      <c r="A388" s="40" t="inlineStr">
        <is>
          <t>120.01.01.M010</t>
        </is>
      </c>
      <c r="B388" s="40" t="inlineStr">
        <is>
          <t>Mavisu Turizm Tic.Ve Sey.Acentası A.Ş.</t>
        </is>
      </c>
      <c r="C388" s="40" t="inlineStr">
        <is>
          <t>EUR</t>
        </is>
      </c>
      <c r="D388" s="40" t="inlineStr">
        <is>
          <t>ROYAL SEGINUS</t>
        </is>
      </c>
      <c r="E388" s="38" t="n">
        <v>754692.97</v>
      </c>
      <c r="F388" s="38" t="n">
        <v>754062.36</v>
      </c>
      <c r="G388" s="38" t="n">
        <v>630.61</v>
      </c>
      <c r="H388" s="40" t="inlineStr">
        <is>
          <t>Borç</t>
        </is>
      </c>
      <c r="I388" s="38" t="n">
        <v>14191.68</v>
      </c>
      <c r="J388" s="38" t="n">
        <v>14191.68</v>
      </c>
      <c r="K388" s="38" t="n">
        <v>0</v>
      </c>
    </row>
    <row r="389" s="34">
      <c r="A389" s="40" t="inlineStr">
        <is>
          <t>120.01.01.M017</t>
        </is>
      </c>
      <c r="B389" s="40" t="inlineStr">
        <is>
          <t>Memento Travel Service Turizm Tic. A.ş.</t>
        </is>
      </c>
      <c r="C389" s="40" t="inlineStr">
        <is>
          <t>EUR</t>
        </is>
      </c>
      <c r="D389" s="40" t="inlineStr">
        <is>
          <t>ROYAL ALHAMBRA</t>
        </is>
      </c>
      <c r="E389" s="38" t="n">
        <v>772713.65</v>
      </c>
      <c r="F389" s="38" t="n">
        <v>680618.14</v>
      </c>
      <c r="G389" s="38" t="n">
        <v>92095.50999999999</v>
      </c>
      <c r="H389" s="40" t="inlineStr">
        <is>
          <t>Borç</t>
        </is>
      </c>
      <c r="I389" s="38" t="n">
        <v>14481.34</v>
      </c>
      <c r="J389" s="38" t="n">
        <v>12827.59</v>
      </c>
      <c r="K389" s="38" t="n">
        <v>1653.75</v>
      </c>
      <c r="L389" s="40" t="inlineStr">
        <is>
          <t>Borç</t>
        </is>
      </c>
    </row>
    <row r="390" s="34">
      <c r="A390" s="40" t="inlineStr">
        <is>
          <t>120.01.01.M017</t>
        </is>
      </c>
      <c r="B390" s="40" t="inlineStr">
        <is>
          <t>Memento Travel Service Turizm Tic. A.ş.</t>
        </is>
      </c>
      <c r="C390" s="40" t="inlineStr">
        <is>
          <t>EUR</t>
        </is>
      </c>
      <c r="D390" s="40" t="inlineStr">
        <is>
          <t>ROYAL HOLIDAY</t>
        </is>
      </c>
      <c r="E390" s="38" t="n">
        <v>227177.79</v>
      </c>
      <c r="F390" s="38" t="n">
        <v>226050.8</v>
      </c>
      <c r="G390" s="38" t="n">
        <v>1126.99</v>
      </c>
      <c r="H390" s="40" t="inlineStr">
        <is>
          <t>Borç</t>
        </is>
      </c>
      <c r="I390" s="38" t="n">
        <v>4257.86</v>
      </c>
      <c r="J390" s="38" t="n">
        <v>4257.86</v>
      </c>
      <c r="K390" s="38" t="n">
        <v>0</v>
      </c>
    </row>
    <row r="391" s="34">
      <c r="A391" s="40" t="inlineStr">
        <is>
          <t>120.01.01.M017</t>
        </is>
      </c>
      <c r="B391" s="40" t="inlineStr">
        <is>
          <t>Memento Travel Service Turizm Tic. A.ş.</t>
        </is>
      </c>
      <c r="C391" s="40" t="inlineStr">
        <is>
          <t>EUR</t>
        </is>
      </c>
      <c r="D391" s="40" t="inlineStr">
        <is>
          <t>ROYAL SEGINUS</t>
        </is>
      </c>
      <c r="E391" s="38" t="n">
        <v>179115.72</v>
      </c>
      <c r="F391" s="38" t="n">
        <v>180261.34</v>
      </c>
      <c r="G391" s="38" t="n">
        <v>-1145.62</v>
      </c>
      <c r="H391" s="40" t="inlineStr">
        <is>
          <t>Alacak</t>
        </is>
      </c>
      <c r="I391" s="38" t="n">
        <v>3362.1</v>
      </c>
      <c r="J391" s="38" t="n">
        <v>3362.1</v>
      </c>
      <c r="K391" s="38" t="n">
        <v>0</v>
      </c>
    </row>
    <row r="392" s="34">
      <c r="A392" s="40" t="inlineStr">
        <is>
          <t>120.01.01.M019</t>
        </is>
      </c>
      <c r="B392" s="40" t="inlineStr">
        <is>
          <t>Mercan Turizm Dış Ticaret Ltd. Şti.</t>
        </is>
      </c>
      <c r="C392" s="40" t="inlineStr">
        <is>
          <t>EUR</t>
        </is>
      </c>
      <c r="D392" s="40" t="inlineStr">
        <is>
          <t>ROYAL SEGINUS</t>
        </is>
      </c>
      <c r="E392" s="38" t="n">
        <v>189912.58</v>
      </c>
      <c r="F392" s="38" t="n">
        <v>190046.21</v>
      </c>
      <c r="G392" s="38" t="n">
        <v>-133.63</v>
      </c>
      <c r="H392" s="40" t="inlineStr">
        <is>
          <t>Alacak</t>
        </is>
      </c>
      <c r="I392" s="38" t="n">
        <v>3575</v>
      </c>
      <c r="J392" s="38" t="n">
        <v>3544.6</v>
      </c>
      <c r="K392" s="38" t="n">
        <v>30.4</v>
      </c>
      <c r="L392" s="40" t="inlineStr">
        <is>
          <t>Borç</t>
        </is>
      </c>
    </row>
    <row r="393" s="34">
      <c r="A393" s="40" t="inlineStr">
        <is>
          <t>120.01.01.M030</t>
        </is>
      </c>
      <c r="B393" s="40" t="inlineStr">
        <is>
          <t>Mina Turizm San. Ve Tic.Ltd.Şti.</t>
        </is>
      </c>
      <c r="C393" s="40" t="inlineStr">
        <is>
          <t>EUR</t>
        </is>
      </c>
      <c r="D393" s="40" t="inlineStr">
        <is>
          <t>ROYAL ALHAMBRA</t>
        </is>
      </c>
      <c r="E393" s="38" t="n">
        <v>253102.27</v>
      </c>
      <c r="F393" s="38" t="n">
        <v>250974.84</v>
      </c>
      <c r="G393" s="38" t="n">
        <v>2127.43</v>
      </c>
      <c r="H393" s="40" t="inlineStr">
        <is>
          <t>Borç</t>
        </is>
      </c>
      <c r="I393" s="38" t="n">
        <v>4733.93</v>
      </c>
      <c r="J393" s="38" t="n">
        <v>4733.93</v>
      </c>
      <c r="K393" s="38" t="n">
        <v>0</v>
      </c>
    </row>
    <row r="394" s="34">
      <c r="A394" s="40" t="inlineStr">
        <is>
          <t>120.01.01.M030</t>
        </is>
      </c>
      <c r="B394" s="40" t="inlineStr">
        <is>
          <t>Mina Turizm San. Ve Tic.Ltd.Şti.</t>
        </is>
      </c>
      <c r="C394" s="40" t="inlineStr">
        <is>
          <t>EUR</t>
        </is>
      </c>
      <c r="D394" s="40" t="inlineStr">
        <is>
          <t>ROYAL SEGINUS</t>
        </is>
      </c>
      <c r="E394" s="38" t="n">
        <v>126616.42</v>
      </c>
      <c r="F394" s="38" t="n">
        <v>124971.63</v>
      </c>
      <c r="G394" s="38" t="n">
        <v>1644.79</v>
      </c>
      <c r="H394" s="40" t="inlineStr">
        <is>
          <t>Borç</t>
        </is>
      </c>
      <c r="I394" s="38" t="n">
        <v>2361.56</v>
      </c>
      <c r="J394" s="38" t="n">
        <v>2361.56</v>
      </c>
      <c r="K394" s="38" t="n">
        <v>0</v>
      </c>
    </row>
    <row r="395" s="34">
      <c r="A395" s="40" t="inlineStr">
        <is>
          <t>120.01.01.M036</t>
        </is>
      </c>
      <c r="B395" s="40" t="inlineStr">
        <is>
          <t>Motus Seyahat Acentalığı Taş. İnş. Tic.A.Ş.</t>
        </is>
      </c>
      <c r="C395" s="40" t="inlineStr">
        <is>
          <t>EUR</t>
        </is>
      </c>
      <c r="D395" s="40" t="inlineStr">
        <is>
          <t>ROYAL ADAM EVE</t>
        </is>
      </c>
      <c r="E395" s="38" t="n">
        <v>2224467.5</v>
      </c>
      <c r="F395" s="38" t="n">
        <v>0</v>
      </c>
      <c r="G395" s="38" t="n">
        <v>2224467.5</v>
      </c>
      <c r="H395" s="40" t="inlineStr">
        <is>
          <t>Borç</t>
        </is>
      </c>
      <c r="I395" s="38" t="n">
        <v>41802.25</v>
      </c>
      <c r="J395" s="38" t="n">
        <v>0</v>
      </c>
      <c r="K395" s="38" t="n">
        <v>41802.25</v>
      </c>
      <c r="L395" s="40" t="inlineStr">
        <is>
          <t>Borç</t>
        </is>
      </c>
    </row>
    <row r="396" s="34">
      <c r="A396" s="40" t="inlineStr">
        <is>
          <t>120.01.01.M036</t>
        </is>
      </c>
      <c r="B396" s="40" t="inlineStr">
        <is>
          <t>Motus Seyahat Acentalığı Taş. İnş. Tic.A.Ş.</t>
        </is>
      </c>
      <c r="C396" s="40" t="inlineStr">
        <is>
          <t>EUR</t>
        </is>
      </c>
      <c r="D396" s="40" t="inlineStr">
        <is>
          <t>ROYAL ALHAMBRA</t>
        </is>
      </c>
      <c r="E396" s="38" t="n">
        <v>3800152.38</v>
      </c>
      <c r="F396" s="38" t="n">
        <v>0</v>
      </c>
      <c r="G396" s="38" t="n">
        <v>3800152.38</v>
      </c>
      <c r="H396" s="40" t="inlineStr">
        <is>
          <t>Borç</t>
        </is>
      </c>
      <c r="I396" s="38" t="n">
        <v>71402.42</v>
      </c>
      <c r="J396" s="38" t="n">
        <v>0</v>
      </c>
      <c r="K396" s="38" t="n">
        <v>71402.42</v>
      </c>
      <c r="L396" s="40" t="inlineStr">
        <is>
          <t>Borç</t>
        </is>
      </c>
    </row>
    <row r="397" s="34">
      <c r="A397" s="40" t="inlineStr">
        <is>
          <t>120.01.01.M036</t>
        </is>
      </c>
      <c r="B397" s="40" t="inlineStr">
        <is>
          <t>Motus Seyahat Acentalığı Taş. İnş. Tic.A.Ş.</t>
        </is>
      </c>
      <c r="C397" s="40" t="inlineStr">
        <is>
          <t>EUR</t>
        </is>
      </c>
      <c r="D397" s="40" t="inlineStr">
        <is>
          <t>ROYAL DRAGON</t>
        </is>
      </c>
      <c r="E397" s="38" t="n">
        <v>9274665.359999999</v>
      </c>
      <c r="F397" s="38" t="n">
        <v>0</v>
      </c>
      <c r="G397" s="38" t="n">
        <v>9274665.359999999</v>
      </c>
      <c r="H397" s="40" t="inlineStr">
        <is>
          <t>Borç</t>
        </is>
      </c>
      <c r="I397" s="38" t="n">
        <v>174705.65</v>
      </c>
      <c r="J397" s="38" t="n">
        <v>0</v>
      </c>
      <c r="K397" s="38" t="n">
        <v>174705.65</v>
      </c>
      <c r="L397" s="40" t="inlineStr">
        <is>
          <t>Borç</t>
        </is>
      </c>
    </row>
    <row r="398" s="34">
      <c r="A398" s="40" t="inlineStr">
        <is>
          <t>120.01.01.M036</t>
        </is>
      </c>
      <c r="B398" s="40" t="inlineStr">
        <is>
          <t>Motus Seyahat Acentalığı Taş. İnş. Tic.A.Ş.</t>
        </is>
      </c>
      <c r="C398" s="40" t="inlineStr">
        <is>
          <t>EUR</t>
        </is>
      </c>
      <c r="D398" s="40" t="inlineStr">
        <is>
          <t>ROYAL HOLIDAY</t>
        </is>
      </c>
      <c r="E398" s="38" t="n">
        <v>8811944.050000001</v>
      </c>
      <c r="F398" s="38" t="n">
        <v>0</v>
      </c>
      <c r="G398" s="38" t="n">
        <v>8811944.050000001</v>
      </c>
      <c r="H398" s="40" t="inlineStr">
        <is>
          <t>Borç</t>
        </is>
      </c>
      <c r="I398" s="38" t="n">
        <v>165537.73</v>
      </c>
      <c r="J398" s="38" t="n">
        <v>0</v>
      </c>
      <c r="K398" s="38" t="n">
        <v>165537.73</v>
      </c>
      <c r="L398" s="40" t="inlineStr">
        <is>
          <t>Borç</t>
        </is>
      </c>
    </row>
    <row r="399" s="34">
      <c r="A399" s="40" t="inlineStr">
        <is>
          <t>120.01.01.M036</t>
        </is>
      </c>
      <c r="B399" s="40" t="inlineStr">
        <is>
          <t>Motus Seyahat Acentalığı Taş. İnş. Tic.A.Ş.</t>
        </is>
      </c>
      <c r="C399" s="40" t="inlineStr">
        <is>
          <t>EUR</t>
        </is>
      </c>
      <c r="D399" s="40" t="inlineStr">
        <is>
          <t>ROYAL SEGINUS</t>
        </is>
      </c>
      <c r="E399" s="38" t="n">
        <v>3934292.74</v>
      </c>
      <c r="F399" s="38" t="n">
        <v>0</v>
      </c>
      <c r="G399" s="38" t="n">
        <v>3934292.74</v>
      </c>
      <c r="H399" s="40" t="inlineStr">
        <is>
          <t>Borç</t>
        </is>
      </c>
      <c r="I399" s="38" t="n">
        <v>74048.85000000001</v>
      </c>
      <c r="J399" s="38" t="n">
        <v>0</v>
      </c>
      <c r="K399" s="38" t="n">
        <v>74048.85000000001</v>
      </c>
      <c r="L399" s="40" t="inlineStr">
        <is>
          <t>Borç</t>
        </is>
      </c>
    </row>
    <row r="400" s="34">
      <c r="A400" s="40" t="inlineStr">
        <is>
          <t>120.01.01.M041</t>
        </is>
      </c>
      <c r="B400" s="40" t="inlineStr">
        <is>
          <t>Mvv Organızasyon Turizm Tic.San.Ltd.Şti</t>
        </is>
      </c>
      <c r="C400" s="40" t="inlineStr">
        <is>
          <t>EUR</t>
        </is>
      </c>
      <c r="D400" s="40" t="inlineStr">
        <is>
          <t>ROYAL SEGINUS</t>
        </is>
      </c>
      <c r="E400" s="38" t="n">
        <v>274332.58</v>
      </c>
      <c r="F400" s="38" t="n">
        <v>271621.19</v>
      </c>
      <c r="G400" s="38" t="n">
        <v>2711.39</v>
      </c>
      <c r="H400" s="40" t="inlineStr">
        <is>
          <t>Borç</t>
        </is>
      </c>
      <c r="I400" s="38" t="n">
        <v>5124</v>
      </c>
      <c r="J400" s="38" t="n">
        <v>5124</v>
      </c>
      <c r="K400" s="38" t="n">
        <v>0</v>
      </c>
    </row>
    <row r="401" s="34">
      <c r="A401" s="40" t="inlineStr">
        <is>
          <t>120.01.01.N001</t>
        </is>
      </c>
      <c r="B401" s="40" t="inlineStr">
        <is>
          <t>Namila Tur Turizm Tic.Ldt.Şti.</t>
        </is>
      </c>
      <c r="C401" s="40" t="inlineStr">
        <is>
          <t>EUR</t>
        </is>
      </c>
      <c r="D401" s="40" t="inlineStr">
        <is>
          <t>ROYAL DRAGON</t>
        </is>
      </c>
      <c r="E401" s="38" t="n">
        <v>109182.47</v>
      </c>
      <c r="F401" s="38" t="n">
        <v>110196.35</v>
      </c>
      <c r="G401" s="38" t="n">
        <v>-1013.88</v>
      </c>
      <c r="H401" s="40" t="inlineStr">
        <is>
          <t>Alacak</t>
        </is>
      </c>
      <c r="I401" s="38" t="n">
        <v>2055.3</v>
      </c>
      <c r="J401" s="38" t="n">
        <v>2055.3</v>
      </c>
      <c r="K401" s="38" t="n">
        <v>0</v>
      </c>
    </row>
    <row r="402" s="34">
      <c r="A402" s="40" t="inlineStr">
        <is>
          <t>120.01.01.N013</t>
        </is>
      </c>
      <c r="B402" s="40" t="inlineStr">
        <is>
          <t>Nıno Katsadze</t>
        </is>
      </c>
      <c r="C402" s="40" t="inlineStr">
        <is>
          <t>EUR</t>
        </is>
      </c>
      <c r="D402" s="40" t="inlineStr">
        <is>
          <t>ROYAL ADAM EVE</t>
        </is>
      </c>
      <c r="E402" s="38" t="n">
        <v>4783.37</v>
      </c>
      <c r="F402" s="38" t="n">
        <v>0</v>
      </c>
      <c r="G402" s="38" t="n">
        <v>4783.37</v>
      </c>
      <c r="H402" s="40" t="inlineStr">
        <is>
          <t>Borç</t>
        </is>
      </c>
      <c r="I402" s="38" t="n">
        <v>90</v>
      </c>
      <c r="J402" s="38" t="n">
        <v>0</v>
      </c>
      <c r="K402" s="38" t="n">
        <v>90</v>
      </c>
      <c r="L402" s="40" t="inlineStr">
        <is>
          <t>Borç</t>
        </is>
      </c>
    </row>
    <row r="403" s="34">
      <c r="A403" s="40" t="inlineStr">
        <is>
          <t>120.01.01.O001</t>
        </is>
      </c>
      <c r="B403" s="40" t="inlineStr">
        <is>
          <t>Odeon Turizm İşlt.A.Ş.</t>
        </is>
      </c>
      <c r="C403" s="40" t="inlineStr">
        <is>
          <t>EUR</t>
        </is>
      </c>
      <c r="D403" s="40" t="inlineStr">
        <is>
          <t>ROYAL ADAM EVE</t>
        </is>
      </c>
      <c r="E403" s="38" t="n">
        <v>5112500.41</v>
      </c>
      <c r="F403" s="38" t="n">
        <v>0</v>
      </c>
      <c r="G403" s="38" t="n">
        <v>5112500.41</v>
      </c>
      <c r="H403" s="40" t="inlineStr">
        <is>
          <t>Borç</t>
        </is>
      </c>
      <c r="I403" s="38" t="n">
        <v>95836.3</v>
      </c>
      <c r="J403" s="38" t="n">
        <v>0</v>
      </c>
      <c r="K403" s="38" t="n">
        <v>95836.3</v>
      </c>
      <c r="L403" s="40" t="inlineStr">
        <is>
          <t>Borç</t>
        </is>
      </c>
    </row>
    <row r="404" s="34">
      <c r="A404" s="40" t="inlineStr">
        <is>
          <t>120.01.01.O001</t>
        </is>
      </c>
      <c r="B404" s="40" t="inlineStr">
        <is>
          <t>Odeon Turizm İşlt.A.Ş.</t>
        </is>
      </c>
      <c r="C404" s="40" t="inlineStr">
        <is>
          <t>EUR</t>
        </is>
      </c>
      <c r="D404" s="40" t="inlineStr">
        <is>
          <t>ROYAL ALHAMBRA</t>
        </is>
      </c>
      <c r="E404" s="38" t="n">
        <v>10057540.53</v>
      </c>
      <c r="F404" s="38" t="n">
        <v>0</v>
      </c>
      <c r="G404" s="38" t="n">
        <v>10057540.53</v>
      </c>
      <c r="H404" s="40" t="inlineStr">
        <is>
          <t>Borç</t>
        </is>
      </c>
      <c r="I404" s="38" t="n">
        <v>189031.75</v>
      </c>
      <c r="J404" s="38" t="n">
        <v>0</v>
      </c>
      <c r="K404" s="38" t="n">
        <v>189031.75</v>
      </c>
      <c r="L404" s="40" t="inlineStr">
        <is>
          <t>Borç</t>
        </is>
      </c>
    </row>
    <row r="405" s="34">
      <c r="A405" s="40" t="inlineStr">
        <is>
          <t>120.01.01.O001</t>
        </is>
      </c>
      <c r="B405" s="40" t="inlineStr">
        <is>
          <t>Odeon Turizm İşlt.A.Ş.</t>
        </is>
      </c>
      <c r="C405" s="40" t="inlineStr">
        <is>
          <t>EUR</t>
        </is>
      </c>
      <c r="D405" s="40" t="inlineStr">
        <is>
          <t>ROYAL DRAGON</t>
        </is>
      </c>
      <c r="E405" s="38" t="n">
        <v>17451320.81</v>
      </c>
      <c r="F405" s="38" t="n">
        <v>0</v>
      </c>
      <c r="G405" s="38" t="n">
        <v>17451320.81</v>
      </c>
      <c r="H405" s="40" t="inlineStr">
        <is>
          <t>Borç</t>
        </is>
      </c>
      <c r="I405" s="38" t="n">
        <v>328413.21</v>
      </c>
      <c r="J405" s="38" t="n">
        <v>0</v>
      </c>
      <c r="K405" s="38" t="n">
        <v>328413.21</v>
      </c>
      <c r="L405" s="40" t="inlineStr">
        <is>
          <t>Borç</t>
        </is>
      </c>
    </row>
    <row r="406" s="34">
      <c r="A406" s="40" t="inlineStr">
        <is>
          <t>120.01.01.O001</t>
        </is>
      </c>
      <c r="B406" s="40" t="inlineStr">
        <is>
          <t>Odeon Turizm İşlt.A.Ş.</t>
        </is>
      </c>
      <c r="C406" s="40" t="inlineStr">
        <is>
          <t>EUR</t>
        </is>
      </c>
      <c r="D406" s="40" t="inlineStr">
        <is>
          <t>ROYAL HOLIDAY</t>
        </is>
      </c>
      <c r="E406" s="38" t="n">
        <v>26252456.14</v>
      </c>
      <c r="F406" s="38" t="n">
        <v>0</v>
      </c>
      <c r="G406" s="38" t="n">
        <v>26252456.14</v>
      </c>
      <c r="H406" s="40" t="inlineStr">
        <is>
          <t>Borç</t>
        </is>
      </c>
      <c r="I406" s="38" t="n">
        <v>493460.28</v>
      </c>
      <c r="J406" s="38" t="n">
        <v>0</v>
      </c>
      <c r="K406" s="38" t="n">
        <v>493460.28</v>
      </c>
      <c r="L406" s="40" t="inlineStr">
        <is>
          <t>Borç</t>
        </is>
      </c>
    </row>
    <row r="407" s="34">
      <c r="A407" s="40" t="inlineStr">
        <is>
          <t>120.01.01.O001</t>
        </is>
      </c>
      <c r="B407" s="40" t="inlineStr">
        <is>
          <t>Odeon Turizm İşlt.A.Ş.</t>
        </is>
      </c>
      <c r="C407" s="40" t="inlineStr">
        <is>
          <t>EUR</t>
        </is>
      </c>
      <c r="D407" s="40" t="inlineStr">
        <is>
          <t>ROYAL SEGINUS</t>
        </is>
      </c>
      <c r="E407" s="38" t="n">
        <v>9376140.76</v>
      </c>
      <c r="F407" s="38" t="n">
        <v>0</v>
      </c>
      <c r="G407" s="38" t="n">
        <v>9376140.76</v>
      </c>
      <c r="H407" s="40" t="inlineStr">
        <is>
          <t>Borç</t>
        </is>
      </c>
      <c r="I407" s="38" t="n">
        <v>176124.73</v>
      </c>
      <c r="J407" s="38" t="n">
        <v>0</v>
      </c>
      <c r="K407" s="38" t="n">
        <v>176124.73</v>
      </c>
      <c r="L407" s="40" t="inlineStr">
        <is>
          <t>Borç</t>
        </is>
      </c>
    </row>
    <row r="408" s="34">
      <c r="A408" s="40" t="inlineStr">
        <is>
          <t>120.01.01.O004</t>
        </is>
      </c>
      <c r="B408" s="40" t="inlineStr">
        <is>
          <t>Ontur Seyahat Acentesi Anomim Şirketi</t>
        </is>
      </c>
      <c r="C408" s="40" t="inlineStr">
        <is>
          <t>TRY</t>
        </is>
      </c>
      <c r="D408" s="40" t="inlineStr">
        <is>
          <t>ROYAL SEGINUS</t>
        </is>
      </c>
      <c r="E408" s="38" t="n">
        <v>64000</v>
      </c>
      <c r="F408" s="38" t="n">
        <v>64000</v>
      </c>
      <c r="G408" s="38" t="n">
        <v>0</v>
      </c>
      <c r="I408" s="38" t="n">
        <v>64000</v>
      </c>
      <c r="J408" s="38" t="n">
        <v>64000</v>
      </c>
      <c r="K408" s="38" t="n">
        <v>0</v>
      </c>
    </row>
    <row r="409" s="34">
      <c r="A409" s="40" t="inlineStr">
        <is>
          <t>120.01.01.Ö004</t>
        </is>
      </c>
      <c r="B409" s="40" t="inlineStr">
        <is>
          <t>Özkale Turizm Sey. İth. San. Ve Tic. Ltd. Şti.</t>
        </is>
      </c>
      <c r="C409" s="40" t="inlineStr">
        <is>
          <t>EUR</t>
        </is>
      </c>
      <c r="D409" s="40" t="inlineStr">
        <is>
          <t>ROYAL ADAM EVE</t>
        </is>
      </c>
      <c r="E409" s="38" t="n">
        <v>45553.78</v>
      </c>
      <c r="F409" s="38" t="n">
        <v>45734.19</v>
      </c>
      <c r="G409" s="38" t="n">
        <v>-180.41</v>
      </c>
      <c r="H409" s="40" t="inlineStr">
        <is>
          <t>Alacak</t>
        </is>
      </c>
      <c r="I409" s="38" t="n">
        <v>853</v>
      </c>
      <c r="J409" s="38" t="n">
        <v>853</v>
      </c>
      <c r="K409" s="38" t="n">
        <v>0</v>
      </c>
    </row>
    <row r="410" s="34">
      <c r="A410" s="40" t="inlineStr">
        <is>
          <t>120.01.01.Ö004</t>
        </is>
      </c>
      <c r="B410" s="40" t="inlineStr">
        <is>
          <t>Özkale Turizm Sey. İth. San. Ve Tic. Ltd. Şti.</t>
        </is>
      </c>
      <c r="C410" s="40" t="inlineStr">
        <is>
          <t>EUR</t>
        </is>
      </c>
      <c r="D410" s="40" t="inlineStr">
        <is>
          <t>ROYAL SEGINUS</t>
        </is>
      </c>
      <c r="E410" s="38" t="n">
        <v>40180.27</v>
      </c>
      <c r="F410" s="38" t="n">
        <v>40533.47</v>
      </c>
      <c r="G410" s="38" t="n">
        <v>-353.2</v>
      </c>
      <c r="H410" s="40" t="inlineStr">
        <is>
          <t>Alacak</t>
        </is>
      </c>
      <c r="I410" s="38" t="n">
        <v>756</v>
      </c>
      <c r="J410" s="38" t="n">
        <v>756</v>
      </c>
      <c r="K410" s="38" t="n">
        <v>0</v>
      </c>
    </row>
    <row r="411" s="34">
      <c r="A411" s="40" t="inlineStr">
        <is>
          <t>120.01.01.O006</t>
        </is>
      </c>
      <c r="B411" s="40" t="inlineStr">
        <is>
          <t>Okyanuss Travel Taşımacılık Oto Kıralam</t>
        </is>
      </c>
      <c r="C411" s="40" t="inlineStr">
        <is>
          <t>TRY</t>
        </is>
      </c>
      <c r="D411" s="40" t="inlineStr">
        <is>
          <t>ROYAL SEGINUS</t>
        </is>
      </c>
      <c r="E411" s="38" t="n">
        <v>83490.12</v>
      </c>
      <c r="F411" s="38" t="n">
        <v>83347.58</v>
      </c>
      <c r="G411" s="38" t="n">
        <v>142.54</v>
      </c>
      <c r="H411" s="40" t="inlineStr">
        <is>
          <t>Borç</t>
        </is>
      </c>
      <c r="I411" s="38" t="n">
        <v>1575</v>
      </c>
      <c r="J411" s="38" t="n">
        <v>1575</v>
      </c>
      <c r="K411" s="38" t="n">
        <v>0</v>
      </c>
    </row>
    <row r="412" s="34">
      <c r="A412" s="40" t="inlineStr">
        <is>
          <t>120.01.01.O012</t>
        </is>
      </c>
      <c r="B412" s="40" t="inlineStr">
        <is>
          <t>Onp Turizm Yatırımları San. Ve Tic. Ltd.</t>
        </is>
      </c>
      <c r="C412" s="40" t="inlineStr">
        <is>
          <t>TRY</t>
        </is>
      </c>
      <c r="D412" s="40" t="inlineStr">
        <is>
          <t>ROYAL ADAM EVE</t>
        </is>
      </c>
      <c r="E412" s="38" t="n">
        <v>224220</v>
      </c>
      <c r="F412" s="38" t="n">
        <v>0</v>
      </c>
      <c r="G412" s="38" t="n">
        <v>224220</v>
      </c>
      <c r="H412" s="40" t="inlineStr">
        <is>
          <t>Borç</t>
        </is>
      </c>
      <c r="I412" s="38" t="n">
        <v>224220</v>
      </c>
      <c r="J412" s="38" t="n">
        <v>0</v>
      </c>
      <c r="K412" s="38" t="n">
        <v>224220</v>
      </c>
      <c r="L412" s="40" t="inlineStr">
        <is>
          <t>Borç</t>
        </is>
      </c>
    </row>
    <row r="413" s="34">
      <c r="A413" s="40" t="inlineStr">
        <is>
          <t>120.01.01.O012</t>
        </is>
      </c>
      <c r="B413" s="40" t="inlineStr">
        <is>
          <t>Onp Turizm Yatırımları San. Ve Tic. Ltd.</t>
        </is>
      </c>
      <c r="C413" s="40" t="inlineStr">
        <is>
          <t>TRY</t>
        </is>
      </c>
      <c r="D413" s="40" t="inlineStr">
        <is>
          <t>ROYAL ALHAMBRA</t>
        </is>
      </c>
      <c r="E413" s="38" t="n">
        <v>88391.2</v>
      </c>
      <c r="F413" s="38" t="n">
        <v>0</v>
      </c>
      <c r="G413" s="38" t="n">
        <v>88391.2</v>
      </c>
      <c r="H413" s="40" t="inlineStr">
        <is>
          <t>Borç</t>
        </is>
      </c>
      <c r="I413" s="38" t="n">
        <v>88391.2</v>
      </c>
      <c r="J413" s="38" t="n">
        <v>0</v>
      </c>
      <c r="K413" s="38" t="n">
        <v>88391.2</v>
      </c>
      <c r="L413" s="40" t="inlineStr">
        <is>
          <t>Borç</t>
        </is>
      </c>
    </row>
    <row r="414" s="34">
      <c r="A414" s="40" t="inlineStr">
        <is>
          <t>120.01.01.O012</t>
        </is>
      </c>
      <c r="B414" s="40" t="inlineStr">
        <is>
          <t>Onp Turizm Yatırımları San. Ve Tic. Ltd.</t>
        </is>
      </c>
      <c r="C414" s="40" t="inlineStr">
        <is>
          <t>TRY</t>
        </is>
      </c>
      <c r="D414" s="40" t="inlineStr">
        <is>
          <t>ROYAL SEGINUS</t>
        </is>
      </c>
      <c r="E414" s="38" t="n">
        <v>1103422</v>
      </c>
      <c r="F414" s="38" t="n">
        <v>0</v>
      </c>
      <c r="G414" s="38" t="n">
        <v>1103422</v>
      </c>
      <c r="H414" s="40" t="inlineStr">
        <is>
          <t>Borç</t>
        </is>
      </c>
      <c r="I414" s="38" t="n">
        <v>1103422</v>
      </c>
      <c r="J414" s="38" t="n">
        <v>0</v>
      </c>
      <c r="K414" s="38" t="n">
        <v>1103422</v>
      </c>
      <c r="L414" s="40" t="inlineStr">
        <is>
          <t>Borç</t>
        </is>
      </c>
    </row>
    <row r="415" s="34">
      <c r="A415" s="40" t="inlineStr">
        <is>
          <t>120.01.01.O021</t>
        </is>
      </c>
      <c r="B415" s="40" t="inlineStr">
        <is>
          <t>Ots Open Travel Servıces Ag</t>
        </is>
      </c>
      <c r="C415" s="40" t="inlineStr">
        <is>
          <t>EUR</t>
        </is>
      </c>
      <c r="D415" s="40" t="inlineStr">
        <is>
          <t>ROYAL ADAM EVE</t>
        </is>
      </c>
      <c r="E415" s="38" t="n">
        <v>314674.92</v>
      </c>
      <c r="F415" s="38" t="n">
        <v>0</v>
      </c>
      <c r="G415" s="38" t="n">
        <v>314674.92</v>
      </c>
      <c r="H415" s="40" t="inlineStr">
        <is>
          <t>Borç</t>
        </is>
      </c>
      <c r="I415" s="38" t="n">
        <v>5916.68</v>
      </c>
      <c r="J415" s="38" t="n">
        <v>0</v>
      </c>
      <c r="K415" s="38" t="n">
        <v>5916.68</v>
      </c>
      <c r="L415" s="40" t="inlineStr">
        <is>
          <t>Borç</t>
        </is>
      </c>
    </row>
    <row r="416" s="34">
      <c r="A416" s="40" t="inlineStr">
        <is>
          <t>120.01.01.O021</t>
        </is>
      </c>
      <c r="B416" s="40" t="inlineStr">
        <is>
          <t>Ots Open Travel Servıces Ag</t>
        </is>
      </c>
      <c r="C416" s="40" t="inlineStr">
        <is>
          <t>EUR</t>
        </is>
      </c>
      <c r="D416" s="40" t="inlineStr">
        <is>
          <t>ROYAL ALHAMBRA</t>
        </is>
      </c>
      <c r="E416" s="38" t="n">
        <v>218195.73</v>
      </c>
      <c r="F416" s="38" t="n">
        <v>0</v>
      </c>
      <c r="G416" s="38" t="n">
        <v>218195.73</v>
      </c>
      <c r="H416" s="40" t="inlineStr">
        <is>
          <t>Borç</t>
        </is>
      </c>
      <c r="I416" s="38" t="n">
        <v>4109.7</v>
      </c>
      <c r="J416" s="38" t="n">
        <v>0</v>
      </c>
      <c r="K416" s="38" t="n">
        <v>4109.7</v>
      </c>
      <c r="L416" s="40" t="inlineStr">
        <is>
          <t>Borç</t>
        </is>
      </c>
    </row>
    <row r="417" s="34">
      <c r="A417" s="40" t="inlineStr">
        <is>
          <t>120.01.01.O021</t>
        </is>
      </c>
      <c r="B417" s="40" t="inlineStr">
        <is>
          <t>Ots Open Travel Servıces Ag</t>
        </is>
      </c>
      <c r="C417" s="40" t="inlineStr">
        <is>
          <t>EUR</t>
        </is>
      </c>
      <c r="D417" s="40" t="inlineStr">
        <is>
          <t>ROYAL DRAGON</t>
        </is>
      </c>
      <c r="E417" s="38" t="n">
        <v>730477.59</v>
      </c>
      <c r="F417" s="38" t="n">
        <v>278.8</v>
      </c>
      <c r="G417" s="38" t="n">
        <v>730198.79</v>
      </c>
      <c r="H417" s="40" t="inlineStr">
        <is>
          <t>Borç</t>
        </is>
      </c>
      <c r="I417" s="38" t="n">
        <v>13741.11</v>
      </c>
      <c r="J417" s="38" t="n">
        <v>5.2</v>
      </c>
      <c r="K417" s="38" t="n">
        <v>13735.91</v>
      </c>
      <c r="L417" s="40" t="inlineStr">
        <is>
          <t>Borç</t>
        </is>
      </c>
    </row>
    <row r="418" s="34">
      <c r="A418" s="40" t="inlineStr">
        <is>
          <t>120.01.01.O021</t>
        </is>
      </c>
      <c r="B418" s="40" t="inlineStr">
        <is>
          <t>Ots Open Travel Servıces Ag</t>
        </is>
      </c>
      <c r="C418" s="40" t="inlineStr">
        <is>
          <t>EUR</t>
        </is>
      </c>
      <c r="D418" s="40" t="inlineStr">
        <is>
          <t>ROYAL HOLIDAY</t>
        </is>
      </c>
      <c r="E418" s="38" t="n">
        <v>1954243.26</v>
      </c>
      <c r="F418" s="38" t="n">
        <v>0</v>
      </c>
      <c r="G418" s="38" t="n">
        <v>1954243.26</v>
      </c>
      <c r="H418" s="40" t="inlineStr">
        <is>
          <t>Borç</t>
        </is>
      </c>
      <c r="I418" s="38" t="n">
        <v>36720.44</v>
      </c>
      <c r="J418" s="38" t="n">
        <v>0</v>
      </c>
      <c r="K418" s="38" t="n">
        <v>36720.44</v>
      </c>
      <c r="L418" s="40" t="inlineStr">
        <is>
          <t>Borç</t>
        </is>
      </c>
    </row>
    <row r="419" s="34">
      <c r="A419" s="40" t="inlineStr">
        <is>
          <t>120.01.01.O021</t>
        </is>
      </c>
      <c r="B419" s="40" t="inlineStr">
        <is>
          <t>Ots Open Travel Servıces Ag</t>
        </is>
      </c>
      <c r="C419" s="40" t="inlineStr">
        <is>
          <t>EUR</t>
        </is>
      </c>
      <c r="D419" s="40" t="inlineStr">
        <is>
          <t>ROYAL SEGINUS</t>
        </is>
      </c>
      <c r="E419" s="38" t="n">
        <v>4833214.98</v>
      </c>
      <c r="F419" s="38" t="n">
        <v>0</v>
      </c>
      <c r="G419" s="38" t="n">
        <v>4833214.98</v>
      </c>
      <c r="H419" s="40" t="inlineStr">
        <is>
          <t>Borç</t>
        </is>
      </c>
      <c r="I419" s="38" t="n">
        <v>90819.91</v>
      </c>
      <c r="J419" s="38" t="n">
        <v>0</v>
      </c>
      <c r="K419" s="38" t="n">
        <v>90819.91</v>
      </c>
      <c r="L419" s="40" t="inlineStr">
        <is>
          <t>Borç</t>
        </is>
      </c>
    </row>
    <row r="420" s="34">
      <c r="A420" s="40" t="inlineStr">
        <is>
          <t>120.01.01.P004</t>
        </is>
      </c>
      <c r="B420" s="40" t="inlineStr">
        <is>
          <t>Peninsula Tours Turizm Syh.Tic.Ltd.Şti.</t>
        </is>
      </c>
      <c r="C420" s="40" t="inlineStr">
        <is>
          <t>EUR</t>
        </is>
      </c>
      <c r="D420" s="40" t="inlineStr">
        <is>
          <t>ROYAL ADAM EVE</t>
        </is>
      </c>
      <c r="E420" s="38" t="n">
        <v>464618.91</v>
      </c>
      <c r="F420" s="38" t="n">
        <v>461548.59</v>
      </c>
      <c r="G420" s="38" t="n">
        <v>3070.32</v>
      </c>
      <c r="H420" s="40" t="inlineStr">
        <is>
          <t>Borç</t>
        </is>
      </c>
      <c r="I420" s="38" t="n">
        <v>8697.610000000001</v>
      </c>
      <c r="J420" s="38" t="n">
        <v>8697.610000000001</v>
      </c>
      <c r="K420" s="38" t="n">
        <v>0</v>
      </c>
    </row>
    <row r="421" s="34">
      <c r="A421" s="40" t="inlineStr">
        <is>
          <t>120.01.01.P004</t>
        </is>
      </c>
      <c r="B421" s="40" t="inlineStr">
        <is>
          <t>Peninsula Tours Turizm Syh.Tic.Ltd.Şti.</t>
        </is>
      </c>
      <c r="C421" s="40" t="inlineStr">
        <is>
          <t>EUR</t>
        </is>
      </c>
      <c r="D421" s="40" t="inlineStr">
        <is>
          <t>ROYAL ALHAMBRA</t>
        </is>
      </c>
      <c r="E421" s="38" t="n">
        <v>483257.4</v>
      </c>
      <c r="F421" s="38" t="n">
        <v>485634.33</v>
      </c>
      <c r="G421" s="38" t="n">
        <v>-2376.93</v>
      </c>
      <c r="H421" s="40" t="inlineStr">
        <is>
          <t>Alacak</t>
        </is>
      </c>
      <c r="I421" s="38" t="n">
        <v>9089.99</v>
      </c>
      <c r="J421" s="38" t="n">
        <v>9089.99</v>
      </c>
      <c r="K421" s="38" t="n">
        <v>0</v>
      </c>
    </row>
    <row r="422" s="34">
      <c r="A422" s="40" t="inlineStr">
        <is>
          <t>120.01.01.P004</t>
        </is>
      </c>
      <c r="B422" s="40" t="inlineStr">
        <is>
          <t>Peninsula Tours Turizm Syh.Tic.Ltd.Şti.</t>
        </is>
      </c>
      <c r="C422" s="40" t="inlineStr">
        <is>
          <t>EUR</t>
        </is>
      </c>
      <c r="D422" s="40" t="inlineStr">
        <is>
          <t>ROYAL DRAGON</t>
        </is>
      </c>
      <c r="E422" s="38" t="n">
        <v>630322.03</v>
      </c>
      <c r="F422" s="38" t="n">
        <v>631914.54</v>
      </c>
      <c r="G422" s="38" t="n">
        <v>-1592.51</v>
      </c>
      <c r="H422" s="40" t="inlineStr">
        <is>
          <t>Alacak</t>
        </is>
      </c>
      <c r="I422" s="38" t="n">
        <v>11836.91</v>
      </c>
      <c r="J422" s="38" t="n">
        <v>11836.91</v>
      </c>
      <c r="K422" s="38" t="n">
        <v>0</v>
      </c>
    </row>
    <row r="423" s="34">
      <c r="A423" s="40" t="inlineStr">
        <is>
          <t>120.01.01.P004</t>
        </is>
      </c>
      <c r="B423" s="40" t="inlineStr">
        <is>
          <t>Peninsula Tours Turizm Syh.Tic.Ltd.Şti.</t>
        </is>
      </c>
      <c r="C423" s="40" t="inlineStr">
        <is>
          <t>EUR</t>
        </is>
      </c>
      <c r="D423" s="40" t="inlineStr">
        <is>
          <t>ROYAL HOLIDAY</t>
        </is>
      </c>
      <c r="E423" s="38" t="n">
        <v>470657.53</v>
      </c>
      <c r="F423" s="38" t="n">
        <v>469386.43</v>
      </c>
      <c r="G423" s="38" t="n">
        <v>1271.1</v>
      </c>
      <c r="H423" s="40" t="inlineStr">
        <is>
          <t>Borç</t>
        </is>
      </c>
      <c r="I423" s="38" t="n">
        <v>8816.01</v>
      </c>
      <c r="J423" s="38" t="n">
        <v>8816.01</v>
      </c>
      <c r="K423" s="38" t="n">
        <v>0</v>
      </c>
    </row>
    <row r="424" s="34">
      <c r="A424" s="40" t="inlineStr">
        <is>
          <t>120.01.01.P004</t>
        </is>
      </c>
      <c r="B424" s="40" t="inlineStr">
        <is>
          <t>Peninsula Tours Turizm Syh.Tic.Ltd.Şti.</t>
        </is>
      </c>
      <c r="C424" s="40" t="inlineStr">
        <is>
          <t>EUR</t>
        </is>
      </c>
      <c r="D424" s="40" t="inlineStr">
        <is>
          <t>ROYAL SEGINUS</t>
        </is>
      </c>
      <c r="E424" s="38" t="n">
        <v>917557.87</v>
      </c>
      <c r="F424" s="38" t="n">
        <v>828143.87</v>
      </c>
      <c r="G424" s="38" t="n">
        <v>89414</v>
      </c>
      <c r="H424" s="40" t="inlineStr">
        <is>
          <t>Borç</t>
        </is>
      </c>
      <c r="I424" s="38" t="n">
        <v>17221.69</v>
      </c>
      <c r="J424" s="38" t="n">
        <v>15534.86</v>
      </c>
      <c r="K424" s="38" t="n">
        <v>1686.83</v>
      </c>
      <c r="L424" s="40" t="inlineStr">
        <is>
          <t>Borç</t>
        </is>
      </c>
    </row>
    <row r="425" s="34">
      <c r="A425" s="40" t="inlineStr">
        <is>
          <t>120.01.01.P006</t>
        </is>
      </c>
      <c r="B425" s="40" t="inlineStr">
        <is>
          <t>Pgst Antalya Tur.Seyahat Acentası</t>
        </is>
      </c>
      <c r="C425" s="40" t="inlineStr">
        <is>
          <t>EUR</t>
        </is>
      </c>
      <c r="D425" s="40" t="inlineStr">
        <is>
          <t>ROYAL ADAM EVE</t>
        </is>
      </c>
      <c r="E425" s="38" t="n">
        <v>955611.24</v>
      </c>
      <c r="F425" s="38" t="n">
        <v>0</v>
      </c>
      <c r="G425" s="38" t="n">
        <v>955611.24</v>
      </c>
      <c r="H425" s="40" t="inlineStr">
        <is>
          <t>Borç</t>
        </is>
      </c>
      <c r="I425" s="38" t="n">
        <v>28458.24</v>
      </c>
      <c r="J425" s="38" t="n">
        <v>0</v>
      </c>
      <c r="K425" s="38" t="n">
        <v>28458.24</v>
      </c>
      <c r="L425" s="40" t="inlineStr">
        <is>
          <t>Borç</t>
        </is>
      </c>
    </row>
    <row r="426" s="34">
      <c r="A426" s="40" t="inlineStr">
        <is>
          <t>120.01.01.P006</t>
        </is>
      </c>
      <c r="B426" s="40" t="inlineStr">
        <is>
          <t>Pgst Antalya Tur.Seyahat Acentası</t>
        </is>
      </c>
      <c r="C426" s="40" t="inlineStr">
        <is>
          <t>EUR</t>
        </is>
      </c>
      <c r="D426" s="40" t="inlineStr">
        <is>
          <t>ROYAL ALHAMBRA</t>
        </is>
      </c>
      <c r="E426" s="38" t="n">
        <v>67604.89</v>
      </c>
      <c r="F426" s="38" t="n">
        <v>0</v>
      </c>
      <c r="G426" s="38" t="n">
        <v>67604.89</v>
      </c>
      <c r="H426" s="40" t="inlineStr">
        <is>
          <t>Borç</t>
        </is>
      </c>
      <c r="I426" s="38" t="n">
        <v>1272</v>
      </c>
      <c r="J426" s="38" t="n">
        <v>0</v>
      </c>
      <c r="K426" s="38" t="n">
        <v>1272</v>
      </c>
      <c r="L426" s="40" t="inlineStr">
        <is>
          <t>Borç</t>
        </is>
      </c>
    </row>
    <row r="427" s="34">
      <c r="A427" s="40" t="inlineStr">
        <is>
          <t>120.01.01.P006</t>
        </is>
      </c>
      <c r="B427" s="40" t="inlineStr">
        <is>
          <t>Pgst Antalya Tur.Seyahat Acentası</t>
        </is>
      </c>
      <c r="C427" s="40" t="inlineStr">
        <is>
          <t>EUR</t>
        </is>
      </c>
      <c r="D427" s="40" t="inlineStr">
        <is>
          <t>ROYAL DRAGON</t>
        </is>
      </c>
      <c r="E427" s="38" t="n">
        <v>1372.9</v>
      </c>
      <c r="F427" s="38" t="n">
        <v>0</v>
      </c>
      <c r="G427" s="38" t="n">
        <v>1372.9</v>
      </c>
      <c r="H427" s="40" t="inlineStr">
        <is>
          <t>Borç</t>
        </is>
      </c>
      <c r="I427" s="38" t="n">
        <v>1372.9</v>
      </c>
      <c r="J427" s="38" t="n">
        <v>0</v>
      </c>
      <c r="K427" s="38" t="n">
        <v>1372.9</v>
      </c>
      <c r="L427" s="40" t="inlineStr">
        <is>
          <t>Borç</t>
        </is>
      </c>
    </row>
    <row r="428" s="34">
      <c r="A428" s="40" t="inlineStr">
        <is>
          <t>120.01.01.P006</t>
        </is>
      </c>
      <c r="B428" s="40" t="inlineStr">
        <is>
          <t>Pgst Antalya Tur.Seyahat Acentası</t>
        </is>
      </c>
      <c r="C428" s="40" t="inlineStr">
        <is>
          <t>EUR</t>
        </is>
      </c>
      <c r="D428" s="40" t="inlineStr">
        <is>
          <t>ROYAL HOLIDAY</t>
        </is>
      </c>
      <c r="E428" s="38" t="n">
        <v>409285.03</v>
      </c>
      <c r="F428" s="38" t="n">
        <v>0</v>
      </c>
      <c r="G428" s="38" t="n">
        <v>409285.03</v>
      </c>
      <c r="H428" s="40" t="inlineStr">
        <is>
          <t>Borç</t>
        </is>
      </c>
      <c r="I428" s="38" t="n">
        <v>10762.3</v>
      </c>
      <c r="J428" s="38" t="n">
        <v>0</v>
      </c>
      <c r="K428" s="38" t="n">
        <v>10762.3</v>
      </c>
      <c r="L428" s="40" t="inlineStr">
        <is>
          <t>Borç</t>
        </is>
      </c>
    </row>
    <row r="429" s="34">
      <c r="A429" s="40" t="inlineStr">
        <is>
          <t>120.01.01.P006</t>
        </is>
      </c>
      <c r="B429" s="40" t="inlineStr">
        <is>
          <t>Pgst Antalya Tur.Seyahat Acentası</t>
        </is>
      </c>
      <c r="C429" s="40" t="inlineStr">
        <is>
          <t>EUR</t>
        </is>
      </c>
      <c r="D429" s="40" t="inlineStr">
        <is>
          <t>ROYAL SEGINUS</t>
        </is>
      </c>
      <c r="E429" s="38" t="n">
        <v>1637948.35</v>
      </c>
      <c r="F429" s="38" t="n">
        <v>0</v>
      </c>
      <c r="G429" s="38" t="n">
        <v>1637948.35</v>
      </c>
      <c r="H429" s="40" t="inlineStr">
        <is>
          <t>Borç</t>
        </is>
      </c>
      <c r="I429" s="38" t="n">
        <v>31423.01</v>
      </c>
      <c r="J429" s="38" t="n">
        <v>0</v>
      </c>
      <c r="K429" s="38" t="n">
        <v>31423.01</v>
      </c>
      <c r="L429" s="40" t="inlineStr">
        <is>
          <t>Borç</t>
        </is>
      </c>
    </row>
    <row r="430" s="34">
      <c r="A430" s="40" t="inlineStr">
        <is>
          <t>120.01.01.P012</t>
        </is>
      </c>
      <c r="B430" s="40" t="inlineStr">
        <is>
          <t>Point Holiday Turizm Ticaret A.Ş.</t>
        </is>
      </c>
      <c r="C430" s="40" t="inlineStr">
        <is>
          <t>EUR</t>
        </is>
      </c>
      <c r="D430" s="40" t="inlineStr">
        <is>
          <t>ROYAL ADAM EVE</t>
        </is>
      </c>
      <c r="E430" s="38" t="n">
        <v>627169.91</v>
      </c>
      <c r="F430" s="38" t="n">
        <v>628716.3</v>
      </c>
      <c r="G430" s="38" t="n">
        <v>-1546.39</v>
      </c>
      <c r="H430" s="40" t="inlineStr">
        <is>
          <t>Alacak</t>
        </is>
      </c>
      <c r="I430" s="38" t="n">
        <v>11784</v>
      </c>
      <c r="J430" s="38" t="n">
        <v>11784</v>
      </c>
      <c r="K430" s="38" t="n">
        <v>0</v>
      </c>
    </row>
    <row r="431" s="34">
      <c r="A431" s="40" t="inlineStr">
        <is>
          <t>120.01.01.R001</t>
        </is>
      </c>
      <c r="B431" s="40" t="inlineStr">
        <is>
          <t>Rustar Onlıne Tourısm Sey. Acentası Ltd.Şti.</t>
        </is>
      </c>
      <c r="C431" s="40" t="inlineStr">
        <is>
          <t>EUR</t>
        </is>
      </c>
      <c r="D431" s="40" t="inlineStr">
        <is>
          <t>ROYAL ADAM EVE</t>
        </is>
      </c>
      <c r="E431" s="38" t="n">
        <v>174251.03</v>
      </c>
      <c r="F431" s="38" t="n">
        <v>0</v>
      </c>
      <c r="G431" s="38" t="n">
        <v>174251.03</v>
      </c>
      <c r="H431" s="40" t="inlineStr">
        <is>
          <t>Borç</t>
        </is>
      </c>
      <c r="I431" s="38" t="n">
        <v>3250</v>
      </c>
      <c r="J431" s="38" t="n">
        <v>0</v>
      </c>
      <c r="K431" s="38" t="n">
        <v>3250</v>
      </c>
      <c r="L431" s="40" t="inlineStr">
        <is>
          <t>Borç</t>
        </is>
      </c>
    </row>
    <row r="432" s="34">
      <c r="A432" s="40" t="inlineStr">
        <is>
          <t>120.01.01.R001</t>
        </is>
      </c>
      <c r="B432" s="40" t="inlineStr">
        <is>
          <t>Rustar Onlıne Tourısm Sey. Acentası Ltd.Şti.</t>
        </is>
      </c>
      <c r="C432" s="40" t="inlineStr">
        <is>
          <t>EUR</t>
        </is>
      </c>
      <c r="D432" s="40" t="inlineStr">
        <is>
          <t>ROYAL ALHAMBRA</t>
        </is>
      </c>
      <c r="E432" s="38" t="n">
        <v>0</v>
      </c>
      <c r="F432" s="38" t="n">
        <v>52215.26</v>
      </c>
      <c r="G432" s="38" t="n">
        <v>-52215.26</v>
      </c>
      <c r="H432" s="40" t="inlineStr">
        <is>
          <t>Alacak</t>
        </is>
      </c>
      <c r="I432" s="38" t="n">
        <v>0</v>
      </c>
      <c r="J432" s="38" t="n">
        <v>973.88</v>
      </c>
      <c r="K432" s="38" t="n">
        <v>-973.88</v>
      </c>
      <c r="L432" s="40" t="inlineStr">
        <is>
          <t>Alacak</t>
        </is>
      </c>
    </row>
    <row r="433" s="34">
      <c r="A433" s="40" t="inlineStr">
        <is>
          <t>120.01.01.R001</t>
        </is>
      </c>
      <c r="B433" s="40" t="inlineStr">
        <is>
          <t>Rustar Onlıne Tourısm Sey. Acentası Ltd.Şti.</t>
        </is>
      </c>
      <c r="C433" s="40" t="inlineStr">
        <is>
          <t>EUR</t>
        </is>
      </c>
      <c r="D433" s="40" t="inlineStr">
        <is>
          <t>ROYAL DRAGON</t>
        </is>
      </c>
      <c r="E433" s="38" t="n">
        <v>60848.62</v>
      </c>
      <c r="F433" s="38" t="n">
        <v>61331</v>
      </c>
      <c r="G433" s="38" t="n">
        <v>-482.38</v>
      </c>
      <c r="H433" s="40" t="inlineStr">
        <is>
          <t>Alacak</t>
        </is>
      </c>
      <c r="I433" s="38" t="n">
        <v>1143.9</v>
      </c>
      <c r="J433" s="38" t="n">
        <v>1143.9</v>
      </c>
      <c r="K433" s="38" t="n">
        <v>0</v>
      </c>
    </row>
    <row r="434" s="34">
      <c r="A434" s="40" t="inlineStr">
        <is>
          <t>120.01.01.R001</t>
        </is>
      </c>
      <c r="B434" s="40" t="inlineStr">
        <is>
          <t>Rustar Onlıne Tourısm Sey. Acentası Ltd.Şti.</t>
        </is>
      </c>
      <c r="C434" s="40" t="inlineStr">
        <is>
          <t>EUR</t>
        </is>
      </c>
      <c r="D434" s="40" t="inlineStr">
        <is>
          <t>ROYAL HOLIDAY</t>
        </is>
      </c>
      <c r="E434" s="38" t="n">
        <v>113788.18</v>
      </c>
      <c r="F434" s="38" t="n">
        <v>114844.83</v>
      </c>
      <c r="G434" s="38" t="n">
        <v>-1056.65</v>
      </c>
      <c r="H434" s="40" t="inlineStr">
        <is>
          <t>Alacak</t>
        </is>
      </c>
      <c r="I434" s="38" t="n">
        <v>2142</v>
      </c>
      <c r="J434" s="38" t="n">
        <v>2142</v>
      </c>
      <c r="K434" s="38" t="n">
        <v>0</v>
      </c>
    </row>
    <row r="435" s="34">
      <c r="A435" s="40" t="inlineStr">
        <is>
          <t>120.01.01.R001</t>
        </is>
      </c>
      <c r="B435" s="40" t="inlineStr">
        <is>
          <t>Rustar Onlıne Tourısm Sey. Acentası Ltd.Şti.</t>
        </is>
      </c>
      <c r="C435" s="40" t="inlineStr">
        <is>
          <t>EUR</t>
        </is>
      </c>
      <c r="D435" s="40" t="inlineStr">
        <is>
          <t>ROYAL SEGINUS</t>
        </is>
      </c>
      <c r="E435" s="38" t="n">
        <v>310529.23</v>
      </c>
      <c r="F435" s="38" t="n">
        <v>200578.33</v>
      </c>
      <c r="G435" s="38" t="n">
        <v>109950.9</v>
      </c>
      <c r="H435" s="40" t="inlineStr">
        <is>
          <t>Borç</t>
        </is>
      </c>
      <c r="I435" s="38" t="n">
        <v>5796</v>
      </c>
      <c r="J435" s="38" t="n">
        <v>3780</v>
      </c>
      <c r="K435" s="38" t="n">
        <v>2016</v>
      </c>
      <c r="L435" s="40" t="inlineStr">
        <is>
          <t>Borç</t>
        </is>
      </c>
    </row>
    <row r="436" s="34">
      <c r="A436" s="40" t="inlineStr">
        <is>
          <t>120.01.01.R003</t>
        </is>
      </c>
      <c r="B436" s="40" t="inlineStr">
        <is>
          <t>Rainbow Tours Destination Services Turkey Turizm ve Sey.Hiz.A.ş.</t>
        </is>
      </c>
      <c r="C436" s="40" t="inlineStr">
        <is>
          <t>EUR</t>
        </is>
      </c>
      <c r="D436" s="40" t="inlineStr">
        <is>
          <t>ROYAL ADAM EVE</t>
        </is>
      </c>
      <c r="E436" s="38" t="n">
        <v>118200.59</v>
      </c>
      <c r="F436" s="38" t="n">
        <v>118705.16</v>
      </c>
      <c r="G436" s="38" t="n">
        <v>-504.57</v>
      </c>
      <c r="H436" s="40" t="inlineStr">
        <is>
          <t>Alacak</t>
        </is>
      </c>
      <c r="I436" s="38" t="n">
        <v>2214</v>
      </c>
      <c r="J436" s="38" t="n">
        <v>2214</v>
      </c>
      <c r="K436" s="38" t="n">
        <v>0</v>
      </c>
    </row>
    <row r="437" s="34">
      <c r="A437" s="40" t="inlineStr">
        <is>
          <t>120.01.01.R003</t>
        </is>
      </c>
      <c r="B437" s="40" t="inlineStr">
        <is>
          <t>Rainbow Tours Destination Services Turkey Turizm ve Sey.Hiz.A.ş.</t>
        </is>
      </c>
      <c r="C437" s="40" t="inlineStr">
        <is>
          <t>EUR</t>
        </is>
      </c>
      <c r="D437" s="40" t="inlineStr">
        <is>
          <t>ROYAL ALHAMBRA</t>
        </is>
      </c>
      <c r="E437" s="38" t="n">
        <v>170907.78</v>
      </c>
      <c r="F437" s="38" t="n">
        <v>170239.31</v>
      </c>
      <c r="G437" s="38" t="n">
        <v>668.47</v>
      </c>
      <c r="H437" s="40" t="inlineStr">
        <is>
          <t>Borç</t>
        </is>
      </c>
      <c r="I437" s="38" t="n">
        <v>3199.88</v>
      </c>
      <c r="J437" s="38" t="n">
        <v>3199.88</v>
      </c>
      <c r="K437" s="38" t="n">
        <v>0</v>
      </c>
    </row>
    <row r="438" s="34">
      <c r="A438" s="40" t="inlineStr">
        <is>
          <t>120.01.01.R003</t>
        </is>
      </c>
      <c r="B438" s="40" t="inlineStr">
        <is>
          <t>Rainbow Tours Destination Services Turkey Turizm ve Sey.Hiz.A.ş.</t>
        </is>
      </c>
      <c r="C438" s="40" t="inlineStr">
        <is>
          <t>EUR</t>
        </is>
      </c>
      <c r="D438" s="40" t="inlineStr">
        <is>
          <t>ROYAL HOLIDAY</t>
        </is>
      </c>
      <c r="E438" s="38" t="n">
        <v>468864.36</v>
      </c>
      <c r="F438" s="38" t="n">
        <v>472729.63</v>
      </c>
      <c r="G438" s="38" t="n">
        <v>-3865.27</v>
      </c>
      <c r="H438" s="40" t="inlineStr">
        <is>
          <t>Alacak</t>
        </is>
      </c>
      <c r="I438" s="38" t="n">
        <v>8817</v>
      </c>
      <c r="J438" s="38" t="n">
        <v>8817</v>
      </c>
      <c r="K438" s="38" t="n">
        <v>0</v>
      </c>
    </row>
    <row r="439" s="34">
      <c r="A439" s="40" t="inlineStr">
        <is>
          <t>120.01.01.R003</t>
        </is>
      </c>
      <c r="B439" s="40" t="inlineStr">
        <is>
          <t>Rainbow Tours Destination Services Turkey Turizm ve Sey.Hiz.A.ş.</t>
        </is>
      </c>
      <c r="C439" s="40" t="inlineStr">
        <is>
          <t>EUR</t>
        </is>
      </c>
      <c r="D439" s="40" t="inlineStr">
        <is>
          <t>ROYAL SEGINUS</t>
        </is>
      </c>
      <c r="E439" s="38" t="n">
        <v>273723.26</v>
      </c>
      <c r="F439" s="38" t="n">
        <v>272678.71</v>
      </c>
      <c r="G439" s="38" t="n">
        <v>1044.55</v>
      </c>
      <c r="H439" s="40" t="inlineStr">
        <is>
          <t>Borç</t>
        </is>
      </c>
      <c r="I439" s="38" t="n">
        <v>5130</v>
      </c>
      <c r="J439" s="38" t="n">
        <v>5130</v>
      </c>
      <c r="K439" s="38" t="n">
        <v>0</v>
      </c>
    </row>
    <row r="440" s="34">
      <c r="A440" s="40" t="inlineStr">
        <is>
          <t>120.01.01.R007</t>
        </is>
      </c>
      <c r="B440" s="40" t="inlineStr">
        <is>
          <t>Rodop Turizm Seyahat Taş. Tic. Ltd. Şti.</t>
        </is>
      </c>
      <c r="C440" s="40" t="inlineStr">
        <is>
          <t>EUR</t>
        </is>
      </c>
      <c r="D440" s="40" t="inlineStr">
        <is>
          <t>ROYAL ADAM EVE</t>
        </is>
      </c>
      <c r="E440" s="38" t="n">
        <v>313193.89</v>
      </c>
      <c r="F440" s="38" t="n">
        <v>315394.36</v>
      </c>
      <c r="G440" s="38" t="n">
        <v>-2200.47</v>
      </c>
      <c r="H440" s="40" t="inlineStr">
        <is>
          <t>Alacak</t>
        </is>
      </c>
      <c r="I440" s="38" t="n">
        <v>5882.5</v>
      </c>
      <c r="J440" s="38" t="n">
        <v>5882.5</v>
      </c>
      <c r="K440" s="38" t="n">
        <v>0</v>
      </c>
    </row>
    <row r="441" s="34">
      <c r="A441" s="40" t="inlineStr">
        <is>
          <t>120.01.01.R011</t>
        </is>
      </c>
      <c r="B441" s="40" t="inlineStr">
        <is>
          <t>Royana Turizm Ve Tic.Ltd.Şti</t>
        </is>
      </c>
      <c r="C441" s="40" t="inlineStr">
        <is>
          <t>EUR</t>
        </is>
      </c>
      <c r="D441" s="40" t="inlineStr">
        <is>
          <t>ROYAL SEGINUS</t>
        </is>
      </c>
      <c r="E441" s="38" t="n">
        <v>267215.19</v>
      </c>
      <c r="F441" s="38" t="n">
        <v>159093.87</v>
      </c>
      <c r="G441" s="38" t="n">
        <v>108121.32</v>
      </c>
      <c r="H441" s="40" t="inlineStr">
        <is>
          <t>Borç</t>
        </is>
      </c>
      <c r="I441" s="38" t="n">
        <v>5025.3</v>
      </c>
      <c r="J441" s="38" t="n">
        <v>2967.3</v>
      </c>
      <c r="K441" s="38" t="n">
        <v>2058</v>
      </c>
      <c r="L441" s="40" t="inlineStr">
        <is>
          <t>Borç</t>
        </is>
      </c>
    </row>
    <row r="442" s="34">
      <c r="A442" s="40" t="inlineStr">
        <is>
          <t>120.01.01.S001</t>
        </is>
      </c>
      <c r="B442" s="40" t="inlineStr">
        <is>
          <t>Smg Seyahat Turizm Sağlık San. Ve Tic. Ltd. Şti.</t>
        </is>
      </c>
      <c r="C442" s="40" t="inlineStr">
        <is>
          <t>TRY</t>
        </is>
      </c>
      <c r="D442" s="40" t="inlineStr">
        <is>
          <t>ROYAL SEGINUS</t>
        </is>
      </c>
      <c r="E442" s="38" t="n">
        <v>161980</v>
      </c>
      <c r="F442" s="38" t="n">
        <v>0</v>
      </c>
      <c r="G442" s="38" t="n">
        <v>161980</v>
      </c>
      <c r="H442" s="40" t="inlineStr">
        <is>
          <t>Borç</t>
        </is>
      </c>
      <c r="I442" s="38" t="n">
        <v>161980</v>
      </c>
      <c r="J442" s="38" t="n">
        <v>0</v>
      </c>
      <c r="K442" s="38" t="n">
        <v>161980</v>
      </c>
      <c r="L442" s="40" t="inlineStr">
        <is>
          <t>Borç</t>
        </is>
      </c>
    </row>
    <row r="443" s="34">
      <c r="A443" s="40" t="inlineStr">
        <is>
          <t>120.01.01.S005</t>
        </is>
      </c>
      <c r="B443" s="40" t="inlineStr">
        <is>
          <t>Ssw Turim Seyehat Tic.Ltd.Şti.</t>
        </is>
      </c>
      <c r="C443" s="40" t="inlineStr">
        <is>
          <t>EUR</t>
        </is>
      </c>
      <c r="D443" s="40" t="inlineStr">
        <is>
          <t>ROYAL ADAM EVE</t>
        </is>
      </c>
      <c r="E443" s="38" t="n">
        <v>77345.75999999999</v>
      </c>
      <c r="F443" s="38" t="n">
        <v>76863.92</v>
      </c>
      <c r="G443" s="38" t="n">
        <v>481.84</v>
      </c>
      <c r="H443" s="40" t="inlineStr">
        <is>
          <t>Borç</t>
        </is>
      </c>
      <c r="I443" s="38" t="n">
        <v>1450</v>
      </c>
      <c r="J443" s="38" t="n">
        <v>1450</v>
      </c>
      <c r="K443" s="38" t="n">
        <v>0</v>
      </c>
    </row>
    <row r="444" s="34">
      <c r="A444" s="40" t="inlineStr">
        <is>
          <t>120.01.01.S007</t>
        </is>
      </c>
      <c r="B444" s="40" t="inlineStr">
        <is>
          <t>Suer Seyahat Acentası ve Tur.Tic.Ltd.Şti.</t>
        </is>
      </c>
      <c r="C444" s="40" t="inlineStr">
        <is>
          <t>EUR</t>
        </is>
      </c>
      <c r="D444" s="40" t="inlineStr">
        <is>
          <t>ROYAL SEGINUS</t>
        </is>
      </c>
      <c r="E444" s="38" t="n">
        <v>0</v>
      </c>
      <c r="F444" s="38" t="n">
        <v>507493.13</v>
      </c>
      <c r="G444" s="38" t="n">
        <v>-507493.13</v>
      </c>
      <c r="H444" s="40" t="inlineStr">
        <is>
          <t>Alacak</t>
        </is>
      </c>
      <c r="I444" s="38" t="n">
        <v>0</v>
      </c>
      <c r="J444" s="38" t="n">
        <v>9658</v>
      </c>
      <c r="K444" s="38" t="n">
        <v>-9658</v>
      </c>
      <c r="L444" s="40" t="inlineStr">
        <is>
          <t>Alacak</t>
        </is>
      </c>
    </row>
    <row r="445" s="34">
      <c r="A445" s="40" t="inlineStr">
        <is>
          <t>120.01.01.S008</t>
        </is>
      </c>
      <c r="B445" s="40" t="inlineStr">
        <is>
          <t>Sonar Turizm Tic. Ltd. Şti.</t>
        </is>
      </c>
      <c r="C445" s="40" t="inlineStr">
        <is>
          <t>EUR</t>
        </is>
      </c>
      <c r="D445" s="40" t="inlineStr">
        <is>
          <t>ROYAL HOLIDAY</t>
        </is>
      </c>
      <c r="E445" s="38" t="n">
        <v>174263.54</v>
      </c>
      <c r="F445" s="38" t="n">
        <v>175645.03</v>
      </c>
      <c r="G445" s="38" t="n">
        <v>-1381.49</v>
      </c>
      <c r="H445" s="40" t="inlineStr">
        <is>
          <t>Alacak</t>
        </is>
      </c>
      <c r="I445" s="38" t="n">
        <v>3276</v>
      </c>
      <c r="J445" s="38" t="n">
        <v>3276</v>
      </c>
      <c r="K445" s="38" t="n">
        <v>0</v>
      </c>
    </row>
    <row r="446" s="34">
      <c r="A446" s="40" t="inlineStr">
        <is>
          <t>120.01.01.S019</t>
        </is>
      </c>
      <c r="B446" s="40" t="inlineStr">
        <is>
          <t>Serafina Turizm Otelcilik San.Tic.Ltd.Şt</t>
        </is>
      </c>
      <c r="C446" s="40" t="inlineStr">
        <is>
          <t>TRY</t>
        </is>
      </c>
      <c r="D446" s="40" t="inlineStr">
        <is>
          <t>ROYAL ALHAMBRA</t>
        </is>
      </c>
      <c r="E446" s="38" t="n">
        <v>207687.6</v>
      </c>
      <c r="F446" s="38" t="n">
        <v>207687.6</v>
      </c>
      <c r="G446" s="38" t="n">
        <v>0</v>
      </c>
      <c r="I446" s="38" t="n">
        <v>207687.6</v>
      </c>
      <c r="J446" s="38" t="n">
        <v>207687.6</v>
      </c>
      <c r="K446" s="38" t="n">
        <v>0</v>
      </c>
    </row>
    <row r="447" s="34">
      <c r="A447" s="40" t="inlineStr">
        <is>
          <t>120.01.01.S019</t>
        </is>
      </c>
      <c r="B447" s="40" t="inlineStr">
        <is>
          <t>Serafina Turizm Otelcilik San.Tic.Ltd.Şt</t>
        </is>
      </c>
      <c r="C447" s="40" t="inlineStr">
        <is>
          <t>TRY</t>
        </is>
      </c>
      <c r="D447" s="40" t="inlineStr">
        <is>
          <t>ROYAL SEGINUS</t>
        </is>
      </c>
      <c r="E447" s="38" t="n">
        <v>67284</v>
      </c>
      <c r="F447" s="38" t="n">
        <v>67284</v>
      </c>
      <c r="G447" s="38" t="n">
        <v>0</v>
      </c>
      <c r="I447" s="38" t="n">
        <v>67284</v>
      </c>
      <c r="J447" s="38" t="n">
        <v>67284</v>
      </c>
      <c r="K447" s="38" t="n">
        <v>0</v>
      </c>
    </row>
    <row r="448" s="34">
      <c r="A448" s="40" t="inlineStr">
        <is>
          <t>120.01.01.S022</t>
        </is>
      </c>
      <c r="B448" s="40" t="inlineStr">
        <is>
          <t>Setur Servis Turistik A.Ş.</t>
        </is>
      </c>
      <c r="C448" s="40" t="inlineStr">
        <is>
          <t>TRY</t>
        </is>
      </c>
      <c r="D448" s="40" t="inlineStr">
        <is>
          <t>ROYAL ADAM EVE</t>
        </is>
      </c>
      <c r="E448" s="38" t="n">
        <v>494698</v>
      </c>
      <c r="F448" s="38" t="n">
        <v>0</v>
      </c>
      <c r="G448" s="38" t="n">
        <v>494698</v>
      </c>
      <c r="H448" s="40" t="inlineStr">
        <is>
          <t>Borç</t>
        </is>
      </c>
      <c r="I448" s="38" t="n">
        <v>494698</v>
      </c>
      <c r="J448" s="38" t="n">
        <v>0</v>
      </c>
      <c r="K448" s="38" t="n">
        <v>494698</v>
      </c>
      <c r="L448" s="40" t="inlineStr">
        <is>
          <t>Borç</t>
        </is>
      </c>
    </row>
    <row r="449" s="34">
      <c r="A449" s="40" t="inlineStr">
        <is>
          <t>120.01.01.S022</t>
        </is>
      </c>
      <c r="B449" s="40" t="inlineStr">
        <is>
          <t>Setur Servis Turistik A.Ş.</t>
        </is>
      </c>
      <c r="C449" s="40" t="inlineStr">
        <is>
          <t>TRY</t>
        </is>
      </c>
      <c r="D449" s="40" t="inlineStr">
        <is>
          <t>ROYAL ALHAMBRA</t>
        </is>
      </c>
      <c r="E449" s="38" t="n">
        <v>405934.55</v>
      </c>
      <c r="F449" s="38" t="n">
        <v>0</v>
      </c>
      <c r="G449" s="38" t="n">
        <v>405934.55</v>
      </c>
      <c r="H449" s="40" t="inlineStr">
        <is>
          <t>Borç</t>
        </is>
      </c>
      <c r="I449" s="38" t="n">
        <v>405934.55</v>
      </c>
      <c r="J449" s="38" t="n">
        <v>0</v>
      </c>
      <c r="K449" s="38" t="n">
        <v>405934.55</v>
      </c>
      <c r="L449" s="40" t="inlineStr">
        <is>
          <t>Borç</t>
        </is>
      </c>
    </row>
    <row r="450" s="34">
      <c r="A450" s="40" t="inlineStr">
        <is>
          <t>120.01.01.S022</t>
        </is>
      </c>
      <c r="B450" s="40" t="inlineStr">
        <is>
          <t>Setur Servis Turistik A.Ş.</t>
        </is>
      </c>
      <c r="C450" s="40" t="inlineStr">
        <is>
          <t>TRY</t>
        </is>
      </c>
      <c r="D450" s="40" t="inlineStr">
        <is>
          <t>ROYAL DRAGON</t>
        </is>
      </c>
      <c r="E450" s="38" t="n">
        <v>78112</v>
      </c>
      <c r="F450" s="38" t="n">
        <v>0</v>
      </c>
      <c r="G450" s="38" t="n">
        <v>78112</v>
      </c>
      <c r="H450" s="40" t="inlineStr">
        <is>
          <t>Borç</t>
        </is>
      </c>
      <c r="I450" s="38" t="n">
        <v>78112</v>
      </c>
      <c r="J450" s="38" t="n">
        <v>0</v>
      </c>
      <c r="K450" s="38" t="n">
        <v>78112</v>
      </c>
      <c r="L450" s="40" t="inlineStr">
        <is>
          <t>Borç</t>
        </is>
      </c>
    </row>
    <row r="451" s="34">
      <c r="A451" s="40" t="inlineStr">
        <is>
          <t>120.01.01.S022</t>
        </is>
      </c>
      <c r="B451" s="40" t="inlineStr">
        <is>
          <t>Setur Servis Turistik A.Ş.</t>
        </is>
      </c>
      <c r="C451" s="40" t="inlineStr">
        <is>
          <t>TRY</t>
        </is>
      </c>
      <c r="D451" s="40" t="inlineStr">
        <is>
          <t>ROYAL HOLIDAY</t>
        </is>
      </c>
      <c r="E451" s="38" t="n">
        <v>211731</v>
      </c>
      <c r="F451" s="38" t="n">
        <v>0</v>
      </c>
      <c r="G451" s="38" t="n">
        <v>211731</v>
      </c>
      <c r="H451" s="40" t="inlineStr">
        <is>
          <t>Borç</t>
        </is>
      </c>
      <c r="I451" s="38" t="n">
        <v>211731</v>
      </c>
      <c r="J451" s="38" t="n">
        <v>0</v>
      </c>
      <c r="K451" s="38" t="n">
        <v>211731</v>
      </c>
      <c r="L451" s="40" t="inlineStr">
        <is>
          <t>Borç</t>
        </is>
      </c>
    </row>
    <row r="452" s="34">
      <c r="A452" s="40" t="inlineStr">
        <is>
          <t>120.01.01.S022</t>
        </is>
      </c>
      <c r="B452" s="40" t="inlineStr">
        <is>
          <t>Setur Servis Turistik A.Ş.</t>
        </is>
      </c>
      <c r="C452" s="40" t="inlineStr">
        <is>
          <t>TRY</t>
        </is>
      </c>
      <c r="D452" s="40" t="inlineStr">
        <is>
          <t>ROYAL SEGINUS</t>
        </is>
      </c>
      <c r="E452" s="38" t="n">
        <v>180948</v>
      </c>
      <c r="F452" s="38" t="n">
        <v>0</v>
      </c>
      <c r="G452" s="38" t="n">
        <v>180948</v>
      </c>
      <c r="H452" s="40" t="inlineStr">
        <is>
          <t>Borç</t>
        </is>
      </c>
      <c r="I452" s="38" t="n">
        <v>180948</v>
      </c>
      <c r="J452" s="38" t="n">
        <v>0</v>
      </c>
      <c r="K452" s="38" t="n">
        <v>180948</v>
      </c>
      <c r="L452" s="40" t="inlineStr">
        <is>
          <t>Borç</t>
        </is>
      </c>
    </row>
    <row r="453" s="34">
      <c r="A453" s="40" t="inlineStr">
        <is>
          <t>120.01.01.S037</t>
        </is>
      </c>
      <c r="B453" s="40" t="inlineStr">
        <is>
          <t>Suntalya Turizm Seyahat Taşımacılık A.Ş</t>
        </is>
      </c>
      <c r="C453" s="40" t="inlineStr">
        <is>
          <t>EUR</t>
        </is>
      </c>
      <c r="D453" s="40" t="inlineStr">
        <is>
          <t>ROYAL ADAM EVE</t>
        </is>
      </c>
      <c r="E453" s="38" t="n">
        <v>643648.85</v>
      </c>
      <c r="F453" s="38" t="n">
        <v>0</v>
      </c>
      <c r="G453" s="38" t="n">
        <v>643648.85</v>
      </c>
      <c r="H453" s="40" t="inlineStr">
        <is>
          <t>Borç</t>
        </is>
      </c>
      <c r="I453" s="38" t="n">
        <v>12082.5</v>
      </c>
      <c r="J453" s="38" t="n">
        <v>0</v>
      </c>
      <c r="K453" s="38" t="n">
        <v>12082.5</v>
      </c>
      <c r="L453" s="40" t="inlineStr">
        <is>
          <t>Borç</t>
        </is>
      </c>
    </row>
    <row r="454" s="34">
      <c r="A454" s="40" t="inlineStr">
        <is>
          <t>120.01.01.S037</t>
        </is>
      </c>
      <c r="B454" s="40" t="inlineStr">
        <is>
          <t>Suntalya Turizm Seyahat Taşımacılık A.Ş</t>
        </is>
      </c>
      <c r="C454" s="40" t="inlineStr">
        <is>
          <t>EUR</t>
        </is>
      </c>
      <c r="D454" s="40" t="inlineStr">
        <is>
          <t>ROYAL ALHAMBRA</t>
        </is>
      </c>
      <c r="E454" s="38" t="n">
        <v>948771.7</v>
      </c>
      <c r="F454" s="38" t="n">
        <v>2868.13</v>
      </c>
      <c r="G454" s="38" t="n">
        <v>945903.5699999999</v>
      </c>
      <c r="H454" s="40" t="inlineStr">
        <is>
          <t>Borç</t>
        </is>
      </c>
      <c r="I454" s="38" t="n">
        <v>17820.02</v>
      </c>
      <c r="J454" s="38" t="n">
        <v>55.12</v>
      </c>
      <c r="K454" s="38" t="n">
        <v>17764.9</v>
      </c>
      <c r="L454" s="40" t="inlineStr">
        <is>
          <t>Borç</t>
        </is>
      </c>
    </row>
    <row r="455" s="34">
      <c r="A455" s="40" t="inlineStr">
        <is>
          <t>120.01.01.S037</t>
        </is>
      </c>
      <c r="B455" s="40" t="inlineStr">
        <is>
          <t>Suntalya Turizm Seyahat Taşımacılık A.Ş</t>
        </is>
      </c>
      <c r="C455" s="40" t="inlineStr">
        <is>
          <t>EUR</t>
        </is>
      </c>
      <c r="D455" s="40" t="inlineStr">
        <is>
          <t>ROYAL DRAGON</t>
        </is>
      </c>
      <c r="E455" s="38" t="n">
        <v>485209.85</v>
      </c>
      <c r="F455" s="38" t="n">
        <v>0</v>
      </c>
      <c r="G455" s="38" t="n">
        <v>485209.85</v>
      </c>
      <c r="H455" s="40" t="inlineStr">
        <is>
          <t>Borç</t>
        </is>
      </c>
      <c r="I455" s="38" t="n">
        <v>9123.459999999999</v>
      </c>
      <c r="J455" s="38" t="n">
        <v>0</v>
      </c>
      <c r="K455" s="38" t="n">
        <v>9123.459999999999</v>
      </c>
      <c r="L455" s="40" t="inlineStr">
        <is>
          <t>Borç</t>
        </is>
      </c>
    </row>
    <row r="456" s="34">
      <c r="A456" s="40" t="inlineStr">
        <is>
          <t>120.01.01.S037</t>
        </is>
      </c>
      <c r="B456" s="40" t="inlineStr">
        <is>
          <t>Suntalya Turizm Seyahat Taşımacılık A.Ş</t>
        </is>
      </c>
      <c r="C456" s="40" t="inlineStr">
        <is>
          <t>EUR</t>
        </is>
      </c>
      <c r="D456" s="40" t="inlineStr">
        <is>
          <t>ROYAL HOLIDAY</t>
        </is>
      </c>
      <c r="E456" s="38" t="n">
        <v>467756.88</v>
      </c>
      <c r="F456" s="38" t="n">
        <v>0</v>
      </c>
      <c r="G456" s="38" t="n">
        <v>467756.88</v>
      </c>
      <c r="H456" s="40" t="inlineStr">
        <is>
          <t>Borç</t>
        </is>
      </c>
      <c r="I456" s="38" t="n">
        <v>8808.389999999999</v>
      </c>
      <c r="J456" s="38" t="n">
        <v>0</v>
      </c>
      <c r="K456" s="38" t="n">
        <v>8808.389999999999</v>
      </c>
      <c r="L456" s="40" t="inlineStr">
        <is>
          <t>Borç</t>
        </is>
      </c>
    </row>
    <row r="457" s="34">
      <c r="A457" s="40" t="inlineStr">
        <is>
          <t>120.01.01.S037</t>
        </is>
      </c>
      <c r="B457" s="40" t="inlineStr">
        <is>
          <t>Suntalya Turizm Seyahat Taşımacılık A.Ş</t>
        </is>
      </c>
      <c r="C457" s="40" t="inlineStr">
        <is>
          <t>EUR</t>
        </is>
      </c>
      <c r="D457" s="40" t="inlineStr">
        <is>
          <t>ROYAL SEGINUS</t>
        </is>
      </c>
      <c r="E457" s="38" t="n">
        <v>554649.67</v>
      </c>
      <c r="F457" s="38" t="n">
        <v>0</v>
      </c>
      <c r="G457" s="38" t="n">
        <v>554649.67</v>
      </c>
      <c r="H457" s="40" t="inlineStr">
        <is>
          <t>Borç</t>
        </is>
      </c>
      <c r="I457" s="38" t="n">
        <v>10399.75</v>
      </c>
      <c r="J457" s="38" t="n">
        <v>0</v>
      </c>
      <c r="K457" s="38" t="n">
        <v>10399.75</v>
      </c>
      <c r="L457" s="40" t="inlineStr">
        <is>
          <t>Borç</t>
        </is>
      </c>
    </row>
    <row r="458" s="34">
      <c r="A458" s="40" t="inlineStr">
        <is>
          <t>120.01.01.S039</t>
        </is>
      </c>
      <c r="B458" s="40" t="inlineStr">
        <is>
          <t>Seda Seyahat Acenteliği Turizm Organizasyon Danışmanlık Ve Reklamcılık Tic.Ltd.Şti.</t>
        </is>
      </c>
      <c r="C458" s="40" t="inlineStr">
        <is>
          <t>TRY</t>
        </is>
      </c>
      <c r="D458" s="40" t="inlineStr">
        <is>
          <t>ROYAL DRAGON</t>
        </is>
      </c>
      <c r="E458" s="38" t="n">
        <v>0</v>
      </c>
      <c r="F458" s="38" t="n">
        <v>18000</v>
      </c>
      <c r="G458" s="38" t="n">
        <v>-18000</v>
      </c>
      <c r="H458" s="40" t="inlineStr">
        <is>
          <t>Alacak</t>
        </is>
      </c>
      <c r="I458" s="38" t="n">
        <v>0</v>
      </c>
      <c r="J458" s="38" t="n">
        <v>18000</v>
      </c>
      <c r="K458" s="38" t="n">
        <v>-18000</v>
      </c>
      <c r="L458" s="40" t="inlineStr">
        <is>
          <t>Alacak</t>
        </is>
      </c>
    </row>
    <row r="459" s="34">
      <c r="A459" s="40" t="inlineStr">
        <is>
          <t>120.01.01.T001</t>
        </is>
      </c>
      <c r="B459" s="40" t="inlineStr">
        <is>
          <t>Tui Nederland N.V</t>
        </is>
      </c>
      <c r="C459" s="40" t="inlineStr">
        <is>
          <t>EUR</t>
        </is>
      </c>
      <c r="D459" s="40" t="inlineStr">
        <is>
          <t>ROYAL HOLIDAY</t>
        </is>
      </c>
      <c r="E459" s="38" t="n">
        <v>235952.77</v>
      </c>
      <c r="F459" s="38" t="n">
        <v>0</v>
      </c>
      <c r="G459" s="38" t="n">
        <v>235952.77</v>
      </c>
      <c r="H459" s="40" t="inlineStr">
        <is>
          <t>Borç</t>
        </is>
      </c>
      <c r="I459" s="38" t="n">
        <v>4455.5</v>
      </c>
      <c r="J459" s="38" t="n">
        <v>0</v>
      </c>
      <c r="K459" s="38" t="n">
        <v>4455.5</v>
      </c>
      <c r="L459" s="40" t="inlineStr">
        <is>
          <t>Borç</t>
        </is>
      </c>
    </row>
    <row r="460" s="34">
      <c r="A460" s="40" t="inlineStr">
        <is>
          <t>120.01.01.T002</t>
        </is>
      </c>
      <c r="B460" s="40" t="inlineStr">
        <is>
          <t>Taç Prm Konaklama Hiz.Tur.İnş.Ve Tic.A.Ş.</t>
        </is>
      </c>
      <c r="C460" s="40" t="inlineStr">
        <is>
          <t>EUR</t>
        </is>
      </c>
      <c r="D460" s="40" t="inlineStr">
        <is>
          <t>ROYAL DRAGON</t>
        </is>
      </c>
      <c r="E460" s="38" t="n">
        <v>60957.95</v>
      </c>
      <c r="F460" s="38" t="n">
        <v>61281.32</v>
      </c>
      <c r="G460" s="38" t="n">
        <v>-323.37</v>
      </c>
      <c r="H460" s="40" t="inlineStr">
        <is>
          <t>Alacak</t>
        </is>
      </c>
      <c r="I460" s="38" t="n">
        <v>1147.5</v>
      </c>
      <c r="J460" s="38" t="n">
        <v>1147.5</v>
      </c>
      <c r="K460" s="38" t="n">
        <v>0</v>
      </c>
    </row>
    <row r="461" s="34">
      <c r="A461" s="40" t="inlineStr">
        <is>
          <t>120.01.01.T002</t>
        </is>
      </c>
      <c r="B461" s="40" t="inlineStr">
        <is>
          <t>Taç Prm Konaklama Hiz.Tur.İnş.Ve Tic.A.Ş.</t>
        </is>
      </c>
      <c r="C461" s="40" t="inlineStr">
        <is>
          <t>EUR</t>
        </is>
      </c>
      <c r="D461" s="40" t="inlineStr">
        <is>
          <t>ROYAL HOLIDAY</t>
        </is>
      </c>
      <c r="E461" s="38" t="n">
        <v>144875.37</v>
      </c>
      <c r="F461" s="38" t="n">
        <v>145751.6</v>
      </c>
      <c r="G461" s="38" t="n">
        <v>-876.23</v>
      </c>
      <c r="H461" s="40" t="inlineStr">
        <is>
          <t>Alacak</t>
        </is>
      </c>
      <c r="I461" s="38" t="n">
        <v>2718.45</v>
      </c>
      <c r="J461" s="38" t="n">
        <v>2718.45</v>
      </c>
      <c r="K461" s="38" t="n">
        <v>0</v>
      </c>
    </row>
    <row r="462" s="34">
      <c r="A462" s="40" t="inlineStr">
        <is>
          <t>120.01.01.T002</t>
        </is>
      </c>
      <c r="B462" s="40" t="inlineStr">
        <is>
          <t>Taç Prm Konaklama Hiz.Tur.İnş.Ve Tic.A.Ş.</t>
        </is>
      </c>
      <c r="C462" s="40" t="inlineStr">
        <is>
          <t>EUR</t>
        </is>
      </c>
      <c r="D462" s="40" t="inlineStr">
        <is>
          <t>ROYAL SEGINUS</t>
        </is>
      </c>
      <c r="E462" s="38" t="n">
        <v>56894.09</v>
      </c>
      <c r="F462" s="38" t="n">
        <v>213223.21</v>
      </c>
      <c r="G462" s="38" t="n">
        <v>-156329.12</v>
      </c>
      <c r="H462" s="40" t="inlineStr">
        <is>
          <t>Alacak</t>
        </is>
      </c>
      <c r="I462" s="38" t="n">
        <v>1071</v>
      </c>
      <c r="J462" s="38" t="n">
        <v>3976.88</v>
      </c>
      <c r="K462" s="38" t="n">
        <v>-2905.88</v>
      </c>
      <c r="L462" s="40" t="inlineStr">
        <is>
          <t>Alacak</t>
        </is>
      </c>
    </row>
    <row r="463" s="34">
      <c r="A463" s="40" t="inlineStr">
        <is>
          <t>120.01.01.T003</t>
        </is>
      </c>
      <c r="B463" s="40" t="inlineStr">
        <is>
          <t>Tetekspres Turizm Taş. Tic. Ltd. Şti</t>
        </is>
      </c>
      <c r="C463" s="40" t="inlineStr">
        <is>
          <t>EUR</t>
        </is>
      </c>
      <c r="D463" s="40" t="inlineStr">
        <is>
          <t>ROYAL ADAM EVE</t>
        </is>
      </c>
      <c r="E463" s="38" t="n">
        <v>116085.78</v>
      </c>
      <c r="F463" s="38" t="n">
        <v>116714.95</v>
      </c>
      <c r="G463" s="38" t="n">
        <v>-629.17</v>
      </c>
      <c r="H463" s="40" t="inlineStr">
        <is>
          <t>Alacak</t>
        </is>
      </c>
      <c r="I463" s="38" t="n">
        <v>2176.88</v>
      </c>
      <c r="J463" s="38" t="n">
        <v>2176.88</v>
      </c>
      <c r="K463" s="38" t="n">
        <v>0</v>
      </c>
    </row>
    <row r="464" s="34">
      <c r="A464" s="40" t="inlineStr">
        <is>
          <t>120.01.01.T003</t>
        </is>
      </c>
      <c r="B464" s="40" t="inlineStr">
        <is>
          <t>Tetekspres Turizm Taş. Tic. Ltd. Şti</t>
        </is>
      </c>
      <c r="C464" s="40" t="inlineStr">
        <is>
          <t>EUR</t>
        </is>
      </c>
      <c r="D464" s="40" t="inlineStr">
        <is>
          <t>ROYAL ALHAMBRA</t>
        </is>
      </c>
      <c r="E464" s="38" t="n">
        <v>343750.66</v>
      </c>
      <c r="F464" s="38" t="n">
        <v>346414.79</v>
      </c>
      <c r="G464" s="38" t="n">
        <v>-2664.13</v>
      </c>
      <c r="H464" s="40" t="inlineStr">
        <is>
          <t>Alacak</t>
        </is>
      </c>
      <c r="I464" s="38" t="n">
        <v>6461.07</v>
      </c>
      <c r="J464" s="38" t="n">
        <v>6461.07</v>
      </c>
      <c r="K464" s="38" t="n">
        <v>0</v>
      </c>
    </row>
    <row r="465" s="34">
      <c r="A465" s="40" t="inlineStr">
        <is>
          <t>120.01.01.T003</t>
        </is>
      </c>
      <c r="B465" s="40" t="inlineStr">
        <is>
          <t>Tetekspres Turizm Taş. Tic. Ltd. Şti</t>
        </is>
      </c>
      <c r="C465" s="40" t="inlineStr">
        <is>
          <t>EUR</t>
        </is>
      </c>
      <c r="D465" s="40" t="inlineStr">
        <is>
          <t>ROYAL SEGINUS</t>
        </is>
      </c>
      <c r="E465" s="38" t="n">
        <v>419968</v>
      </c>
      <c r="F465" s="38" t="n">
        <v>249018.56</v>
      </c>
      <c r="G465" s="38" t="n">
        <v>170949.44</v>
      </c>
      <c r="H465" s="40" t="inlineStr">
        <is>
          <t>Borç</t>
        </is>
      </c>
      <c r="I465" s="38" t="n">
        <v>7895.79</v>
      </c>
      <c r="J465" s="38" t="n">
        <v>4668.3</v>
      </c>
      <c r="K465" s="38" t="n">
        <v>3227.49</v>
      </c>
      <c r="L465" s="40" t="inlineStr">
        <is>
          <t>Borç</t>
        </is>
      </c>
    </row>
    <row r="466" s="34">
      <c r="A466" s="40" t="inlineStr">
        <is>
          <t>120.01.01.T008</t>
        </is>
      </c>
      <c r="B466" s="40" t="inlineStr">
        <is>
          <t>Tuğhan Seyehat Turizm Oto.İnş.Eml.San. ve Tic.Ltd.Şti.</t>
        </is>
      </c>
      <c r="C466" s="40" t="inlineStr">
        <is>
          <t>TRY</t>
        </is>
      </c>
      <c r="D466" s="40" t="inlineStr">
        <is>
          <t>ROYAL ALHAMBRA</t>
        </is>
      </c>
      <c r="E466" s="38" t="n">
        <v>29748</v>
      </c>
      <c r="F466" s="38" t="n">
        <v>29748</v>
      </c>
      <c r="G466" s="38" t="n">
        <v>0</v>
      </c>
      <c r="I466" s="38" t="n">
        <v>29748</v>
      </c>
      <c r="J466" s="38" t="n">
        <v>29748</v>
      </c>
      <c r="K466" s="38" t="n">
        <v>0</v>
      </c>
    </row>
    <row r="467" s="34">
      <c r="A467" s="40" t="inlineStr">
        <is>
          <t>120.01.01.T008</t>
        </is>
      </c>
      <c r="B467" s="40" t="inlineStr">
        <is>
          <t>Tuğhan Seyehat Turizm Oto.İnş.Eml.San. ve Tic.Ltd.Şti.</t>
        </is>
      </c>
      <c r="C467" s="40" t="inlineStr">
        <is>
          <t>TRY</t>
        </is>
      </c>
      <c r="D467" s="40" t="inlineStr">
        <is>
          <t>ROYAL DRAGON</t>
        </is>
      </c>
      <c r="E467" s="38" t="n">
        <v>0</v>
      </c>
      <c r="F467" s="38" t="n">
        <v>85515.39</v>
      </c>
      <c r="G467" s="38" t="n">
        <v>-85515.39</v>
      </c>
      <c r="H467" s="40" t="inlineStr">
        <is>
          <t>Alacak</t>
        </is>
      </c>
      <c r="I467" s="38" t="n">
        <v>0</v>
      </c>
      <c r="J467" s="38" t="n">
        <v>85515.39</v>
      </c>
      <c r="K467" s="38" t="n">
        <v>-85515.39</v>
      </c>
      <c r="L467" s="40" t="inlineStr">
        <is>
          <t>Alacak</t>
        </is>
      </c>
    </row>
    <row r="468" s="34">
      <c r="A468" s="40" t="inlineStr">
        <is>
          <t>120.01.01.T008</t>
        </is>
      </c>
      <c r="B468" s="40" t="inlineStr">
        <is>
          <t>Tuğhan Seyehat Turizm Oto.İnş.Eml.San. ve Tic.Ltd.Şti.</t>
        </is>
      </c>
      <c r="C468" s="40" t="inlineStr">
        <is>
          <t>TRY</t>
        </is>
      </c>
      <c r="D468" s="40" t="inlineStr">
        <is>
          <t>ROYAL SEGINUS</t>
        </is>
      </c>
      <c r="E468" s="38" t="n">
        <v>199004</v>
      </c>
      <c r="F468" s="38" t="n">
        <v>199004</v>
      </c>
      <c r="G468" s="38" t="n">
        <v>0</v>
      </c>
      <c r="I468" s="38" t="n">
        <v>199004</v>
      </c>
      <c r="J468" s="38" t="n">
        <v>199004</v>
      </c>
      <c r="K468" s="38" t="n">
        <v>0</v>
      </c>
    </row>
    <row r="469" s="34">
      <c r="A469" s="40" t="inlineStr">
        <is>
          <t>120.01.01.T009</t>
        </is>
      </c>
      <c r="B469" s="40" t="inlineStr">
        <is>
          <t>Target Digital Reklamcılık Ticaret Ltd. Şti.</t>
        </is>
      </c>
      <c r="C469" s="40" t="inlineStr">
        <is>
          <t>EUR</t>
        </is>
      </c>
      <c r="D469" s="40" t="inlineStr">
        <is>
          <t>ROYAL HOLIDAY</t>
        </is>
      </c>
      <c r="E469" s="38" t="n">
        <v>54065.59</v>
      </c>
      <c r="F469" s="38" t="n">
        <v>54065.59</v>
      </c>
      <c r="G469" s="38" t="n">
        <v>0</v>
      </c>
      <c r="I469" s="38" t="n">
        <v>54065.59</v>
      </c>
      <c r="J469" s="38" t="n">
        <v>54065.59</v>
      </c>
      <c r="K469" s="38" t="n">
        <v>0</v>
      </c>
    </row>
    <row r="470" s="34">
      <c r="A470" s="40" t="inlineStr">
        <is>
          <t>120.01.01.T011</t>
        </is>
      </c>
      <c r="B470" s="40" t="inlineStr">
        <is>
          <t>Tatilbudur Seyahat Acenteliği Ve Turizm A.Ş.</t>
        </is>
      </c>
      <c r="C470" s="40" t="inlineStr">
        <is>
          <t>TRY</t>
        </is>
      </c>
      <c r="D470" s="40" t="inlineStr">
        <is>
          <t>ROYAL ADAM EVE</t>
        </is>
      </c>
      <c r="E470" s="38" t="n">
        <v>840987.8</v>
      </c>
      <c r="F470" s="38" t="n">
        <v>697410.8</v>
      </c>
      <c r="G470" s="38" t="n">
        <v>143577</v>
      </c>
      <c r="H470" s="40" t="inlineStr">
        <is>
          <t>Borç</t>
        </is>
      </c>
      <c r="I470" s="38" t="n">
        <v>840987.8</v>
      </c>
      <c r="J470" s="38" t="n">
        <v>697410.8</v>
      </c>
      <c r="K470" s="38" t="n">
        <v>143577</v>
      </c>
      <c r="L470" s="40" t="inlineStr">
        <is>
          <t>Borç</t>
        </is>
      </c>
    </row>
    <row r="471" s="34">
      <c r="A471" s="40" t="inlineStr">
        <is>
          <t>120.01.01.T011</t>
        </is>
      </c>
      <c r="B471" s="40" t="inlineStr">
        <is>
          <t>Tatilbudur Seyahat Acenteliği Ve Turizm A.Ş.</t>
        </is>
      </c>
      <c r="C471" s="40" t="inlineStr">
        <is>
          <t>TRY</t>
        </is>
      </c>
      <c r="D471" s="40" t="inlineStr">
        <is>
          <t>ROYAL ALHAMBRA</t>
        </is>
      </c>
      <c r="E471" s="38" t="n">
        <v>1089553.28</v>
      </c>
      <c r="F471" s="38" t="n">
        <v>0</v>
      </c>
      <c r="G471" s="38" t="n">
        <v>1089553.28</v>
      </c>
      <c r="H471" s="40" t="inlineStr">
        <is>
          <t>Borç</t>
        </is>
      </c>
      <c r="I471" s="38" t="n">
        <v>1089553.28</v>
      </c>
      <c r="J471" s="38" t="n">
        <v>0</v>
      </c>
      <c r="K471" s="38" t="n">
        <v>1089553.28</v>
      </c>
      <c r="L471" s="40" t="inlineStr">
        <is>
          <t>Borç</t>
        </is>
      </c>
    </row>
    <row r="472" s="34">
      <c r="A472" s="40" t="inlineStr">
        <is>
          <t>120.01.01.T011</t>
        </is>
      </c>
      <c r="B472" s="40" t="inlineStr">
        <is>
          <t>Tatilbudur Seyahat Acenteliği Ve Turizm A.Ş.</t>
        </is>
      </c>
      <c r="C472" s="40" t="inlineStr">
        <is>
          <t>TRY</t>
        </is>
      </c>
      <c r="D472" s="40" t="inlineStr">
        <is>
          <t>ROYAL DRAGON</t>
        </is>
      </c>
      <c r="E472" s="38" t="n">
        <v>99787.95</v>
      </c>
      <c r="F472" s="38" t="n">
        <v>0</v>
      </c>
      <c r="G472" s="38" t="n">
        <v>99787.95</v>
      </c>
      <c r="H472" s="40" t="inlineStr">
        <is>
          <t>Borç</t>
        </is>
      </c>
      <c r="I472" s="38" t="n">
        <v>99787.95</v>
      </c>
      <c r="J472" s="38" t="n">
        <v>0</v>
      </c>
      <c r="K472" s="38" t="n">
        <v>99787.95</v>
      </c>
      <c r="L472" s="40" t="inlineStr">
        <is>
          <t>Borç</t>
        </is>
      </c>
    </row>
    <row r="473" s="34">
      <c r="A473" s="40" t="inlineStr">
        <is>
          <t>120.01.01.T011</t>
        </is>
      </c>
      <c r="B473" s="40" t="inlineStr">
        <is>
          <t>Tatilbudur Seyahat Acenteliği Ve Turizm A.Ş.</t>
        </is>
      </c>
      <c r="C473" s="40" t="inlineStr">
        <is>
          <t>TRY</t>
        </is>
      </c>
      <c r="D473" s="40" t="inlineStr">
        <is>
          <t>ROYAL HOLIDAY</t>
        </is>
      </c>
      <c r="E473" s="38" t="n">
        <v>433407</v>
      </c>
      <c r="F473" s="38" t="n">
        <v>0</v>
      </c>
      <c r="G473" s="38" t="n">
        <v>433407</v>
      </c>
      <c r="H473" s="40" t="inlineStr">
        <is>
          <t>Borç</t>
        </is>
      </c>
      <c r="I473" s="38" t="n">
        <v>433407</v>
      </c>
      <c r="J473" s="38" t="n">
        <v>0</v>
      </c>
      <c r="K473" s="38" t="n">
        <v>433407</v>
      </c>
      <c r="L473" s="40" t="inlineStr">
        <is>
          <t>Borç</t>
        </is>
      </c>
    </row>
    <row r="474" s="34">
      <c r="A474" s="40" t="inlineStr">
        <is>
          <t>120.01.01.T011</t>
        </is>
      </c>
      <c r="B474" s="40" t="inlineStr">
        <is>
          <t>Tatilbudur Seyahat Acenteliği Ve Turizm A.Ş.</t>
        </is>
      </c>
      <c r="C474" s="40" t="inlineStr">
        <is>
          <t>TRY</t>
        </is>
      </c>
      <c r="D474" s="40" t="inlineStr">
        <is>
          <t>ROYAL SEGINUS</t>
        </is>
      </c>
      <c r="E474" s="38" t="n">
        <v>1452769.9</v>
      </c>
      <c r="F474" s="38" t="n">
        <v>0</v>
      </c>
      <c r="G474" s="38" t="n">
        <v>1452769.9</v>
      </c>
      <c r="H474" s="40" t="inlineStr">
        <is>
          <t>Borç</t>
        </is>
      </c>
      <c r="I474" s="38" t="n">
        <v>1452769.9</v>
      </c>
      <c r="J474" s="38" t="n">
        <v>0</v>
      </c>
      <c r="K474" s="38" t="n">
        <v>1452769.9</v>
      </c>
      <c r="L474" s="40" t="inlineStr">
        <is>
          <t>Borç</t>
        </is>
      </c>
    </row>
    <row r="475" s="34">
      <c r="A475" s="40" t="inlineStr">
        <is>
          <t>120.01.01.T014</t>
        </is>
      </c>
      <c r="B475" s="40" t="inlineStr">
        <is>
          <t>Tatilbilir Turizm A.Ş.</t>
        </is>
      </c>
      <c r="C475" s="40" t="inlineStr">
        <is>
          <t>TRY</t>
        </is>
      </c>
      <c r="D475" s="40" t="inlineStr">
        <is>
          <t>ROYAL ADAM EVE</t>
        </is>
      </c>
      <c r="E475" s="38" t="n">
        <v>90932.10000000001</v>
      </c>
      <c r="F475" s="38" t="n">
        <v>90932.10000000001</v>
      </c>
      <c r="G475" s="38" t="n">
        <v>0</v>
      </c>
      <c r="I475" s="38" t="n">
        <v>90932.10000000001</v>
      </c>
      <c r="J475" s="38" t="n">
        <v>90932.10000000001</v>
      </c>
      <c r="K475" s="38" t="n">
        <v>0</v>
      </c>
    </row>
    <row r="476" s="34">
      <c r="A476" s="40" t="inlineStr">
        <is>
          <t>120.01.01.T014</t>
        </is>
      </c>
      <c r="B476" s="40" t="inlineStr">
        <is>
          <t>Tatilbilir Turizm A.Ş.</t>
        </is>
      </c>
      <c r="C476" s="40" t="inlineStr">
        <is>
          <t>TRY</t>
        </is>
      </c>
      <c r="D476" s="40" t="inlineStr">
        <is>
          <t>ROYAL SEGINUS</t>
        </is>
      </c>
      <c r="E476" s="38" t="n">
        <v>93555</v>
      </c>
      <c r="F476" s="38" t="n">
        <v>129195</v>
      </c>
      <c r="G476" s="38" t="n">
        <v>-35640</v>
      </c>
      <c r="H476" s="40" t="inlineStr">
        <is>
          <t>Alacak</t>
        </is>
      </c>
      <c r="I476" s="38" t="n">
        <v>93555</v>
      </c>
      <c r="J476" s="38" t="n">
        <v>129195</v>
      </c>
      <c r="K476" s="38" t="n">
        <v>-35640</v>
      </c>
      <c r="L476" s="40" t="inlineStr">
        <is>
          <t>Alacak</t>
        </is>
      </c>
    </row>
    <row r="477" s="34">
      <c r="A477" s="40" t="inlineStr">
        <is>
          <t>120.01.01.T015</t>
        </is>
      </c>
      <c r="B477" s="40" t="inlineStr">
        <is>
          <t>Tatilbon Turizm Seyh.Org.Oto Kirl.Ve Tic</t>
        </is>
      </c>
      <c r="C477" s="40" t="inlineStr">
        <is>
          <t>EUR</t>
        </is>
      </c>
      <c r="D477" s="40" t="inlineStr">
        <is>
          <t>ROYAL SEGINUS</t>
        </is>
      </c>
      <c r="E477" s="38" t="n">
        <v>78800.39</v>
      </c>
      <c r="F477" s="38" t="n">
        <v>0</v>
      </c>
      <c r="G477" s="38" t="n">
        <v>78800.39</v>
      </c>
      <c r="H477" s="40" t="inlineStr">
        <is>
          <t>Borç</t>
        </is>
      </c>
      <c r="I477" s="38" t="n">
        <v>1476</v>
      </c>
      <c r="J477" s="38" t="n">
        <v>0</v>
      </c>
      <c r="K477" s="38" t="n">
        <v>1476</v>
      </c>
      <c r="L477" s="40" t="inlineStr">
        <is>
          <t>Borç</t>
        </is>
      </c>
    </row>
    <row r="478" s="34">
      <c r="A478" s="40" t="inlineStr">
        <is>
          <t>120.01.01.T037</t>
        </is>
      </c>
      <c r="B478" s="40" t="inlineStr">
        <is>
          <t>Tourama Tourısm Sey Ve Tic A.Ş.</t>
        </is>
      </c>
      <c r="C478" s="40" t="inlineStr">
        <is>
          <t>TRY</t>
        </is>
      </c>
      <c r="D478" s="40" t="inlineStr">
        <is>
          <t>ROYAL ADAM EVE</t>
        </is>
      </c>
      <c r="E478" s="38" t="n">
        <v>67140</v>
      </c>
      <c r="F478" s="38" t="n">
        <v>67140</v>
      </c>
      <c r="G478" s="38" t="n">
        <v>0</v>
      </c>
      <c r="I478" s="38" t="n">
        <v>67140</v>
      </c>
      <c r="J478" s="38" t="n">
        <v>67140</v>
      </c>
      <c r="K478" s="38" t="n">
        <v>0</v>
      </c>
    </row>
    <row r="479" s="34">
      <c r="A479" s="40" t="inlineStr">
        <is>
          <t>120.01.01.T037</t>
        </is>
      </c>
      <c r="B479" s="40" t="inlineStr">
        <is>
          <t>Tourama Tourısm Sey Ve Tic A.Ş.</t>
        </is>
      </c>
      <c r="C479" s="40" t="inlineStr">
        <is>
          <t>TRY</t>
        </is>
      </c>
      <c r="D479" s="40" t="inlineStr">
        <is>
          <t>ROYAL ALHAMBRA</t>
        </is>
      </c>
      <c r="E479" s="38" t="n">
        <v>130371.2</v>
      </c>
      <c r="F479" s="38" t="n">
        <v>93240.8</v>
      </c>
      <c r="G479" s="38" t="n">
        <v>37130.4</v>
      </c>
      <c r="H479" s="40" t="inlineStr">
        <is>
          <t>Borç</t>
        </is>
      </c>
      <c r="I479" s="38" t="n">
        <v>130371.2</v>
      </c>
      <c r="J479" s="38" t="n">
        <v>93240.8</v>
      </c>
      <c r="K479" s="38" t="n">
        <v>37130.4</v>
      </c>
      <c r="L479" s="40" t="inlineStr">
        <is>
          <t>Borç</t>
        </is>
      </c>
    </row>
    <row r="480" s="34">
      <c r="A480" s="40" t="inlineStr">
        <is>
          <t>120.01.01.T037</t>
        </is>
      </c>
      <c r="B480" s="40" t="inlineStr">
        <is>
          <t>Tourama Tourısm Sey Ve Tic A.Ş.</t>
        </is>
      </c>
      <c r="C480" s="40" t="inlineStr">
        <is>
          <t>TRY</t>
        </is>
      </c>
      <c r="D480" s="40" t="inlineStr">
        <is>
          <t>ROYAL SEGINUS</t>
        </is>
      </c>
      <c r="E480" s="38" t="n">
        <v>181154</v>
      </c>
      <c r="F480" s="38" t="n">
        <v>181151</v>
      </c>
      <c r="G480" s="38" t="n">
        <v>3</v>
      </c>
      <c r="H480" s="40" t="inlineStr">
        <is>
          <t>Borç</t>
        </is>
      </c>
      <c r="I480" s="38" t="n">
        <v>181154</v>
      </c>
      <c r="J480" s="38" t="n">
        <v>181151</v>
      </c>
      <c r="K480" s="38" t="n">
        <v>3</v>
      </c>
      <c r="L480" s="40" t="inlineStr">
        <is>
          <t>Borç</t>
        </is>
      </c>
    </row>
    <row r="481" s="34">
      <c r="A481" s="40" t="inlineStr">
        <is>
          <t>120.01.01.T044</t>
        </is>
      </c>
      <c r="B481" s="40" t="inlineStr">
        <is>
          <t>Travel Partner Turkey Turz. Ve Sey.A.Ş</t>
        </is>
      </c>
      <c r="C481" s="40" t="inlineStr">
        <is>
          <t>EUR</t>
        </is>
      </c>
      <c r="D481" s="40" t="inlineStr">
        <is>
          <t>ROYAL ADAM EVE</t>
        </is>
      </c>
      <c r="E481" s="38" t="n">
        <v>985784.03</v>
      </c>
      <c r="F481" s="38" t="n">
        <v>584330.65</v>
      </c>
      <c r="G481" s="38" t="n">
        <v>401453.38</v>
      </c>
      <c r="H481" s="40" t="inlineStr">
        <is>
          <t>Borç</t>
        </is>
      </c>
      <c r="I481" s="38" t="n">
        <v>18510.52</v>
      </c>
      <c r="J481" s="38" t="n">
        <v>11023.11</v>
      </c>
      <c r="K481" s="38" t="n">
        <v>7487.41</v>
      </c>
      <c r="L481" s="40" t="inlineStr">
        <is>
          <t>Borç</t>
        </is>
      </c>
    </row>
    <row r="482" s="34">
      <c r="A482" s="40" t="inlineStr">
        <is>
          <t>120.01.01.T044</t>
        </is>
      </c>
      <c r="B482" s="40" t="inlineStr">
        <is>
          <t>Travel Partner Turkey Turz. Ve Sey.A.Ş</t>
        </is>
      </c>
      <c r="C482" s="40" t="inlineStr">
        <is>
          <t>EUR</t>
        </is>
      </c>
      <c r="D482" s="40" t="inlineStr">
        <is>
          <t>ROYAL ALHAMBRA</t>
        </is>
      </c>
      <c r="E482" s="38" t="n">
        <v>414003.02</v>
      </c>
      <c r="F482" s="38" t="n">
        <v>0</v>
      </c>
      <c r="G482" s="38" t="n">
        <v>414003.02</v>
      </c>
      <c r="H482" s="40" t="inlineStr">
        <is>
          <t>Borç</t>
        </is>
      </c>
      <c r="I482" s="38" t="n">
        <v>7778.08</v>
      </c>
      <c r="J482" s="38" t="n">
        <v>0</v>
      </c>
      <c r="K482" s="38" t="n">
        <v>7778.08</v>
      </c>
      <c r="L482" s="40" t="inlineStr">
        <is>
          <t>Borç</t>
        </is>
      </c>
    </row>
    <row r="483" s="34">
      <c r="A483" s="40" t="inlineStr">
        <is>
          <t>120.01.01.T044</t>
        </is>
      </c>
      <c r="B483" s="40" t="inlineStr">
        <is>
          <t>Travel Partner Turkey Turz. Ve Sey.A.Ş</t>
        </is>
      </c>
      <c r="C483" s="40" t="inlineStr">
        <is>
          <t>EUR</t>
        </is>
      </c>
      <c r="D483" s="40" t="inlineStr">
        <is>
          <t>ROYAL DRAGON</t>
        </is>
      </c>
      <c r="E483" s="38" t="n">
        <v>910972.42</v>
      </c>
      <c r="F483" s="38" t="n">
        <v>216623.11</v>
      </c>
      <c r="G483" s="38" t="n">
        <v>694349.3100000001</v>
      </c>
      <c r="H483" s="40" t="inlineStr">
        <is>
          <t>Borç</t>
        </is>
      </c>
      <c r="I483" s="38" t="n">
        <v>17140.61</v>
      </c>
      <c r="J483" s="38" t="n">
        <v>4090.37</v>
      </c>
      <c r="K483" s="38" t="n">
        <v>13050.24</v>
      </c>
      <c r="L483" s="40" t="inlineStr">
        <is>
          <t>Borç</t>
        </is>
      </c>
    </row>
    <row r="484" s="34">
      <c r="A484" s="40" t="inlineStr">
        <is>
          <t>120.01.01.T044</t>
        </is>
      </c>
      <c r="B484" s="40" t="inlineStr">
        <is>
          <t>Travel Partner Turkey Turz. Ve Sey.A.Ş</t>
        </is>
      </c>
      <c r="C484" s="40" t="inlineStr">
        <is>
          <t>EUR</t>
        </is>
      </c>
      <c r="D484" s="40" t="inlineStr">
        <is>
          <t>ROYAL HOLIDAY</t>
        </is>
      </c>
      <c r="E484" s="38" t="n">
        <v>1092090.31</v>
      </c>
      <c r="F484" s="38" t="n">
        <v>276215</v>
      </c>
      <c r="G484" s="38" t="n">
        <v>815875.3100000001</v>
      </c>
      <c r="H484" s="40" t="inlineStr">
        <is>
          <t>Borç</t>
        </is>
      </c>
      <c r="I484" s="38" t="n">
        <v>20482.12</v>
      </c>
      <c r="J484" s="38" t="n">
        <v>5210.66</v>
      </c>
      <c r="K484" s="38" t="n">
        <v>15271.46</v>
      </c>
      <c r="L484" s="40" t="inlineStr">
        <is>
          <t>Borç</t>
        </is>
      </c>
    </row>
    <row r="485" s="34">
      <c r="A485" s="40" t="inlineStr">
        <is>
          <t>120.01.01.T044</t>
        </is>
      </c>
      <c r="B485" s="40" t="inlineStr">
        <is>
          <t>Travel Partner Turkey Turz. Ve Sey.A.Ş</t>
        </is>
      </c>
      <c r="C485" s="40" t="inlineStr">
        <is>
          <t>EUR</t>
        </is>
      </c>
      <c r="D485" s="40" t="inlineStr">
        <is>
          <t>ROYAL SEGINUS</t>
        </is>
      </c>
      <c r="E485" s="38" t="n">
        <v>2200945.2</v>
      </c>
      <c r="F485" s="38" t="n">
        <v>1299454.01</v>
      </c>
      <c r="G485" s="38" t="n">
        <v>901491.1899999999</v>
      </c>
      <c r="H485" s="40" t="inlineStr">
        <is>
          <t>Borç</t>
        </is>
      </c>
      <c r="I485" s="38" t="n">
        <v>41383.52</v>
      </c>
      <c r="J485" s="38" t="n">
        <v>24513.56</v>
      </c>
      <c r="K485" s="38" t="n">
        <v>16869.96</v>
      </c>
      <c r="L485" s="40" t="inlineStr">
        <is>
          <t>Borç</t>
        </is>
      </c>
    </row>
    <row r="486" s="34">
      <c r="A486" s="40" t="inlineStr">
        <is>
          <t>120.01.01.T047</t>
        </is>
      </c>
      <c r="B486" s="40" t="inlineStr">
        <is>
          <t>Traveyo Turizm Tic. A.ş</t>
        </is>
      </c>
      <c r="C486" s="40" t="inlineStr">
        <is>
          <t>EUR</t>
        </is>
      </c>
      <c r="D486" s="40" t="inlineStr">
        <is>
          <t>ROYAL ALHAMBRA</t>
        </is>
      </c>
      <c r="E486" s="38" t="n">
        <v>370119.48</v>
      </c>
      <c r="F486" s="38" t="n">
        <v>0</v>
      </c>
      <c r="G486" s="38" t="n">
        <v>370119.48</v>
      </c>
      <c r="H486" s="40" t="inlineStr">
        <is>
          <t>Borç</t>
        </is>
      </c>
      <c r="I486" s="38" t="n">
        <v>6977.5</v>
      </c>
      <c r="J486" s="38" t="n">
        <v>0</v>
      </c>
      <c r="K486" s="38" t="n">
        <v>6977.5</v>
      </c>
      <c r="L486" s="40" t="inlineStr">
        <is>
          <t>Borç</t>
        </is>
      </c>
    </row>
    <row r="487" s="34">
      <c r="A487" s="40" t="inlineStr">
        <is>
          <t>120.01.01.T047</t>
        </is>
      </c>
      <c r="B487" s="40" t="inlineStr">
        <is>
          <t>Traveyo Turizm Tic. A.ş</t>
        </is>
      </c>
      <c r="C487" s="40" t="inlineStr">
        <is>
          <t>EUR</t>
        </is>
      </c>
      <c r="D487" s="40" t="inlineStr">
        <is>
          <t>ROYAL DRAGON</t>
        </is>
      </c>
      <c r="E487" s="38" t="n">
        <v>396984.31</v>
      </c>
      <c r="F487" s="38" t="n">
        <v>285124.62</v>
      </c>
      <c r="G487" s="38" t="n">
        <v>111859.69</v>
      </c>
      <c r="H487" s="40" t="inlineStr">
        <is>
          <t>Borç</t>
        </is>
      </c>
      <c r="I487" s="38" t="n">
        <v>7448.9</v>
      </c>
      <c r="J487" s="38" t="n">
        <v>5382.5</v>
      </c>
      <c r="K487" s="38" t="n">
        <v>2066.4</v>
      </c>
      <c r="L487" s="40" t="inlineStr">
        <is>
          <t>Borç</t>
        </is>
      </c>
    </row>
    <row r="488" s="34">
      <c r="A488" s="40" t="inlineStr">
        <is>
          <t>120.01.01.T047</t>
        </is>
      </c>
      <c r="B488" s="40" t="inlineStr">
        <is>
          <t>Traveyo Turizm Tic. A.ş</t>
        </is>
      </c>
      <c r="C488" s="40" t="inlineStr">
        <is>
          <t>EUR</t>
        </is>
      </c>
      <c r="D488" s="40" t="inlineStr">
        <is>
          <t>ROYAL HOLIDAY</t>
        </is>
      </c>
      <c r="E488" s="38" t="n">
        <v>441863.82</v>
      </c>
      <c r="F488" s="38" t="n">
        <v>444441.98</v>
      </c>
      <c r="G488" s="38" t="n">
        <v>-2578.16</v>
      </c>
      <c r="H488" s="40" t="inlineStr">
        <is>
          <t>Alacak</t>
        </is>
      </c>
      <c r="I488" s="38" t="n">
        <v>8289.4</v>
      </c>
      <c r="J488" s="38" t="n">
        <v>8289.4</v>
      </c>
      <c r="K488" s="38" t="n">
        <v>0</v>
      </c>
    </row>
    <row r="489" s="34">
      <c r="A489" s="40" t="inlineStr">
        <is>
          <t>120.01.01.T047</t>
        </is>
      </c>
      <c r="B489" s="40" t="inlineStr">
        <is>
          <t>Traveyo Turizm Tic. A.ş</t>
        </is>
      </c>
      <c r="C489" s="40" t="inlineStr">
        <is>
          <t>EUR</t>
        </is>
      </c>
      <c r="D489" s="40" t="inlineStr">
        <is>
          <t>ROYAL SEGINUS</t>
        </is>
      </c>
      <c r="E489" s="38" t="n">
        <v>204888.63</v>
      </c>
      <c r="F489" s="38" t="n">
        <v>202256.8</v>
      </c>
      <c r="G489" s="38" t="n">
        <v>2631.83</v>
      </c>
      <c r="H489" s="40" t="inlineStr">
        <is>
          <t>Borç</t>
        </is>
      </c>
      <c r="I489" s="38" t="n">
        <v>3822</v>
      </c>
      <c r="J489" s="38" t="n">
        <v>3822</v>
      </c>
      <c r="K489" s="38" t="n">
        <v>0</v>
      </c>
    </row>
    <row r="490" s="34">
      <c r="A490" s="40" t="inlineStr">
        <is>
          <t>120.01.01.T048</t>
        </is>
      </c>
      <c r="B490" s="40" t="inlineStr">
        <is>
          <t>TRavia Holiday Turizm Ticaret A.Ş.</t>
        </is>
      </c>
      <c r="C490" s="40" t="inlineStr">
        <is>
          <t>EUR</t>
        </is>
      </c>
      <c r="D490" s="40" t="inlineStr">
        <is>
          <t>ROYAL ALHAMBRA</t>
        </is>
      </c>
      <c r="E490" s="38" t="n">
        <v>83584.11</v>
      </c>
      <c r="F490" s="38" t="n">
        <v>84360.55</v>
      </c>
      <c r="G490" s="38" t="n">
        <v>-776.4400000000001</v>
      </c>
      <c r="H490" s="40" t="inlineStr">
        <is>
          <t>Alacak</t>
        </is>
      </c>
      <c r="I490" s="38" t="n">
        <v>1573.43</v>
      </c>
      <c r="J490" s="38" t="n">
        <v>1573.43</v>
      </c>
      <c r="K490" s="38" t="n">
        <v>0</v>
      </c>
    </row>
    <row r="491" s="34">
      <c r="A491" s="40" t="inlineStr">
        <is>
          <t>120.01.01.T049</t>
        </is>
      </c>
      <c r="B491" s="40" t="inlineStr">
        <is>
          <t>Trıana Tur. İnş. Gıda Oyun Park San.Ve Ltd.Şti.</t>
        </is>
      </c>
      <c r="C491" s="40" t="inlineStr">
        <is>
          <t>EUR</t>
        </is>
      </c>
      <c r="D491" s="40" t="inlineStr">
        <is>
          <t>ROYAL HOLIDAY</t>
        </is>
      </c>
      <c r="E491" s="38" t="n">
        <v>80747.14999999999</v>
      </c>
      <c r="F491" s="38" t="n">
        <v>81066.94</v>
      </c>
      <c r="G491" s="38" t="n">
        <v>-319.79</v>
      </c>
      <c r="H491" s="40" t="inlineStr">
        <is>
          <t>Alacak</t>
        </is>
      </c>
      <c r="I491" s="38" t="n">
        <v>1512</v>
      </c>
      <c r="J491" s="38" t="n">
        <v>1512</v>
      </c>
      <c r="K491" s="38" t="n">
        <v>0</v>
      </c>
    </row>
    <row r="492" s="34">
      <c r="A492" s="40" t="inlineStr">
        <is>
          <t>120.01.01.T049</t>
        </is>
      </c>
      <c r="B492" s="40" t="inlineStr">
        <is>
          <t>Trıana Tur. İnş. Gıda Oyun Park San.Ve Ltd.Şti.</t>
        </is>
      </c>
      <c r="C492" s="40" t="inlineStr">
        <is>
          <t>EUR</t>
        </is>
      </c>
      <c r="D492" s="40" t="inlineStr">
        <is>
          <t>ROYAL SEGINUS</t>
        </is>
      </c>
      <c r="E492" s="38" t="n">
        <v>61521.64</v>
      </c>
      <c r="F492" s="38" t="n">
        <v>61765.29</v>
      </c>
      <c r="G492" s="38" t="n">
        <v>-243.65</v>
      </c>
      <c r="H492" s="40" t="inlineStr">
        <is>
          <t>Alacak</t>
        </is>
      </c>
      <c r="I492" s="38" t="n">
        <v>1152</v>
      </c>
      <c r="J492" s="38" t="n">
        <v>1152</v>
      </c>
      <c r="K492" s="38" t="n">
        <v>0</v>
      </c>
    </row>
    <row r="493" s="34">
      <c r="A493" s="40" t="inlineStr">
        <is>
          <t>120.01.01.T051</t>
        </is>
      </c>
      <c r="B493" s="40" t="inlineStr">
        <is>
          <t>Ttv Turkey Turizm İş Geliştirme Ve Yönetim Danışmanlığı Hizm. A.ş.</t>
        </is>
      </c>
      <c r="C493" s="40" t="inlineStr">
        <is>
          <t>EUR</t>
        </is>
      </c>
      <c r="D493" s="40" t="inlineStr">
        <is>
          <t>ROYAL ALHAMBRA</t>
        </is>
      </c>
      <c r="E493" s="38" t="n">
        <v>704443.98</v>
      </c>
      <c r="F493" s="38" t="n">
        <v>629429.27</v>
      </c>
      <c r="G493" s="38" t="n">
        <v>75014.71000000001</v>
      </c>
      <c r="H493" s="40" t="inlineStr">
        <is>
          <t>Borç</t>
        </is>
      </c>
      <c r="I493" s="38" t="n">
        <v>13248.72</v>
      </c>
      <c r="J493" s="38" t="n">
        <v>11813.72</v>
      </c>
      <c r="K493" s="38" t="n">
        <v>1435</v>
      </c>
      <c r="L493" s="40" t="inlineStr">
        <is>
          <t>Borç</t>
        </is>
      </c>
    </row>
    <row r="494" s="34">
      <c r="A494" s="40" t="inlineStr">
        <is>
          <t>120.01.01.T051</t>
        </is>
      </c>
      <c r="B494" s="40" t="inlineStr">
        <is>
          <t>Ttv Turkey Turizm İş Geliştirme Ve Yönetim Danışmanlığı Hizm. A.ş.</t>
        </is>
      </c>
      <c r="C494" s="40" t="inlineStr">
        <is>
          <t>EUR</t>
        </is>
      </c>
      <c r="D494" s="40" t="inlineStr">
        <is>
          <t>ROYAL DRAGON</t>
        </is>
      </c>
      <c r="E494" s="38" t="n">
        <v>724256.53</v>
      </c>
      <c r="F494" s="38" t="n">
        <v>724580.95</v>
      </c>
      <c r="G494" s="38" t="n">
        <v>-324.42</v>
      </c>
      <c r="H494" s="40" t="inlineStr">
        <is>
          <t>Alacak</t>
        </is>
      </c>
      <c r="I494" s="38" t="n">
        <v>13613.6</v>
      </c>
      <c r="J494" s="38" t="n">
        <v>13613.6</v>
      </c>
      <c r="K494" s="38" t="n">
        <v>0</v>
      </c>
    </row>
    <row r="495" s="34">
      <c r="A495" s="40" t="inlineStr">
        <is>
          <t>120.01.01.T051</t>
        </is>
      </c>
      <c r="B495" s="40" t="inlineStr">
        <is>
          <t>Ttv Turkey Turizm İş Geliştirme Ve Yönetim Danışmanlığı Hizm. A.ş.</t>
        </is>
      </c>
      <c r="C495" s="40" t="inlineStr">
        <is>
          <t>EUR</t>
        </is>
      </c>
      <c r="D495" s="40" t="inlineStr">
        <is>
          <t>ROYAL HOLIDAY</t>
        </is>
      </c>
      <c r="E495" s="38" t="n">
        <v>934413.72</v>
      </c>
      <c r="F495" s="38" t="n">
        <v>867001.3100000001</v>
      </c>
      <c r="G495" s="38" t="n">
        <v>67412.41</v>
      </c>
      <c r="H495" s="40" t="inlineStr">
        <is>
          <t>Borç</t>
        </is>
      </c>
      <c r="I495" s="38" t="n">
        <v>17562.45</v>
      </c>
      <c r="J495" s="38" t="n">
        <v>16195.35</v>
      </c>
      <c r="K495" s="38" t="n">
        <v>1367.1</v>
      </c>
      <c r="L495" s="40" t="inlineStr">
        <is>
          <t>Borç</t>
        </is>
      </c>
    </row>
    <row r="496" s="34">
      <c r="A496" s="40" t="inlineStr">
        <is>
          <t>120.01.01.T051</t>
        </is>
      </c>
      <c r="B496" s="40" t="inlineStr">
        <is>
          <t>Ttv Turkey Turizm İş Geliştirme Ve Yönetim Danışmanlığı Hizm. A.ş.</t>
        </is>
      </c>
      <c r="C496" s="40" t="inlineStr">
        <is>
          <t>EUR</t>
        </is>
      </c>
      <c r="D496" s="40" t="inlineStr">
        <is>
          <t>ROYAL SEGINUS</t>
        </is>
      </c>
      <c r="E496" s="38" t="n">
        <v>652861.79</v>
      </c>
      <c r="F496" s="38" t="n">
        <v>656738.71</v>
      </c>
      <c r="G496" s="38" t="n">
        <v>-3876.92</v>
      </c>
      <c r="H496" s="40" t="inlineStr">
        <is>
          <t>Alacak</t>
        </is>
      </c>
      <c r="I496" s="38" t="n">
        <v>12249</v>
      </c>
      <c r="J496" s="38" t="n">
        <v>12249</v>
      </c>
      <c r="K496" s="38" t="n">
        <v>0</v>
      </c>
    </row>
    <row r="497" s="34">
      <c r="A497" s="40" t="inlineStr">
        <is>
          <t>120.01.01.T053</t>
        </is>
      </c>
      <c r="B497" s="40" t="inlineStr">
        <is>
          <t>Tui Deutschland Gmbh</t>
        </is>
      </c>
      <c r="C497" s="40" t="inlineStr">
        <is>
          <t>EUR</t>
        </is>
      </c>
      <c r="D497" s="40" t="inlineStr">
        <is>
          <t>ROYAL ADAM EVE</t>
        </is>
      </c>
      <c r="E497" s="38" t="n">
        <v>1545433.77</v>
      </c>
      <c r="F497" s="38" t="n">
        <v>0</v>
      </c>
      <c r="G497" s="38" t="n">
        <v>1545433.77</v>
      </c>
      <c r="H497" s="40" t="inlineStr">
        <is>
          <t>Borç</t>
        </is>
      </c>
      <c r="I497" s="38" t="n">
        <v>29029.8</v>
      </c>
      <c r="J497" s="38" t="n">
        <v>0</v>
      </c>
      <c r="K497" s="38" t="n">
        <v>29029.8</v>
      </c>
      <c r="L497" s="40" t="inlineStr">
        <is>
          <t>Borç</t>
        </is>
      </c>
    </row>
    <row r="498" s="34">
      <c r="A498" s="40" t="inlineStr">
        <is>
          <t>120.01.01.T053</t>
        </is>
      </c>
      <c r="B498" s="40" t="inlineStr">
        <is>
          <t>Tui Deutschland Gmbh</t>
        </is>
      </c>
      <c r="C498" s="40" t="inlineStr">
        <is>
          <t>EUR</t>
        </is>
      </c>
      <c r="D498" s="40" t="inlineStr">
        <is>
          <t>ROYAL ALHAMBRA</t>
        </is>
      </c>
      <c r="E498" s="38" t="n">
        <v>1988453.3</v>
      </c>
      <c r="F498" s="38" t="n">
        <v>1053081.81</v>
      </c>
      <c r="G498" s="38" t="n">
        <v>935371.49</v>
      </c>
      <c r="H498" s="40" t="inlineStr">
        <is>
          <t>Borç</t>
        </is>
      </c>
      <c r="I498" s="38" t="n">
        <v>37385.97</v>
      </c>
      <c r="J498" s="38" t="n">
        <v>19710.91</v>
      </c>
      <c r="K498" s="38" t="n">
        <v>17675.06</v>
      </c>
      <c r="L498" s="40" t="inlineStr">
        <is>
          <t>Borç</t>
        </is>
      </c>
    </row>
    <row r="499" s="34">
      <c r="A499" s="40" t="inlineStr">
        <is>
          <t>120.01.01.T053</t>
        </is>
      </c>
      <c r="B499" s="40" t="inlineStr">
        <is>
          <t>Tui Deutschland Gmbh</t>
        </is>
      </c>
      <c r="C499" s="40" t="inlineStr">
        <is>
          <t>EUR</t>
        </is>
      </c>
      <c r="D499" s="40" t="inlineStr">
        <is>
          <t>ROYAL DRAGON</t>
        </is>
      </c>
      <c r="E499" s="38" t="n">
        <v>5679939.28</v>
      </c>
      <c r="F499" s="38" t="n">
        <v>8337369.27</v>
      </c>
      <c r="G499" s="38" t="n">
        <v>-2657429.99</v>
      </c>
      <c r="H499" s="40" t="inlineStr">
        <is>
          <t>Alacak</t>
        </is>
      </c>
      <c r="I499" s="38" t="n">
        <v>106760.61</v>
      </c>
      <c r="J499" s="38" t="n">
        <v>156609.44</v>
      </c>
      <c r="K499" s="38" t="n">
        <v>-49848.83</v>
      </c>
      <c r="L499" s="40" t="inlineStr">
        <is>
          <t>Alacak</t>
        </is>
      </c>
    </row>
    <row r="500" s="34">
      <c r="A500" s="40" t="inlineStr">
        <is>
          <t>120.01.01.T053</t>
        </is>
      </c>
      <c r="B500" s="40" t="inlineStr">
        <is>
          <t>Tui Deutschland Gmbh</t>
        </is>
      </c>
      <c r="C500" s="40" t="inlineStr">
        <is>
          <t>EUR</t>
        </is>
      </c>
      <c r="D500" s="40" t="inlineStr">
        <is>
          <t>ROYAL HOLIDAY</t>
        </is>
      </c>
      <c r="E500" s="38" t="n">
        <v>4769669.28</v>
      </c>
      <c r="F500" s="38" t="n">
        <v>4310635.04</v>
      </c>
      <c r="G500" s="38" t="n">
        <v>459034.24</v>
      </c>
      <c r="H500" s="40" t="inlineStr">
        <is>
          <t>Borç</t>
        </is>
      </c>
      <c r="I500" s="38" t="n">
        <v>89651.77</v>
      </c>
      <c r="J500" s="38" t="n">
        <v>81049.32000000001</v>
      </c>
      <c r="K500" s="38" t="n">
        <v>8602.450000000001</v>
      </c>
      <c r="L500" s="40" t="inlineStr">
        <is>
          <t>Borç</t>
        </is>
      </c>
    </row>
    <row r="501" s="34">
      <c r="A501" s="40" t="inlineStr">
        <is>
          <t>120.01.01.T053</t>
        </is>
      </c>
      <c r="B501" s="40" t="inlineStr">
        <is>
          <t>Tui Deutschland Gmbh</t>
        </is>
      </c>
      <c r="C501" s="40" t="inlineStr">
        <is>
          <t>EUR</t>
        </is>
      </c>
      <c r="D501" s="40" t="inlineStr">
        <is>
          <t>ROYAL SEGINUS</t>
        </is>
      </c>
      <c r="E501" s="38" t="n">
        <v>1249093.66</v>
      </c>
      <c r="F501" s="38" t="n">
        <v>797071.51</v>
      </c>
      <c r="G501" s="38" t="n">
        <v>452022.15</v>
      </c>
      <c r="H501" s="40" t="inlineStr">
        <is>
          <t>Borç</t>
        </is>
      </c>
      <c r="I501" s="38" t="n">
        <v>23476.34</v>
      </c>
      <c r="J501" s="38" t="n">
        <v>14984.48</v>
      </c>
      <c r="K501" s="38" t="n">
        <v>8491.860000000001</v>
      </c>
      <c r="L501" s="40" t="inlineStr">
        <is>
          <t>Borç</t>
        </is>
      </c>
    </row>
    <row r="502" s="34">
      <c r="A502" s="40" t="inlineStr">
        <is>
          <t>120.01.01.T054</t>
        </is>
      </c>
      <c r="B502" s="40" t="inlineStr">
        <is>
          <t>Tui Poland Sp. Z O.O.</t>
        </is>
      </c>
      <c r="C502" s="40" t="inlineStr">
        <is>
          <t>EUR</t>
        </is>
      </c>
      <c r="D502" s="40" t="inlineStr">
        <is>
          <t>ROYAL ALHAMBRA</t>
        </is>
      </c>
      <c r="E502" s="38" t="n">
        <v>176991.75</v>
      </c>
      <c r="F502" s="38" t="n">
        <v>0</v>
      </c>
      <c r="G502" s="38" t="n">
        <v>176991.75</v>
      </c>
      <c r="H502" s="40" t="inlineStr">
        <is>
          <t>Borç</t>
        </is>
      </c>
      <c r="I502" s="38" t="n">
        <v>3329.2</v>
      </c>
      <c r="J502" s="38" t="n">
        <v>0</v>
      </c>
      <c r="K502" s="38" t="n">
        <v>3329.2</v>
      </c>
      <c r="L502" s="40" t="inlineStr">
        <is>
          <t>Borç</t>
        </is>
      </c>
    </row>
    <row r="503" s="34">
      <c r="A503" s="40" t="inlineStr">
        <is>
          <t>120.01.01.T054</t>
        </is>
      </c>
      <c r="B503" s="40" t="inlineStr">
        <is>
          <t>Tui Poland Sp. Z O.O.</t>
        </is>
      </c>
      <c r="C503" s="40" t="inlineStr">
        <is>
          <t>EUR</t>
        </is>
      </c>
      <c r="D503" s="40" t="inlineStr">
        <is>
          <t>ROYAL DRAGON</t>
        </is>
      </c>
      <c r="E503" s="38" t="n">
        <v>306412.66</v>
      </c>
      <c r="F503" s="38" t="n">
        <v>242.77</v>
      </c>
      <c r="G503" s="38" t="n">
        <v>306169.89</v>
      </c>
      <c r="H503" s="40" t="inlineStr">
        <is>
          <t>Borç</t>
        </is>
      </c>
      <c r="I503" s="38" t="n">
        <v>5745.34</v>
      </c>
      <c r="J503" s="38" t="n">
        <v>4.57</v>
      </c>
      <c r="K503" s="38" t="n">
        <v>5740.77</v>
      </c>
      <c r="L503" s="40" t="inlineStr">
        <is>
          <t>Borç</t>
        </is>
      </c>
    </row>
    <row r="504" s="34">
      <c r="A504" s="40" t="inlineStr">
        <is>
          <t>120.01.01.T054</t>
        </is>
      </c>
      <c r="B504" s="40" t="inlineStr">
        <is>
          <t>Tui Poland Sp. Z O.O.</t>
        </is>
      </c>
      <c r="C504" s="40" t="inlineStr">
        <is>
          <t>EUR</t>
        </is>
      </c>
      <c r="D504" s="40" t="inlineStr">
        <is>
          <t>ROYAL HOLIDAY</t>
        </is>
      </c>
      <c r="E504" s="38" t="n">
        <v>267797.67</v>
      </c>
      <c r="F504" s="38" t="n">
        <v>0</v>
      </c>
      <c r="G504" s="38" t="n">
        <v>267797.67</v>
      </c>
      <c r="H504" s="40" t="inlineStr">
        <is>
          <t>Borç</t>
        </is>
      </c>
      <c r="I504" s="38" t="n">
        <v>5020.4</v>
      </c>
      <c r="J504" s="38" t="n">
        <v>0</v>
      </c>
      <c r="K504" s="38" t="n">
        <v>5020.4</v>
      </c>
      <c r="L504" s="40" t="inlineStr">
        <is>
          <t>Borç</t>
        </is>
      </c>
    </row>
    <row r="505" s="34">
      <c r="A505" s="40" t="inlineStr">
        <is>
          <t>120.01.01.T054</t>
        </is>
      </c>
      <c r="B505" s="40" t="inlineStr">
        <is>
          <t>Tui Poland Sp. Z O.O.</t>
        </is>
      </c>
      <c r="C505" s="40" t="inlineStr">
        <is>
          <t>EUR</t>
        </is>
      </c>
      <c r="D505" s="40" t="inlineStr">
        <is>
          <t>ROYAL SEGINUS</t>
        </is>
      </c>
      <c r="E505" s="38" t="n">
        <v>100401.34</v>
      </c>
      <c r="F505" s="38" t="n">
        <v>67128.77</v>
      </c>
      <c r="G505" s="38" t="n">
        <v>33272.57</v>
      </c>
      <c r="H505" s="40" t="inlineStr">
        <is>
          <t>Borç</t>
        </is>
      </c>
      <c r="I505" s="38" t="n">
        <v>1890</v>
      </c>
      <c r="J505" s="38" t="n">
        <v>1260</v>
      </c>
      <c r="K505" s="38" t="n">
        <v>630</v>
      </c>
      <c r="L505" s="40" t="inlineStr">
        <is>
          <t>Borç</t>
        </is>
      </c>
    </row>
    <row r="506" s="34">
      <c r="A506" s="40" t="inlineStr">
        <is>
          <t>120.01.01.T055</t>
        </is>
      </c>
      <c r="B506" s="40" t="inlineStr">
        <is>
          <t>Tui Suisse Ltd. Tui Brand</t>
        </is>
      </c>
      <c r="C506" s="40" t="inlineStr">
        <is>
          <t>EUR</t>
        </is>
      </c>
      <c r="D506" s="40" t="inlineStr">
        <is>
          <t>ROYAL ALHAMBRA</t>
        </is>
      </c>
      <c r="E506" s="38" t="n">
        <v>213080.39</v>
      </c>
      <c r="F506" s="38" t="n">
        <v>0</v>
      </c>
      <c r="G506" s="38" t="n">
        <v>213080.39</v>
      </c>
      <c r="H506" s="40" t="inlineStr">
        <is>
          <t>Borç</t>
        </is>
      </c>
      <c r="I506" s="38" t="n">
        <v>3988.4</v>
      </c>
      <c r="J506" s="38" t="n">
        <v>0</v>
      </c>
      <c r="K506" s="38" t="n">
        <v>3988.4</v>
      </c>
      <c r="L506" s="40" t="inlineStr">
        <is>
          <t>Borç</t>
        </is>
      </c>
    </row>
    <row r="507" s="34">
      <c r="A507" s="40" t="inlineStr">
        <is>
          <t>120.01.01.T055</t>
        </is>
      </c>
      <c r="B507" s="40" t="inlineStr">
        <is>
          <t>Tui Suisse Ltd. Tui Brand</t>
        </is>
      </c>
      <c r="C507" s="40" t="inlineStr">
        <is>
          <t>EUR</t>
        </is>
      </c>
      <c r="D507" s="40" t="inlineStr">
        <is>
          <t>ROYAL HOLIDAY</t>
        </is>
      </c>
      <c r="E507" s="38" t="n">
        <v>277137.72</v>
      </c>
      <c r="F507" s="38" t="n">
        <v>191247.2</v>
      </c>
      <c r="G507" s="38" t="n">
        <v>85890.52</v>
      </c>
      <c r="H507" s="40" t="inlineStr">
        <is>
          <t>Borç</t>
        </is>
      </c>
      <c r="I507" s="38" t="n">
        <v>5208.28</v>
      </c>
      <c r="J507" s="38" t="n">
        <v>3567</v>
      </c>
      <c r="K507" s="38" t="n">
        <v>1641.28</v>
      </c>
      <c r="L507" s="40" t="inlineStr">
        <is>
          <t>Borç</t>
        </is>
      </c>
    </row>
    <row r="508" s="34">
      <c r="A508" s="40" t="inlineStr">
        <is>
          <t>120.01.01.T055</t>
        </is>
      </c>
      <c r="B508" s="40" t="inlineStr">
        <is>
          <t>Tui Suisse Ltd. Tui Brand</t>
        </is>
      </c>
      <c r="C508" s="40" t="inlineStr">
        <is>
          <t>EUR</t>
        </is>
      </c>
      <c r="D508" s="40" t="inlineStr">
        <is>
          <t>ROYAL SEGINUS</t>
        </is>
      </c>
      <c r="E508" s="38" t="n">
        <v>0</v>
      </c>
      <c r="F508" s="38" t="n">
        <v>704914.08</v>
      </c>
      <c r="G508" s="38" t="n">
        <v>-704914.08</v>
      </c>
      <c r="H508" s="40" t="inlineStr">
        <is>
          <t>Alacak</t>
        </is>
      </c>
      <c r="I508" s="38" t="n">
        <v>0</v>
      </c>
      <c r="J508" s="38" t="n">
        <v>13218.74</v>
      </c>
      <c r="K508" s="38" t="n">
        <v>-13218.74</v>
      </c>
      <c r="L508" s="40" t="inlineStr">
        <is>
          <t>Alacak</t>
        </is>
      </c>
    </row>
    <row r="509" s="34">
      <c r="A509" s="40" t="inlineStr">
        <is>
          <t>120.01.01.T056</t>
        </is>
      </c>
      <c r="B509" s="40" t="inlineStr">
        <is>
          <t>Tui Uk Ltd</t>
        </is>
      </c>
      <c r="C509" s="40" t="inlineStr">
        <is>
          <t>GBP</t>
        </is>
      </c>
      <c r="D509" s="40" t="inlineStr">
        <is>
          <t>ROYAL ADAM EVE</t>
        </is>
      </c>
      <c r="E509" s="38" t="n">
        <v>73107.28</v>
      </c>
      <c r="F509" s="38" t="n">
        <v>0</v>
      </c>
      <c r="G509" s="38" t="n">
        <v>73107.28</v>
      </c>
      <c r="H509" s="40" t="inlineStr">
        <is>
          <t>Borç</t>
        </is>
      </c>
      <c r="I509" s="38" t="n">
        <v>1189.57</v>
      </c>
      <c r="J509" s="38" t="n">
        <v>0</v>
      </c>
      <c r="K509" s="38" t="n">
        <v>1189.57</v>
      </c>
      <c r="L509" s="40" t="inlineStr">
        <is>
          <t>Borç</t>
        </is>
      </c>
    </row>
    <row r="510" s="34">
      <c r="A510" s="40" t="inlineStr">
        <is>
          <t>120.01.01.T056</t>
        </is>
      </c>
      <c r="B510" s="40" t="inlineStr">
        <is>
          <t>Tui Uk Ltd</t>
        </is>
      </c>
      <c r="C510" s="40" t="inlineStr">
        <is>
          <t>GBP</t>
        </is>
      </c>
      <c r="D510" s="40" t="inlineStr">
        <is>
          <t>ROYAL ALHAMBRA</t>
        </is>
      </c>
      <c r="E510" s="38" t="n">
        <v>404245.25</v>
      </c>
      <c r="F510" s="38" t="n">
        <v>0</v>
      </c>
      <c r="G510" s="38" t="n">
        <v>404245.25</v>
      </c>
      <c r="H510" s="40" t="inlineStr">
        <is>
          <t>Borç</t>
        </is>
      </c>
      <c r="I510" s="38" t="n">
        <v>6577.87</v>
      </c>
      <c r="J510" s="38" t="n">
        <v>0</v>
      </c>
      <c r="K510" s="38" t="n">
        <v>6577.87</v>
      </c>
      <c r="L510" s="40" t="inlineStr">
        <is>
          <t>Borç</t>
        </is>
      </c>
    </row>
    <row r="511" s="34">
      <c r="A511" s="40" t="inlineStr">
        <is>
          <t>120.01.01.T056</t>
        </is>
      </c>
      <c r="B511" s="40" t="inlineStr">
        <is>
          <t>Tui Uk Ltd</t>
        </is>
      </c>
      <c r="C511" s="40" t="inlineStr">
        <is>
          <t>GBP</t>
        </is>
      </c>
      <c r="D511" s="40" t="inlineStr">
        <is>
          <t>ROYAL DRAGON</t>
        </is>
      </c>
      <c r="E511" s="38" t="n">
        <v>94882.27</v>
      </c>
      <c r="F511" s="38" t="n">
        <v>1009284.75</v>
      </c>
      <c r="G511" s="38" t="n">
        <v>-914402.48</v>
      </c>
      <c r="H511" s="40" t="inlineStr">
        <is>
          <t>Alacak</t>
        </is>
      </c>
      <c r="I511" s="38" t="n">
        <v>1543.88</v>
      </c>
      <c r="J511" s="38" t="n">
        <v>16494.33</v>
      </c>
      <c r="K511" s="38" t="n">
        <v>-14950.45</v>
      </c>
      <c r="L511" s="40" t="inlineStr">
        <is>
          <t>Alacak</t>
        </is>
      </c>
    </row>
    <row r="512" s="34">
      <c r="A512" s="40" t="inlineStr">
        <is>
          <t>120.01.01.T056</t>
        </is>
      </c>
      <c r="B512" s="40" t="inlineStr">
        <is>
          <t>Tui Uk Ltd</t>
        </is>
      </c>
      <c r="C512" s="40" t="inlineStr">
        <is>
          <t>GBP</t>
        </is>
      </c>
      <c r="D512" s="40" t="inlineStr">
        <is>
          <t>ROYAL HOLIDAY</t>
        </is>
      </c>
      <c r="E512" s="38" t="n">
        <v>4442665.66</v>
      </c>
      <c r="F512" s="38" t="n">
        <v>1342208.67</v>
      </c>
      <c r="G512" s="38" t="n">
        <v>3100456.99</v>
      </c>
      <c r="H512" s="40" t="inlineStr">
        <is>
          <t>Borç</t>
        </is>
      </c>
      <c r="I512" s="38" t="n">
        <v>72251.14</v>
      </c>
      <c r="J512" s="38" t="n">
        <v>21880.89</v>
      </c>
      <c r="K512" s="38" t="n">
        <v>50370.25</v>
      </c>
      <c r="L512" s="40" t="inlineStr">
        <is>
          <t>Borç</t>
        </is>
      </c>
    </row>
    <row r="513" s="34">
      <c r="A513" s="40" t="inlineStr">
        <is>
          <t>120.01.01.T056</t>
        </is>
      </c>
      <c r="B513" s="40" t="inlineStr">
        <is>
          <t>Tui Uk Ltd</t>
        </is>
      </c>
      <c r="C513" s="40" t="inlineStr">
        <is>
          <t>GBP</t>
        </is>
      </c>
      <c r="D513" s="40" t="inlineStr">
        <is>
          <t>ROYAL SEGINUS</t>
        </is>
      </c>
      <c r="E513" s="38" t="n">
        <v>5902565.2</v>
      </c>
      <c r="F513" s="38" t="n">
        <v>1542800.5</v>
      </c>
      <c r="G513" s="38" t="n">
        <v>4359764.7</v>
      </c>
      <c r="H513" s="40" t="inlineStr">
        <is>
          <t>Borç</t>
        </is>
      </c>
      <c r="I513" s="38" t="n">
        <v>96011.03999999999</v>
      </c>
      <c r="J513" s="38" t="n">
        <v>25114.33</v>
      </c>
      <c r="K513" s="38" t="n">
        <v>70896.71000000001</v>
      </c>
      <c r="L513" s="40" t="inlineStr">
        <is>
          <t>Borç</t>
        </is>
      </c>
    </row>
    <row r="514" s="34">
      <c r="A514" s="40" t="inlineStr">
        <is>
          <t>120.01.01.T056</t>
        </is>
      </c>
      <c r="B514" s="40" t="inlineStr">
        <is>
          <t>Tui Uk Ltd</t>
        </is>
      </c>
      <c r="C514" s="40" t="inlineStr">
        <is>
          <t>GBP</t>
        </is>
      </c>
      <c r="D514" s="40" t="inlineStr">
        <is>
          <t>SERTAŞ MERKEZ</t>
        </is>
      </c>
      <c r="E514" s="38" t="n">
        <v>0</v>
      </c>
      <c r="F514" s="38" t="n">
        <v>861784</v>
      </c>
      <c r="G514" s="38" t="n">
        <v>-861784</v>
      </c>
      <c r="H514" s="40" t="inlineStr">
        <is>
          <t>Alacak</t>
        </is>
      </c>
      <c r="I514" s="38" t="n">
        <v>0</v>
      </c>
      <c r="J514" s="38" t="n">
        <v>13969.1</v>
      </c>
      <c r="K514" s="38" t="n">
        <v>-13969.1</v>
      </c>
      <c r="L514" s="40" t="inlineStr">
        <is>
          <t>Alacak</t>
        </is>
      </c>
    </row>
    <row r="515" s="34">
      <c r="A515" s="40" t="inlineStr">
        <is>
          <t>120.01.01.T061</t>
        </is>
      </c>
      <c r="B515" s="40" t="inlineStr">
        <is>
          <t>Turnalar Turizm Taşımacılık Sanayi Ve Tic.Ltd.Şti.</t>
        </is>
      </c>
      <c r="C515" s="40" t="inlineStr">
        <is>
          <t>EUR</t>
        </is>
      </c>
      <c r="D515" s="40" t="inlineStr">
        <is>
          <t>ROYAL ALHAMBRA</t>
        </is>
      </c>
      <c r="E515" s="38" t="n">
        <v>610456.13</v>
      </c>
      <c r="F515" s="38" t="n">
        <v>606969.65</v>
      </c>
      <c r="G515" s="38" t="n">
        <v>3486.48</v>
      </c>
      <c r="H515" s="40" t="inlineStr">
        <is>
          <t>Borç</t>
        </is>
      </c>
      <c r="I515" s="38" t="n">
        <v>11430.23</v>
      </c>
      <c r="J515" s="38" t="n">
        <v>11430.23</v>
      </c>
      <c r="K515" s="38" t="n">
        <v>0</v>
      </c>
    </row>
    <row r="516" s="34">
      <c r="A516" s="40" t="inlineStr">
        <is>
          <t>120.01.01.T061</t>
        </is>
      </c>
      <c r="B516" s="40" t="inlineStr">
        <is>
          <t>Turnalar Turizm Taşımacılık Sanayi Ve Tic.Ltd.Şti.</t>
        </is>
      </c>
      <c r="C516" s="40" t="inlineStr">
        <is>
          <t>EUR</t>
        </is>
      </c>
      <c r="D516" s="40" t="inlineStr">
        <is>
          <t>ROYAL DRAGON</t>
        </is>
      </c>
      <c r="E516" s="38" t="n">
        <v>205378.95</v>
      </c>
      <c r="F516" s="38" t="n">
        <v>206127.36</v>
      </c>
      <c r="G516" s="38" t="n">
        <v>-748.41</v>
      </c>
      <c r="H516" s="40" t="inlineStr">
        <is>
          <t>Alacak</t>
        </is>
      </c>
      <c r="I516" s="38" t="n">
        <v>3864</v>
      </c>
      <c r="J516" s="38" t="n">
        <v>3864</v>
      </c>
      <c r="K516" s="38" t="n">
        <v>0</v>
      </c>
    </row>
    <row r="517" s="34">
      <c r="A517" s="40" t="inlineStr">
        <is>
          <t>120.01.01.T061</t>
        </is>
      </c>
      <c r="B517" s="40" t="inlineStr">
        <is>
          <t>Turnalar Turizm Taşımacılık Sanayi Ve Tic.Ltd.Şti.</t>
        </is>
      </c>
      <c r="C517" s="40" t="inlineStr">
        <is>
          <t>EUR</t>
        </is>
      </c>
      <c r="D517" s="40" t="inlineStr">
        <is>
          <t>ROYAL HOLIDAY</t>
        </is>
      </c>
      <c r="E517" s="38" t="n">
        <v>380637.96</v>
      </c>
      <c r="F517" s="38" t="n">
        <v>376904.02</v>
      </c>
      <c r="G517" s="38" t="n">
        <v>3733.94</v>
      </c>
      <c r="H517" s="40" t="inlineStr">
        <is>
          <t>Borç</t>
        </is>
      </c>
      <c r="I517" s="38" t="n">
        <v>7119</v>
      </c>
      <c r="J517" s="38" t="n">
        <v>7119</v>
      </c>
      <c r="K517" s="38" t="n">
        <v>0</v>
      </c>
    </row>
    <row r="518" s="34">
      <c r="A518" s="40" t="inlineStr">
        <is>
          <t>120.01.01.T068</t>
        </is>
      </c>
      <c r="B518" s="40" t="inlineStr">
        <is>
          <t>Tui Deutschland Gmbh Brand Ltur</t>
        </is>
      </c>
      <c r="C518" s="40" t="inlineStr">
        <is>
          <t>EUR</t>
        </is>
      </c>
      <c r="D518" s="40" t="inlineStr">
        <is>
          <t>GİTAŞ MERKEZ</t>
        </is>
      </c>
      <c r="E518" s="38" t="n">
        <v>0</v>
      </c>
      <c r="F518" s="38" t="n">
        <v>461.27</v>
      </c>
      <c r="G518" s="38" t="n">
        <v>-461.27</v>
      </c>
      <c r="H518" s="40" t="inlineStr">
        <is>
          <t>Alacak</t>
        </is>
      </c>
      <c r="I518" s="38" t="n">
        <v>0</v>
      </c>
      <c r="J518" s="38" t="n">
        <v>8.6</v>
      </c>
      <c r="K518" s="38" t="n">
        <v>-8.6</v>
      </c>
      <c r="L518" s="40" t="inlineStr">
        <is>
          <t>Alacak</t>
        </is>
      </c>
    </row>
    <row r="519" s="34">
      <c r="A519" s="40" t="inlineStr">
        <is>
          <t>120.01.01.T068</t>
        </is>
      </c>
      <c r="B519" s="40" t="inlineStr">
        <is>
          <t>Tui Deutschland Gmbh Brand Ltur</t>
        </is>
      </c>
      <c r="C519" s="40" t="inlineStr">
        <is>
          <t>EUR</t>
        </is>
      </c>
      <c r="D519" s="40" t="inlineStr">
        <is>
          <t>ROYAL ADAM EVE</t>
        </is>
      </c>
      <c r="E519" s="38" t="n">
        <v>108592.38</v>
      </c>
      <c r="F519" s="38" t="n">
        <v>0</v>
      </c>
      <c r="G519" s="38" t="n">
        <v>108592.38</v>
      </c>
      <c r="H519" s="40" t="inlineStr">
        <is>
          <t>Borç</t>
        </is>
      </c>
      <c r="I519" s="38" t="n">
        <v>2030</v>
      </c>
      <c r="J519" s="38" t="n">
        <v>0</v>
      </c>
      <c r="K519" s="38" t="n">
        <v>2030</v>
      </c>
      <c r="L519" s="40" t="inlineStr">
        <is>
          <t>Borç</t>
        </is>
      </c>
    </row>
    <row r="520" s="34">
      <c r="A520" s="40" t="inlineStr">
        <is>
          <t>120.01.01.T068</t>
        </is>
      </c>
      <c r="B520" s="40" t="inlineStr">
        <is>
          <t>Tui Deutschland Gmbh Brand Ltur</t>
        </is>
      </c>
      <c r="C520" s="40" t="inlineStr">
        <is>
          <t>EUR</t>
        </is>
      </c>
      <c r="D520" s="40" t="inlineStr">
        <is>
          <t>ROYAL ALHAMBRA</t>
        </is>
      </c>
      <c r="E520" s="38" t="n">
        <v>593627.6899999999</v>
      </c>
      <c r="F520" s="38" t="n">
        <v>154518.21</v>
      </c>
      <c r="G520" s="38" t="n">
        <v>439109.48</v>
      </c>
      <c r="H520" s="40" t="inlineStr">
        <is>
          <t>Borç</t>
        </is>
      </c>
      <c r="I520" s="38" t="n">
        <v>11174.72</v>
      </c>
      <c r="J520" s="38" t="n">
        <v>2887.3</v>
      </c>
      <c r="K520" s="38" t="n">
        <v>8287.42</v>
      </c>
      <c r="L520" s="40" t="inlineStr">
        <is>
          <t>Borç</t>
        </is>
      </c>
    </row>
    <row r="521" s="34">
      <c r="A521" s="40" t="inlineStr">
        <is>
          <t>120.01.01.T068</t>
        </is>
      </c>
      <c r="B521" s="40" t="inlineStr">
        <is>
          <t>Tui Deutschland Gmbh Brand Ltur</t>
        </is>
      </c>
      <c r="C521" s="40" t="inlineStr">
        <is>
          <t>EUR</t>
        </is>
      </c>
      <c r="D521" s="40" t="inlineStr">
        <is>
          <t>ROYAL DRAGON</t>
        </is>
      </c>
      <c r="E521" s="38" t="n">
        <v>523221.2</v>
      </c>
      <c r="F521" s="38" t="n">
        <v>310091.59</v>
      </c>
      <c r="G521" s="38" t="n">
        <v>213129.61</v>
      </c>
      <c r="H521" s="40" t="inlineStr">
        <is>
          <t>Borç</t>
        </is>
      </c>
      <c r="I521" s="38" t="n">
        <v>9820.35</v>
      </c>
      <c r="J521" s="38" t="n">
        <v>5866</v>
      </c>
      <c r="K521" s="38" t="n">
        <v>3954.35</v>
      </c>
      <c r="L521" s="40" t="inlineStr">
        <is>
          <t>Borç</t>
        </is>
      </c>
    </row>
    <row r="522" s="34">
      <c r="A522" s="40" t="inlineStr">
        <is>
          <t>120.01.01.T068</t>
        </is>
      </c>
      <c r="B522" s="40" t="inlineStr">
        <is>
          <t>Tui Deutschland Gmbh Brand Ltur</t>
        </is>
      </c>
      <c r="C522" s="40" t="inlineStr">
        <is>
          <t>EUR</t>
        </is>
      </c>
      <c r="D522" s="40" t="inlineStr">
        <is>
          <t>ROYAL HOLIDAY</t>
        </is>
      </c>
      <c r="E522" s="38" t="n">
        <v>1160843.22</v>
      </c>
      <c r="F522" s="38" t="n">
        <v>415922.19</v>
      </c>
      <c r="G522" s="38" t="n">
        <v>744921.03</v>
      </c>
      <c r="H522" s="40" t="inlineStr">
        <is>
          <t>Borç</t>
        </is>
      </c>
      <c r="I522" s="38" t="n">
        <v>21813.2</v>
      </c>
      <c r="J522" s="38" t="n">
        <v>7828</v>
      </c>
      <c r="K522" s="38" t="n">
        <v>13985.2</v>
      </c>
      <c r="L522" s="40" t="inlineStr">
        <is>
          <t>Borç</t>
        </is>
      </c>
    </row>
    <row r="523" s="34">
      <c r="A523" s="40" t="inlineStr">
        <is>
          <t>120.01.01.T068</t>
        </is>
      </c>
      <c r="B523" s="40" t="inlineStr">
        <is>
          <t>Tui Deutschland Gmbh Brand Ltur</t>
        </is>
      </c>
      <c r="C523" s="40" t="inlineStr">
        <is>
          <t>EUR</t>
        </is>
      </c>
      <c r="D523" s="40" t="inlineStr">
        <is>
          <t>ROYAL SEGINUS</t>
        </is>
      </c>
      <c r="E523" s="38" t="n">
        <v>0</v>
      </c>
      <c r="F523" s="38" t="n">
        <v>57688.85</v>
      </c>
      <c r="G523" s="38" t="n">
        <v>-57688.85</v>
      </c>
      <c r="H523" s="40" t="inlineStr">
        <is>
          <t>Alacak</t>
        </is>
      </c>
      <c r="I523" s="38" t="n">
        <v>0</v>
      </c>
      <c r="J523" s="38" t="n">
        <v>1080</v>
      </c>
      <c r="K523" s="38" t="n">
        <v>-1080</v>
      </c>
      <c r="L523" s="40" t="inlineStr">
        <is>
          <t>Alacak</t>
        </is>
      </c>
    </row>
    <row r="524" s="34">
      <c r="A524" s="40" t="inlineStr">
        <is>
          <t>120.01.01.U001</t>
        </is>
      </c>
      <c r="B524" s="40" t="inlineStr">
        <is>
          <t>Uçan Halı Turizm Sey. Ve Tic. Ltd. Şti.</t>
        </is>
      </c>
      <c r="C524" s="40" t="inlineStr">
        <is>
          <t>EUR</t>
        </is>
      </c>
      <c r="D524" s="40" t="inlineStr">
        <is>
          <t>ROYAL ALHAMBRA</t>
        </is>
      </c>
      <c r="E524" s="38" t="n">
        <v>67578.75999999999</v>
      </c>
      <c r="F524" s="38" t="n">
        <v>67143.66</v>
      </c>
      <c r="G524" s="38" t="n">
        <v>435.1</v>
      </c>
      <c r="H524" s="40" t="inlineStr">
        <is>
          <t>Borç</t>
        </is>
      </c>
      <c r="I524" s="38" t="n">
        <v>1274.84</v>
      </c>
      <c r="J524" s="38" t="n">
        <v>1274.84</v>
      </c>
      <c r="K524" s="38" t="n">
        <v>0</v>
      </c>
    </row>
    <row r="525" s="34">
      <c r="A525" s="40" t="inlineStr">
        <is>
          <t>120.01.01.U001</t>
        </is>
      </c>
      <c r="B525" s="40" t="inlineStr">
        <is>
          <t>Uçan Halı Turizm Sey. Ve Tic. Ltd. Şti.</t>
        </is>
      </c>
      <c r="C525" s="40" t="inlineStr">
        <is>
          <t>EUR</t>
        </is>
      </c>
      <c r="D525" s="40" t="inlineStr">
        <is>
          <t>ROYAL HOLIDAY</t>
        </is>
      </c>
      <c r="E525" s="38" t="n">
        <v>204826.35</v>
      </c>
      <c r="F525" s="38" t="n">
        <v>204291.05</v>
      </c>
      <c r="G525" s="38" t="n">
        <v>535.3</v>
      </c>
      <c r="H525" s="40" t="inlineStr">
        <is>
          <t>Borç</t>
        </is>
      </c>
      <c r="I525" s="38" t="n">
        <v>3853.85</v>
      </c>
      <c r="J525" s="38" t="n">
        <v>3853.85</v>
      </c>
      <c r="K525" s="38" t="n">
        <v>0</v>
      </c>
    </row>
    <row r="526" s="34">
      <c r="A526" s="40" t="inlineStr">
        <is>
          <t>120.01.01.W005</t>
        </is>
      </c>
      <c r="B526" s="40" t="inlineStr">
        <is>
          <t>World 2 Meet , S.L.U</t>
        </is>
      </c>
      <c r="C526" s="40" t="inlineStr">
        <is>
          <t>EUR</t>
        </is>
      </c>
      <c r="D526" s="40" t="inlineStr">
        <is>
          <t>ROYAL DRAGON</t>
        </is>
      </c>
      <c r="E526" s="38" t="n">
        <v>911936.36</v>
      </c>
      <c r="F526" s="38" t="n">
        <v>911936.36</v>
      </c>
      <c r="G526" s="38" t="n">
        <v>0</v>
      </c>
      <c r="I526" s="38" t="n">
        <v>17208.08</v>
      </c>
      <c r="J526" s="38" t="n">
        <v>17199.09</v>
      </c>
      <c r="K526" s="38" t="n">
        <v>8.99</v>
      </c>
      <c r="L526" s="40" t="inlineStr">
        <is>
          <t>Borç</t>
        </is>
      </c>
    </row>
    <row r="527" s="34">
      <c r="A527" s="40" t="inlineStr">
        <is>
          <t>120.01.01.W005</t>
        </is>
      </c>
      <c r="B527" s="40" t="inlineStr">
        <is>
          <t>World 2 Meet , S.L.U</t>
        </is>
      </c>
      <c r="C527" s="40" t="inlineStr">
        <is>
          <t>EUR</t>
        </is>
      </c>
      <c r="D527" s="40" t="inlineStr">
        <is>
          <t>ROYAL HOLIDAY</t>
        </is>
      </c>
      <c r="E527" s="38" t="n">
        <v>1105464.78</v>
      </c>
      <c r="F527" s="38" t="n">
        <v>1105464.78</v>
      </c>
      <c r="G527" s="38" t="n">
        <v>0</v>
      </c>
      <c r="I527" s="38" t="n">
        <v>20773.55</v>
      </c>
      <c r="J527" s="38" t="n">
        <v>134485.97</v>
      </c>
      <c r="K527" s="38" t="n">
        <v>-113712.42</v>
      </c>
      <c r="L527" s="40" t="inlineStr">
        <is>
          <t>Alacak</t>
        </is>
      </c>
    </row>
    <row r="528" s="34">
      <c r="A528" s="40" t="inlineStr">
        <is>
          <t>120.01.01.W005</t>
        </is>
      </c>
      <c r="B528" s="40" t="inlineStr">
        <is>
          <t>World 2 Meet , S.L.U</t>
        </is>
      </c>
      <c r="C528" s="40" t="inlineStr">
        <is>
          <t>EUR</t>
        </is>
      </c>
      <c r="D528" s="40" t="inlineStr">
        <is>
          <t>ROYAL SEGINUS</t>
        </is>
      </c>
      <c r="E528" s="38" t="n">
        <v>2024525.54</v>
      </c>
      <c r="F528" s="38" t="n">
        <v>2024525.54</v>
      </c>
      <c r="G528" s="38" t="n">
        <v>0</v>
      </c>
      <c r="I528" s="38" t="n">
        <v>38022.16</v>
      </c>
      <c r="J528" s="38" t="n">
        <v>38022.16</v>
      </c>
      <c r="K528" s="38" t="n">
        <v>0</v>
      </c>
    </row>
    <row r="529" s="34">
      <c r="A529" s="40" t="inlineStr">
        <is>
          <t>120.01.01.W006</t>
        </is>
      </c>
      <c r="B529" s="40" t="inlineStr">
        <is>
          <t>Web Asya</t>
        </is>
      </c>
      <c r="C529" s="40" t="inlineStr">
        <is>
          <t>TRY</t>
        </is>
      </c>
      <c r="D529" s="40" t="inlineStr">
        <is>
          <t>ROYAL ADAM EVE</t>
        </is>
      </c>
      <c r="E529" s="38" t="n">
        <v>429540.61</v>
      </c>
      <c r="F529" s="38" t="n">
        <v>133455.17</v>
      </c>
      <c r="G529" s="38" t="n">
        <v>296085.44</v>
      </c>
      <c r="H529" s="40" t="inlineStr">
        <is>
          <t>Borç</t>
        </is>
      </c>
      <c r="I529" s="38" t="n">
        <v>429540.61</v>
      </c>
      <c r="J529" s="38" t="n">
        <v>133455.17</v>
      </c>
      <c r="K529" s="38" t="n">
        <v>296085.44</v>
      </c>
      <c r="L529" s="40" t="inlineStr">
        <is>
          <t>Borç</t>
        </is>
      </c>
    </row>
    <row r="530" s="34">
      <c r="A530" s="40" t="inlineStr">
        <is>
          <t>120.01.01.W006</t>
        </is>
      </c>
      <c r="B530" s="40" t="inlineStr">
        <is>
          <t>Web Asya</t>
        </is>
      </c>
      <c r="C530" s="40" t="inlineStr">
        <is>
          <t>TRY</t>
        </is>
      </c>
      <c r="D530" s="40" t="inlineStr">
        <is>
          <t>ROYAL ALHAMBRA</t>
        </is>
      </c>
      <c r="E530" s="38" t="n">
        <v>120307.2</v>
      </c>
      <c r="F530" s="38" t="n">
        <v>0</v>
      </c>
      <c r="G530" s="38" t="n">
        <v>120307.2</v>
      </c>
      <c r="H530" s="40" t="inlineStr">
        <is>
          <t>Borç</t>
        </is>
      </c>
      <c r="I530" s="38" t="n">
        <v>120307.2</v>
      </c>
      <c r="J530" s="38" t="n">
        <v>0</v>
      </c>
      <c r="K530" s="38" t="n">
        <v>120307.2</v>
      </c>
      <c r="L530" s="40" t="inlineStr">
        <is>
          <t>Borç</t>
        </is>
      </c>
    </row>
    <row r="531" s="34">
      <c r="A531" s="40" t="inlineStr">
        <is>
          <t>120.01.01.W006</t>
        </is>
      </c>
      <c r="B531" s="40" t="inlineStr">
        <is>
          <t>Web Asya</t>
        </is>
      </c>
      <c r="C531" s="40" t="inlineStr">
        <is>
          <t>TRY</t>
        </is>
      </c>
      <c r="D531" s="40" t="inlineStr">
        <is>
          <t>ROYAL DRAGON</t>
        </is>
      </c>
      <c r="E531" s="38" t="n">
        <v>148419.15</v>
      </c>
      <c r="F531" s="38" t="n">
        <v>74063.89999999999</v>
      </c>
      <c r="G531" s="38" t="n">
        <v>74355.25</v>
      </c>
      <c r="H531" s="40" t="inlineStr">
        <is>
          <t>Borç</t>
        </is>
      </c>
      <c r="I531" s="38" t="n">
        <v>148419.15</v>
      </c>
      <c r="J531" s="38" t="n">
        <v>74063.89999999999</v>
      </c>
      <c r="K531" s="38" t="n">
        <v>74355.25</v>
      </c>
      <c r="L531" s="40" t="inlineStr">
        <is>
          <t>Borç</t>
        </is>
      </c>
    </row>
    <row r="532" s="34">
      <c r="A532" s="40" t="inlineStr">
        <is>
          <t>120.01.01.W006</t>
        </is>
      </c>
      <c r="B532" s="40" t="inlineStr">
        <is>
          <t>Web Asya</t>
        </is>
      </c>
      <c r="C532" s="40" t="inlineStr">
        <is>
          <t>TRY</t>
        </is>
      </c>
      <c r="D532" s="40" t="inlineStr">
        <is>
          <t>ROYAL SEGINUS</t>
        </is>
      </c>
      <c r="E532" s="38" t="n">
        <v>135135.05</v>
      </c>
      <c r="F532" s="38" t="n">
        <v>135135.05</v>
      </c>
      <c r="G532" s="38" t="n">
        <v>0</v>
      </c>
      <c r="I532" s="38" t="n">
        <v>135135.05</v>
      </c>
      <c r="J532" s="38" t="n">
        <v>135135.05</v>
      </c>
      <c r="K532" s="38" t="n">
        <v>0</v>
      </c>
    </row>
    <row r="533" s="34">
      <c r="A533" s="40" t="inlineStr">
        <is>
          <t>120.01.01.W007</t>
        </is>
      </c>
      <c r="B533" s="40" t="inlineStr">
        <is>
          <t xml:space="preserve">Webbeds </t>
        </is>
      </c>
      <c r="C533" s="40" t="inlineStr">
        <is>
          <t>EUR</t>
        </is>
      </c>
      <c r="D533" s="40" t="inlineStr">
        <is>
          <t>ROYAL ALHAMBRA</t>
        </is>
      </c>
      <c r="E533" s="38" t="n">
        <v>123791.36</v>
      </c>
      <c r="F533" s="38" t="n">
        <v>123791.36</v>
      </c>
      <c r="G533" s="38" t="n">
        <v>0</v>
      </c>
      <c r="I533" s="38" t="n">
        <v>2318.72</v>
      </c>
      <c r="J533" s="38" t="n">
        <v>2318.72</v>
      </c>
      <c r="K533" s="38" t="n">
        <v>0</v>
      </c>
    </row>
    <row r="534" s="34">
      <c r="A534" s="40" t="inlineStr">
        <is>
          <t>120.01.01.W007</t>
        </is>
      </c>
      <c r="B534" s="40" t="inlineStr">
        <is>
          <t xml:space="preserve">Webbeds </t>
        </is>
      </c>
      <c r="C534" s="40" t="inlineStr">
        <is>
          <t>EUR</t>
        </is>
      </c>
      <c r="D534" s="40" t="inlineStr">
        <is>
          <t>ROYAL HOLIDAY</t>
        </is>
      </c>
      <c r="E534" s="38" t="n">
        <v>146418.62</v>
      </c>
      <c r="F534" s="38" t="n">
        <v>146418.62</v>
      </c>
      <c r="G534" s="38" t="n">
        <v>0</v>
      </c>
      <c r="I534" s="38" t="n">
        <v>2756.25</v>
      </c>
      <c r="J534" s="38" t="n">
        <v>2756.25</v>
      </c>
      <c r="K534" s="38" t="n">
        <v>0</v>
      </c>
    </row>
    <row r="535" s="34">
      <c r="A535" s="40" t="inlineStr">
        <is>
          <t>120.01.01.W007</t>
        </is>
      </c>
      <c r="B535" s="40" t="inlineStr">
        <is>
          <t xml:space="preserve">Webbeds </t>
        </is>
      </c>
      <c r="C535" s="40" t="inlineStr">
        <is>
          <t>EUR</t>
        </is>
      </c>
      <c r="D535" s="40" t="inlineStr">
        <is>
          <t>ROYAL SEGINUS</t>
        </is>
      </c>
      <c r="E535" s="38" t="n">
        <v>142731.86</v>
      </c>
      <c r="F535" s="38" t="n">
        <v>142731.86</v>
      </c>
      <c r="G535" s="38" t="n">
        <v>0</v>
      </c>
      <c r="I535" s="38" t="n">
        <v>2673</v>
      </c>
      <c r="J535" s="38" t="n">
        <v>2673</v>
      </c>
      <c r="K535" s="38" t="n">
        <v>0</v>
      </c>
    </row>
    <row r="536" s="34">
      <c r="A536" s="40" t="inlineStr">
        <is>
          <t>120.01.01.Y004</t>
        </is>
      </c>
      <c r="B536" s="40" t="inlineStr">
        <is>
          <t>Yeni Atik Ticaret ve Turizm Ltd.Şti.</t>
        </is>
      </c>
      <c r="C536" s="40" t="inlineStr">
        <is>
          <t>EUR</t>
        </is>
      </c>
      <c r="D536" s="40" t="inlineStr">
        <is>
          <t>ROYAL ADAM EVE</t>
        </is>
      </c>
      <c r="E536" s="38" t="n">
        <v>0</v>
      </c>
      <c r="F536" s="38" t="n">
        <v>294513.12</v>
      </c>
      <c r="G536" s="38" t="n">
        <v>-294513.12</v>
      </c>
      <c r="H536" s="40" t="inlineStr">
        <is>
          <t>Alacak</t>
        </is>
      </c>
      <c r="I536" s="38" t="n">
        <v>0</v>
      </c>
      <c r="J536" s="38" t="n">
        <v>5556.39</v>
      </c>
      <c r="K536" s="38" t="n">
        <v>-5556.39</v>
      </c>
      <c r="L536" s="40" t="inlineStr">
        <is>
          <t>Alacak</t>
        </is>
      </c>
    </row>
    <row r="537" s="34">
      <c r="A537" s="40" t="inlineStr">
        <is>
          <t>120.01.01.Y004</t>
        </is>
      </c>
      <c r="B537" s="40" t="inlineStr">
        <is>
          <t>Yeni Atik Ticaret ve Turizm Ltd.Şti.</t>
        </is>
      </c>
      <c r="C537" s="40" t="inlineStr">
        <is>
          <t>EUR</t>
        </is>
      </c>
      <c r="D537" s="40" t="inlineStr">
        <is>
          <t>ROYAL ALHAMBRA</t>
        </is>
      </c>
      <c r="E537" s="38" t="n">
        <v>66655.33</v>
      </c>
      <c r="F537" s="38" t="n">
        <v>67274.3</v>
      </c>
      <c r="G537" s="38" t="n">
        <v>-618.97</v>
      </c>
      <c r="H537" s="40" t="inlineStr">
        <is>
          <t>Alacak</t>
        </is>
      </c>
      <c r="I537" s="38" t="n">
        <v>1254.75</v>
      </c>
      <c r="J537" s="38" t="n">
        <v>1254.75</v>
      </c>
      <c r="K537" s="38" t="n">
        <v>0</v>
      </c>
    </row>
    <row r="538" s="34">
      <c r="A538" s="40" t="inlineStr">
        <is>
          <t>120.01.01.Y004</t>
        </is>
      </c>
      <c r="B538" s="40" t="inlineStr">
        <is>
          <t>Yeni Atik Ticaret ve Turizm Ltd.Şti.</t>
        </is>
      </c>
      <c r="C538" s="40" t="inlineStr">
        <is>
          <t>EUR</t>
        </is>
      </c>
      <c r="D538" s="40" t="inlineStr">
        <is>
          <t>ROYAL DRAGON</t>
        </is>
      </c>
      <c r="E538" s="38" t="n">
        <v>115210.53</v>
      </c>
      <c r="F538" s="38" t="n">
        <v>116280.66</v>
      </c>
      <c r="G538" s="38" t="n">
        <v>-1070.13</v>
      </c>
      <c r="H538" s="40" t="inlineStr">
        <is>
          <t>Alacak</t>
        </is>
      </c>
      <c r="I538" s="38" t="n">
        <v>2168.78</v>
      </c>
      <c r="J538" s="38" t="n">
        <v>2168.78</v>
      </c>
      <c r="K538" s="38" t="n">
        <v>0</v>
      </c>
    </row>
    <row r="539" s="34">
      <c r="A539" s="40" t="inlineStr">
        <is>
          <t>120.01.01.Y004</t>
        </is>
      </c>
      <c r="B539" s="40" t="inlineStr">
        <is>
          <t>Yeni Atik Ticaret ve Turizm Ltd.Şti.</t>
        </is>
      </c>
      <c r="C539" s="40" t="inlineStr">
        <is>
          <t>EUR</t>
        </is>
      </c>
      <c r="D539" s="40" t="inlineStr">
        <is>
          <t>ROYAL HOLIDAY</t>
        </is>
      </c>
      <c r="E539" s="38" t="n">
        <v>769963.92</v>
      </c>
      <c r="F539" s="38" t="n">
        <v>777580.45</v>
      </c>
      <c r="G539" s="38" t="n">
        <v>-7616.53</v>
      </c>
      <c r="H539" s="40" t="inlineStr">
        <is>
          <t>Alacak</t>
        </is>
      </c>
      <c r="I539" s="38" t="n">
        <v>14502.85</v>
      </c>
      <c r="J539" s="38" t="n">
        <v>14502.85</v>
      </c>
      <c r="K539" s="38" t="n">
        <v>0</v>
      </c>
    </row>
    <row r="540" s="34">
      <c r="A540" s="40" t="inlineStr">
        <is>
          <t>120.01.01.Y004</t>
        </is>
      </c>
      <c r="B540" s="40" t="inlineStr">
        <is>
          <t>Yeni Atik Ticaret ve Turizm Ltd.Şti.</t>
        </is>
      </c>
      <c r="C540" s="40" t="inlineStr">
        <is>
          <t>EUR</t>
        </is>
      </c>
      <c r="D540" s="40" t="inlineStr">
        <is>
          <t>ROYAL SEGINUS</t>
        </is>
      </c>
      <c r="E540" s="38" t="n">
        <v>3562798.27</v>
      </c>
      <c r="F540" s="38" t="n">
        <v>3404907.48</v>
      </c>
      <c r="G540" s="38" t="n">
        <v>157890.79</v>
      </c>
      <c r="H540" s="40" t="inlineStr">
        <is>
          <t>Borç</t>
        </is>
      </c>
      <c r="I540" s="38" t="n">
        <v>67006.52</v>
      </c>
      <c r="J540" s="38" t="n">
        <v>63649.32</v>
      </c>
      <c r="K540" s="38" t="n">
        <v>3357.2</v>
      </c>
      <c r="L540" s="40" t="inlineStr">
        <is>
          <t>Borç</t>
        </is>
      </c>
    </row>
    <row r="541" s="34">
      <c r="A541" s="40" t="inlineStr">
        <is>
          <t>120.01.01.Y007</t>
        </is>
      </c>
      <c r="B541" s="40" t="inlineStr">
        <is>
          <t>Yore Turizm Ve İşl. Tic.A.Ş</t>
        </is>
      </c>
      <c r="C541" s="40" t="inlineStr">
        <is>
          <t>TRY</t>
        </is>
      </c>
      <c r="D541" s="40" t="inlineStr">
        <is>
          <t>ROYAL ADAM EVE</t>
        </is>
      </c>
      <c r="E541" s="38" t="n">
        <v>97427.25</v>
      </c>
      <c r="F541" s="38" t="n">
        <v>97427.25</v>
      </c>
      <c r="G541" s="38" t="n">
        <v>0</v>
      </c>
      <c r="I541" s="38" t="n">
        <v>97427.25</v>
      </c>
      <c r="J541" s="38" t="n">
        <v>97427.25</v>
      </c>
      <c r="K541" s="38" t="n">
        <v>0</v>
      </c>
    </row>
    <row r="542" s="34">
      <c r="A542" s="40" t="inlineStr">
        <is>
          <t>120.01.01.Y009</t>
        </is>
      </c>
      <c r="B542" s="40" t="inlineStr">
        <is>
          <t>Yuppi Travel Org. Tic. Aş.</t>
        </is>
      </c>
      <c r="C542" s="40" t="inlineStr">
        <is>
          <t>EUR</t>
        </is>
      </c>
      <c r="D542" s="40" t="inlineStr">
        <is>
          <t>ROYAL ALHAMBRA</t>
        </is>
      </c>
      <c r="E542" s="38" t="n">
        <v>207642.18</v>
      </c>
      <c r="F542" s="38" t="n">
        <v>209570.37</v>
      </c>
      <c r="G542" s="38" t="n">
        <v>-1928.19</v>
      </c>
      <c r="H542" s="40" t="inlineStr">
        <is>
          <t>Alacak</t>
        </is>
      </c>
      <c r="I542" s="38" t="n">
        <v>3908.75</v>
      </c>
      <c r="J542" s="38" t="n">
        <v>3908.75</v>
      </c>
      <c r="K542" s="38" t="n">
        <v>0</v>
      </c>
    </row>
    <row r="543" s="34">
      <c r="A543" s="40" t="inlineStr">
        <is>
          <t>120.01.01.Y009</t>
        </is>
      </c>
      <c r="B543" s="40" t="inlineStr">
        <is>
          <t>Yuppi Travel Org. Tic. Aş.</t>
        </is>
      </c>
      <c r="C543" s="40" t="inlineStr">
        <is>
          <t>EUR</t>
        </is>
      </c>
      <c r="D543" s="40" t="inlineStr">
        <is>
          <t>ROYAL SEGINUS</t>
        </is>
      </c>
      <c r="E543" s="38" t="n">
        <v>273474.11</v>
      </c>
      <c r="F543" s="38" t="n">
        <v>276013.62</v>
      </c>
      <c r="G543" s="38" t="n">
        <v>-2539.51</v>
      </c>
      <c r="H543" s="40" t="inlineStr">
        <is>
          <t>Alacak</t>
        </is>
      </c>
      <c r="I543" s="38" t="n">
        <v>5148</v>
      </c>
      <c r="J543" s="38" t="n">
        <v>5148</v>
      </c>
      <c r="K543" s="38" t="n">
        <v>0</v>
      </c>
    </row>
    <row r="544" s="34">
      <c r="A544" s="40" t="inlineStr">
        <is>
          <t>120.01.02</t>
        </is>
      </c>
      <c r="B544" s="40" t="inlineStr">
        <is>
          <t>ALACAKLAR - MÜNFERİT</t>
        </is>
      </c>
      <c r="C544" s="40" t="inlineStr">
        <is>
          <t>TRY</t>
        </is>
      </c>
      <c r="E544" s="38" t="n">
        <v>30826750.04</v>
      </c>
      <c r="F544" s="38" t="n">
        <v>30909025.14</v>
      </c>
      <c r="G544" s="38" t="n">
        <v>-82275.10000000001</v>
      </c>
      <c r="I544" s="38" t="n">
        <v>30810152.37</v>
      </c>
      <c r="J544" s="38" t="n">
        <v>30879950.08</v>
      </c>
      <c r="K544" s="38" t="n">
        <v>-69797.71000000001</v>
      </c>
    </row>
    <row r="545" s="34">
      <c r="A545" s="40" t="inlineStr">
        <is>
          <t>120.01.02.M010</t>
        </is>
      </c>
      <c r="B545" s="40" t="inlineStr">
        <is>
          <t>Münferit Müşteriler Hesabı</t>
        </is>
      </c>
      <c r="C545" s="40" t="inlineStr">
        <is>
          <t>EUR</t>
        </is>
      </c>
      <c r="D545" s="40" t="inlineStr">
        <is>
          <t>ROYAL ADAM EVE</t>
        </is>
      </c>
      <c r="E545" s="38" t="n">
        <v>14707241.84</v>
      </c>
      <c r="F545" s="38" t="n">
        <v>14979881.29</v>
      </c>
      <c r="G545" s="38" t="n">
        <v>-272639.45</v>
      </c>
      <c r="H545" s="40" t="inlineStr">
        <is>
          <t>Alacak</t>
        </is>
      </c>
      <c r="I545" s="38" t="n">
        <v>14702544.38</v>
      </c>
      <c r="J545" s="38" t="n">
        <v>14979881.29</v>
      </c>
      <c r="K545" s="38" t="n">
        <v>-277336.91</v>
      </c>
      <c r="L545" s="40" t="inlineStr">
        <is>
          <t>Alacak</t>
        </is>
      </c>
    </row>
    <row r="546" s="34">
      <c r="A546" s="40" t="inlineStr">
        <is>
          <t>120.01.02.M010</t>
        </is>
      </c>
      <c r="B546" s="40" t="inlineStr">
        <is>
          <t>Münferit Müşteriler Hesabı</t>
        </is>
      </c>
      <c r="C546" s="40" t="inlineStr">
        <is>
          <t>EUR</t>
        </is>
      </c>
      <c r="D546" s="40" t="inlineStr">
        <is>
          <t>ROYAL ALHAMBRA</t>
        </is>
      </c>
      <c r="E546" s="38" t="n">
        <v>1041273.97</v>
      </c>
      <c r="F546" s="38" t="n">
        <v>1095650.59</v>
      </c>
      <c r="G546" s="38" t="n">
        <v>-54376.62</v>
      </c>
      <c r="H546" s="40" t="inlineStr">
        <is>
          <t>Alacak</t>
        </is>
      </c>
      <c r="I546" s="38" t="n">
        <v>1041273.97</v>
      </c>
      <c r="J546" s="38" t="n">
        <v>1095650.59</v>
      </c>
      <c r="K546" s="38" t="n">
        <v>-54376.62</v>
      </c>
      <c r="L546" s="40" t="inlineStr">
        <is>
          <t>Alacak</t>
        </is>
      </c>
    </row>
    <row r="547" s="34">
      <c r="A547" s="40" t="inlineStr">
        <is>
          <t>120.01.02.M010</t>
        </is>
      </c>
      <c r="B547" s="40" t="inlineStr">
        <is>
          <t>Münferit Müşteriler Hesabı</t>
        </is>
      </c>
      <c r="C547" s="40" t="inlineStr">
        <is>
          <t>EUR</t>
        </is>
      </c>
      <c r="D547" s="40" t="inlineStr">
        <is>
          <t>ROYAL DRAGON</t>
        </is>
      </c>
      <c r="E547" s="38" t="n">
        <v>2259765.97</v>
      </c>
      <c r="F547" s="38" t="n">
        <v>2117958.93</v>
      </c>
      <c r="G547" s="38" t="n">
        <v>141807.04</v>
      </c>
      <c r="H547" s="40" t="inlineStr">
        <is>
          <t>Borç</t>
        </is>
      </c>
      <c r="I547" s="38" t="n">
        <v>2258200.15</v>
      </c>
      <c r="J547" s="38" t="n">
        <v>2116393.11</v>
      </c>
      <c r="K547" s="38" t="n">
        <v>141807.04</v>
      </c>
      <c r="L547" s="40" t="inlineStr">
        <is>
          <t>Borç</t>
        </is>
      </c>
    </row>
    <row r="548" s="34">
      <c r="A548" s="40" t="inlineStr">
        <is>
          <t>120.01.02.M010</t>
        </is>
      </c>
      <c r="B548" s="40" t="inlineStr">
        <is>
          <t>Münferit Müşteriler Hesabı</t>
        </is>
      </c>
      <c r="C548" s="40" t="inlineStr">
        <is>
          <t>EUR</t>
        </is>
      </c>
      <c r="D548" s="40" t="inlineStr">
        <is>
          <t>ROYAL HOLIDAY</t>
        </is>
      </c>
      <c r="E548" s="38" t="n">
        <v>4947476.35</v>
      </c>
      <c r="F548" s="38" t="n">
        <v>4877465.99</v>
      </c>
      <c r="G548" s="38" t="n">
        <v>70010.36</v>
      </c>
      <c r="H548" s="40" t="inlineStr">
        <is>
          <t>Borç</t>
        </is>
      </c>
      <c r="I548" s="38" t="n">
        <v>4947476.35</v>
      </c>
      <c r="J548" s="38" t="n">
        <v>4860291.14</v>
      </c>
      <c r="K548" s="38" t="n">
        <v>87185.21000000001</v>
      </c>
      <c r="L548" s="40" t="inlineStr">
        <is>
          <t>Borç</t>
        </is>
      </c>
    </row>
    <row r="549" s="34">
      <c r="A549" s="40" t="inlineStr">
        <is>
          <t>120.01.02.M010</t>
        </is>
      </c>
      <c r="B549" s="40" t="inlineStr">
        <is>
          <t>Münferit Müşteriler Hesabı</t>
        </is>
      </c>
      <c r="C549" s="40" t="inlineStr">
        <is>
          <t>EUR</t>
        </is>
      </c>
      <c r="D549" s="40" t="inlineStr">
        <is>
          <t>ROYAL SEGINUS</t>
        </is>
      </c>
      <c r="E549" s="38" t="n">
        <v>7870991.91</v>
      </c>
      <c r="F549" s="38" t="n">
        <v>7808081.28</v>
      </c>
      <c r="G549" s="38" t="n">
        <v>62910.63</v>
      </c>
      <c r="H549" s="40" t="inlineStr">
        <is>
          <t>Borç</t>
        </is>
      </c>
      <c r="I549" s="38" t="n">
        <v>7860657.52</v>
      </c>
      <c r="J549" s="38" t="n">
        <v>7797746.89</v>
      </c>
      <c r="K549" s="38" t="n">
        <v>62910.63</v>
      </c>
      <c r="L549" s="40" t="inlineStr">
        <is>
          <t>Borç</t>
        </is>
      </c>
    </row>
    <row r="550" s="34">
      <c r="A550" s="40" t="inlineStr">
        <is>
          <t>120.01.02.M013</t>
        </is>
      </c>
      <c r="B550" s="40" t="inlineStr">
        <is>
          <t>Individual Müşteriler Hesabı</t>
        </is>
      </c>
      <c r="C550" s="40" t="inlineStr">
        <is>
          <t>EUR</t>
        </is>
      </c>
      <c r="D550" s="40" t="inlineStr">
        <is>
          <t>ROYAL DRAGON</t>
        </is>
      </c>
      <c r="E550" s="38" t="n">
        <v>0</v>
      </c>
      <c r="F550" s="38" t="n">
        <v>29987.06</v>
      </c>
      <c r="G550" s="38" t="n">
        <v>-29987.06</v>
      </c>
      <c r="H550" s="40" t="inlineStr">
        <is>
          <t>Alacak</t>
        </is>
      </c>
      <c r="I550" s="38" t="n">
        <v>0</v>
      </c>
      <c r="J550" s="38" t="n">
        <v>29987.06</v>
      </c>
      <c r="K550" s="38" t="n">
        <v>-29987.06</v>
      </c>
      <c r="L550" s="40" t="inlineStr">
        <is>
          <t>Alacak</t>
        </is>
      </c>
    </row>
    <row r="551" s="34">
      <c r="A551" s="40" t="inlineStr">
        <is>
          <t>120.01.03</t>
        </is>
      </c>
      <c r="B551" s="40" t="inlineStr">
        <is>
          <t>ALACAKLAR - GRUPLAR</t>
        </is>
      </c>
      <c r="C551" s="40" t="inlineStr">
        <is>
          <t>TRY</t>
        </is>
      </c>
      <c r="E551" s="38" t="n">
        <v>13297.15</v>
      </c>
      <c r="F551" s="38" t="n">
        <v>387878.4</v>
      </c>
      <c r="G551" s="38" t="n">
        <v>-374581.25</v>
      </c>
      <c r="I551" s="38" t="n">
        <v>250</v>
      </c>
      <c r="J551" s="38" t="n">
        <v>7292.51</v>
      </c>
      <c r="K551" s="38" t="n">
        <v>-7042.51</v>
      </c>
    </row>
    <row r="552" s="34">
      <c r="A552" s="40" t="inlineStr">
        <is>
          <t>120.01.03.S002</t>
        </is>
      </c>
      <c r="B552" s="40" t="inlineStr">
        <is>
          <t>Scao Organızasyon Turizm</t>
        </is>
      </c>
      <c r="C552" s="40" t="inlineStr">
        <is>
          <t>EUR</t>
        </is>
      </c>
      <c r="D552" s="40" t="inlineStr">
        <is>
          <t>ROYAL DRAGON</t>
        </is>
      </c>
      <c r="E552" s="38" t="n">
        <v>13297.15</v>
      </c>
      <c r="F552" s="38" t="n">
        <v>387878.4</v>
      </c>
      <c r="G552" s="38" t="n">
        <v>-374581.25</v>
      </c>
      <c r="H552" s="40" t="inlineStr">
        <is>
          <t>Alacak</t>
        </is>
      </c>
      <c r="I552" s="38" t="n">
        <v>250</v>
      </c>
      <c r="J552" s="38" t="n">
        <v>7292.51</v>
      </c>
      <c r="K552" s="38" t="n">
        <v>-7042.51</v>
      </c>
      <c r="L552" s="40" t="inlineStr">
        <is>
          <t>Alacak</t>
        </is>
      </c>
    </row>
    <row r="553" s="34">
      <c r="A553" s="40" t="inlineStr">
        <is>
          <t>120.01.04</t>
        </is>
      </c>
      <c r="B553" s="40" t="inlineStr">
        <is>
          <t>ALACAKLAR - GRUP İÇİ ŞİRKETLER</t>
        </is>
      </c>
      <c r="C553" s="40" t="inlineStr">
        <is>
          <t>TRY</t>
        </is>
      </c>
      <c r="E553" s="38" t="n">
        <v>1437844.97</v>
      </c>
      <c r="F553" s="38" t="n">
        <v>2282192.3</v>
      </c>
      <c r="G553" s="38" t="n">
        <v>-844347.33</v>
      </c>
      <c r="I553" s="38" t="n">
        <v>105518.34</v>
      </c>
      <c r="J553" s="38" t="n">
        <v>43014</v>
      </c>
      <c r="K553" s="38" t="n">
        <v>62504.34</v>
      </c>
    </row>
    <row r="554" s="34">
      <c r="A554" s="40" t="inlineStr">
        <is>
          <t>120.01.04.G001</t>
        </is>
      </c>
      <c r="B554" s="40" t="inlineStr">
        <is>
          <t>Gitaş Turizm Tic.İnş.Taah.Ve San.A.Ş.</t>
        </is>
      </c>
      <c r="C554" s="40" t="inlineStr">
        <is>
          <t>TRY</t>
        </is>
      </c>
      <c r="D554" s="40" t="inlineStr">
        <is>
          <t>ROYAL ADAM EVE</t>
        </is>
      </c>
      <c r="E554" s="38" t="n">
        <v>42801.6</v>
      </c>
      <c r="F554" s="38" t="n">
        <v>2282138.3</v>
      </c>
      <c r="G554" s="38" t="n">
        <v>-2239336.7</v>
      </c>
      <c r="H554" s="40" t="inlineStr">
        <is>
          <t>Alacak</t>
        </is>
      </c>
      <c r="I554" s="38" t="n">
        <v>42801.6</v>
      </c>
      <c r="J554" s="38" t="n">
        <v>42960</v>
      </c>
      <c r="K554" s="38" t="n">
        <v>-158.4</v>
      </c>
      <c r="L554" s="40" t="inlineStr">
        <is>
          <t>Alacak</t>
        </is>
      </c>
    </row>
    <row r="555" s="34">
      <c r="A555" s="40" t="inlineStr">
        <is>
          <t>120.01.04.G001</t>
        </is>
      </c>
      <c r="B555" s="40" t="inlineStr">
        <is>
          <t>Gitaş Turizm Tic.İnş.Taah.Ve San.A.Ş.</t>
        </is>
      </c>
      <c r="C555" s="40" t="inlineStr">
        <is>
          <t>TRY</t>
        </is>
      </c>
      <c r="D555" s="40" t="inlineStr">
        <is>
          <t>ROYAL HOLIDAY</t>
        </is>
      </c>
      <c r="E555" s="38" t="n">
        <v>37130.4</v>
      </c>
      <c r="F555" s="38" t="n">
        <v>0</v>
      </c>
      <c r="G555" s="38" t="n">
        <v>37130.4</v>
      </c>
      <c r="H555" s="40" t="inlineStr">
        <is>
          <t>Borç</t>
        </is>
      </c>
      <c r="I555" s="38" t="n">
        <v>37130.4</v>
      </c>
      <c r="J555" s="38" t="n">
        <v>0</v>
      </c>
      <c r="K555" s="38" t="n">
        <v>37130.4</v>
      </c>
      <c r="L555" s="40" t="inlineStr">
        <is>
          <t>Borç</t>
        </is>
      </c>
    </row>
    <row r="556" s="34">
      <c r="A556" s="40" t="inlineStr">
        <is>
          <t>120.01.04.R002</t>
        </is>
      </c>
      <c r="B556" s="40" t="inlineStr">
        <is>
          <t>Rt Enerji Turizm San.Ve Tic.A.Ş.</t>
        </is>
      </c>
      <c r="C556" s="40" t="inlineStr">
        <is>
          <t>TRY</t>
        </is>
      </c>
      <c r="D556" s="40" t="inlineStr">
        <is>
          <t>SERTAŞ MERKEZ</t>
        </is>
      </c>
      <c r="E556" s="38" t="n">
        <v>0</v>
      </c>
      <c r="F556" s="38" t="n">
        <v>54</v>
      </c>
      <c r="G556" s="38" t="n">
        <v>-54</v>
      </c>
      <c r="H556" s="40" t="inlineStr">
        <is>
          <t>Alacak</t>
        </is>
      </c>
      <c r="I556" s="38" t="n">
        <v>0</v>
      </c>
      <c r="J556" s="38" t="n">
        <v>54</v>
      </c>
      <c r="K556" s="38" t="n">
        <v>-54</v>
      </c>
      <c r="L556" s="40" t="inlineStr">
        <is>
          <t>Alacak</t>
        </is>
      </c>
    </row>
    <row r="557" s="34">
      <c r="A557" s="40" t="inlineStr">
        <is>
          <t>120.01.04.S002</t>
        </is>
      </c>
      <c r="B557" s="40" t="inlineStr">
        <is>
          <t>Sertaş Turizm Yatırım Ve İşl. A.Ş.</t>
        </is>
      </c>
      <c r="C557" s="40" t="inlineStr">
        <is>
          <t>TRY</t>
        </is>
      </c>
      <c r="D557" s="40" t="inlineStr">
        <is>
          <t>ROYAL HOLIDAY</t>
        </is>
      </c>
      <c r="E557" s="38" t="n">
        <v>488620.48</v>
      </c>
      <c r="F557" s="38" t="n">
        <v>0</v>
      </c>
      <c r="G557" s="38" t="n">
        <v>488620.48</v>
      </c>
      <c r="H557" s="40" t="inlineStr">
        <is>
          <t>Borç</t>
        </is>
      </c>
      <c r="I557" s="38" t="n">
        <v>9178.200000000001</v>
      </c>
      <c r="J557" s="38" t="n">
        <v>0</v>
      </c>
      <c r="K557" s="38" t="n">
        <v>9178.200000000001</v>
      </c>
      <c r="L557" s="40" t="inlineStr">
        <is>
          <t>Borç</t>
        </is>
      </c>
    </row>
    <row r="558" s="34">
      <c r="A558" s="40" t="inlineStr">
        <is>
          <t>120.01.04.S002</t>
        </is>
      </c>
      <c r="B558" s="40" t="inlineStr">
        <is>
          <t>Sertaş Turizm Yatırım Ve İşl. A.Ş.</t>
        </is>
      </c>
      <c r="C558" s="40" t="inlineStr">
        <is>
          <t>TRY</t>
        </is>
      </c>
      <c r="D558" s="40" t="inlineStr">
        <is>
          <t>ROYAL SEGINUS</t>
        </is>
      </c>
      <c r="E558" s="38" t="n">
        <v>869292.49</v>
      </c>
      <c r="F558" s="38" t="n">
        <v>0</v>
      </c>
      <c r="G558" s="38" t="n">
        <v>869292.49</v>
      </c>
      <c r="H558" s="40" t="inlineStr">
        <is>
          <t>Borç</t>
        </is>
      </c>
      <c r="I558" s="38" t="n">
        <v>16408.14</v>
      </c>
      <c r="J558" s="38" t="n">
        <v>0</v>
      </c>
      <c r="K558" s="38" t="n">
        <v>16408.14</v>
      </c>
      <c r="L558" s="40" t="inlineStr">
        <is>
          <t>Borç</t>
        </is>
      </c>
    </row>
    <row r="559" s="34">
      <c r="A559" s="40" t="inlineStr">
        <is>
          <t>120.01.06</t>
        </is>
      </c>
      <c r="B559" s="40" t="inlineStr">
        <is>
          <t>ALACAKLAR - OTEL KİRACILARI</t>
        </is>
      </c>
      <c r="C559" s="40" t="inlineStr">
        <is>
          <t>TRY</t>
        </is>
      </c>
      <c r="E559" s="38" t="n">
        <v>2234969.13</v>
      </c>
      <c r="F559" s="38" t="n">
        <v>2312763.42</v>
      </c>
      <c r="G559" s="38" t="n">
        <v>-77794.28999999999</v>
      </c>
      <c r="I559" s="38" t="n">
        <v>354153.66</v>
      </c>
      <c r="J559" s="38" t="n">
        <v>101037.19</v>
      </c>
      <c r="K559" s="38" t="n">
        <v>253116.47</v>
      </c>
    </row>
    <row r="560" s="34">
      <c r="A560" s="40" t="inlineStr">
        <is>
          <t>120.01.06.A003</t>
        </is>
      </c>
      <c r="B560" s="40" t="inlineStr">
        <is>
          <t>Arif Demirel</t>
        </is>
      </c>
      <c r="C560" s="40" t="inlineStr">
        <is>
          <t>EUR</t>
        </is>
      </c>
      <c r="D560" s="40" t="inlineStr">
        <is>
          <t>ROYAL SEGINUS</t>
        </is>
      </c>
      <c r="E560" s="38" t="n">
        <v>434606.4</v>
      </c>
      <c r="F560" s="38" t="n">
        <v>1044447.74</v>
      </c>
      <c r="G560" s="38" t="n">
        <v>-609841.34</v>
      </c>
      <c r="H560" s="40" t="inlineStr">
        <is>
          <t>Alacak</t>
        </is>
      </c>
      <c r="I560" s="38" t="n">
        <v>8402.51</v>
      </c>
      <c r="J560" s="38" t="n">
        <v>23684.14</v>
      </c>
      <c r="K560" s="38" t="n">
        <v>-15281.63</v>
      </c>
      <c r="L560" s="40" t="inlineStr">
        <is>
          <t>Alacak</t>
        </is>
      </c>
    </row>
    <row r="561" s="34">
      <c r="A561" s="40" t="inlineStr">
        <is>
          <t>120.01.06.A010</t>
        </is>
      </c>
      <c r="B561" s="40" t="inlineStr">
        <is>
          <t>Arif Demirel</t>
        </is>
      </c>
      <c r="C561" s="40" t="inlineStr">
        <is>
          <t>EUR</t>
        </is>
      </c>
      <c r="D561" s="40" t="inlineStr">
        <is>
          <t>ROYAL SEGINUS</t>
        </is>
      </c>
      <c r="E561" s="38" t="n">
        <v>1044447.74</v>
      </c>
      <c r="F561" s="38" t="n">
        <v>434606.4</v>
      </c>
      <c r="G561" s="38" t="n">
        <v>609841.34</v>
      </c>
      <c r="H561" s="40" t="inlineStr">
        <is>
          <t>Borç</t>
        </is>
      </c>
      <c r="I561" s="38" t="n">
        <v>23684.14</v>
      </c>
      <c r="J561" s="38" t="n">
        <v>8402.51</v>
      </c>
      <c r="K561" s="38" t="n">
        <v>15281.63</v>
      </c>
      <c r="L561" s="40" t="inlineStr">
        <is>
          <t>Borç</t>
        </is>
      </c>
    </row>
    <row r="562" s="34">
      <c r="A562" s="40" t="inlineStr">
        <is>
          <t>120.01.06.B001</t>
        </is>
      </c>
      <c r="B562" s="40" t="inlineStr">
        <is>
          <t>Berkin Ülker</t>
        </is>
      </c>
      <c r="C562" s="40" t="inlineStr">
        <is>
          <t>EUR</t>
        </is>
      </c>
      <c r="D562" s="40" t="inlineStr">
        <is>
          <t>ROYAL ADAM EVE</t>
        </is>
      </c>
      <c r="E562" s="38" t="n">
        <v>0</v>
      </c>
      <c r="F562" s="38" t="n">
        <v>256261.44</v>
      </c>
      <c r="G562" s="38" t="n">
        <v>-256261.44</v>
      </c>
      <c r="H562" s="40" t="inlineStr">
        <is>
          <t>Alacak</t>
        </is>
      </c>
      <c r="I562" s="38" t="n">
        <v>0</v>
      </c>
      <c r="J562" s="38" t="n">
        <v>4800</v>
      </c>
      <c r="K562" s="38" t="n">
        <v>-4800</v>
      </c>
      <c r="L562" s="40" t="inlineStr">
        <is>
          <t>Alacak</t>
        </is>
      </c>
    </row>
    <row r="563" s="34">
      <c r="A563" s="40" t="inlineStr">
        <is>
          <t>120.01.06.B003</t>
        </is>
      </c>
      <c r="B563" s="40" t="inlineStr">
        <is>
          <t>Bekir Kurt</t>
        </is>
      </c>
      <c r="C563" s="40" t="inlineStr">
        <is>
          <t>EUR</t>
        </is>
      </c>
      <c r="D563" s="40" t="inlineStr">
        <is>
          <t>ROYAL ALHAMBRA</t>
        </is>
      </c>
      <c r="E563" s="38" t="n">
        <v>15398.9</v>
      </c>
      <c r="F563" s="38" t="n">
        <v>0</v>
      </c>
      <c r="G563" s="38" t="n">
        <v>15398.9</v>
      </c>
      <c r="H563" s="40" t="inlineStr">
        <is>
          <t>Borç</t>
        </is>
      </c>
      <c r="I563" s="38" t="n">
        <v>15398.9</v>
      </c>
      <c r="J563" s="38" t="n">
        <v>0</v>
      </c>
      <c r="K563" s="38" t="n">
        <v>15398.9</v>
      </c>
      <c r="L563" s="40" t="inlineStr">
        <is>
          <t>Borç</t>
        </is>
      </c>
    </row>
    <row r="564" s="34">
      <c r="A564" s="40" t="inlineStr">
        <is>
          <t>120.01.06.E011</t>
        </is>
      </c>
      <c r="B564" s="40" t="inlineStr">
        <is>
          <t>Erkan Beydoğan /Beydoğan Foto Center</t>
        </is>
      </c>
      <c r="C564" s="40" t="inlineStr">
        <is>
          <t>EUR</t>
        </is>
      </c>
      <c r="D564" s="40" t="inlineStr">
        <is>
          <t>ROYAL DRAGON</t>
        </is>
      </c>
      <c r="E564" s="38" t="n">
        <v>4825.41</v>
      </c>
      <c r="F564" s="38" t="n">
        <v>0</v>
      </c>
      <c r="G564" s="38" t="n">
        <v>4825.41</v>
      </c>
      <c r="H564" s="40" t="inlineStr">
        <is>
          <t>Borç</t>
        </is>
      </c>
      <c r="I564" s="38" t="n">
        <v>94.09</v>
      </c>
      <c r="J564" s="38" t="n">
        <v>0</v>
      </c>
      <c r="K564" s="38" t="n">
        <v>94.09</v>
      </c>
      <c r="L564" s="40" t="inlineStr">
        <is>
          <t>Borç</t>
        </is>
      </c>
    </row>
    <row r="565" s="34">
      <c r="A565" s="40" t="inlineStr">
        <is>
          <t>120.01.06.F009</t>
        </is>
      </c>
      <c r="B565" s="40" t="inlineStr">
        <is>
          <t>Filiz Serdar</t>
        </is>
      </c>
      <c r="C565" s="40" t="inlineStr">
        <is>
          <t>EUR</t>
        </is>
      </c>
      <c r="D565" s="40" t="inlineStr">
        <is>
          <t>ROYAL ALHAMBRA</t>
        </is>
      </c>
      <c r="E565" s="38" t="n">
        <v>1161.93</v>
      </c>
      <c r="F565" s="38" t="n">
        <v>0</v>
      </c>
      <c r="G565" s="38" t="n">
        <v>1161.93</v>
      </c>
      <c r="H565" s="40" t="inlineStr">
        <is>
          <t>Borç</t>
        </is>
      </c>
      <c r="I565" s="38" t="n">
        <v>1161.93</v>
      </c>
      <c r="J565" s="38" t="n">
        <v>0</v>
      </c>
      <c r="K565" s="38" t="n">
        <v>1161.93</v>
      </c>
      <c r="L565" s="40" t="inlineStr">
        <is>
          <t>Borç</t>
        </is>
      </c>
    </row>
    <row r="566" s="34">
      <c r="A566" s="40" t="inlineStr">
        <is>
          <t>120.01.06.G004</t>
        </is>
      </c>
      <c r="B566" s="40" t="inlineStr">
        <is>
          <t>Göksu Özdemir</t>
        </is>
      </c>
      <c r="C566" s="40" t="inlineStr">
        <is>
          <t>EUR</t>
        </is>
      </c>
      <c r="D566" s="40" t="inlineStr">
        <is>
          <t>ROYAL HOLIDAY</t>
        </is>
      </c>
      <c r="E566" s="38" t="n">
        <v>9566.719999999999</v>
      </c>
      <c r="F566" s="38" t="n">
        <v>4807.4</v>
      </c>
      <c r="G566" s="38" t="n">
        <v>4759.32</v>
      </c>
      <c r="H566" s="40" t="inlineStr">
        <is>
          <t>Borç</t>
        </is>
      </c>
      <c r="I566" s="38" t="n">
        <v>180</v>
      </c>
      <c r="J566" s="38" t="n">
        <v>90</v>
      </c>
      <c r="K566" s="38" t="n">
        <v>90</v>
      </c>
      <c r="L566" s="40" t="inlineStr">
        <is>
          <t>Borç</t>
        </is>
      </c>
    </row>
    <row r="567" s="34">
      <c r="A567" s="40" t="inlineStr">
        <is>
          <t>120.01.06.G004</t>
        </is>
      </c>
      <c r="B567" s="40" t="inlineStr">
        <is>
          <t>Göksu Özdemir</t>
        </is>
      </c>
      <c r="C567" s="40" t="inlineStr">
        <is>
          <t>EUR</t>
        </is>
      </c>
      <c r="D567" s="40" t="inlineStr">
        <is>
          <t>SERTAŞ MERKEZ</t>
        </is>
      </c>
      <c r="E567" s="38" t="n">
        <v>4807.4</v>
      </c>
      <c r="F567" s="38" t="n">
        <v>4807.4</v>
      </c>
      <c r="G567" s="38" t="n">
        <v>0</v>
      </c>
      <c r="I567" s="38" t="n">
        <v>90</v>
      </c>
      <c r="J567" s="38" t="n">
        <v>90</v>
      </c>
      <c r="K567" s="38" t="n">
        <v>0</v>
      </c>
    </row>
    <row r="568" s="34">
      <c r="A568" s="40" t="inlineStr">
        <is>
          <t>120.01.06.G005</t>
        </is>
      </c>
      <c r="B568" s="40" t="inlineStr">
        <is>
          <t>Günyapı Market İzolas.Hır.Ltd.Şti.</t>
        </is>
      </c>
      <c r="C568" s="40" t="inlineStr">
        <is>
          <t>EUR</t>
        </is>
      </c>
      <c r="D568" s="40" t="inlineStr">
        <is>
          <t>ROYAL HOLIDAY</t>
        </is>
      </c>
      <c r="E568" s="38" t="n">
        <v>24123.47</v>
      </c>
      <c r="F568" s="38" t="n">
        <v>24123.47</v>
      </c>
      <c r="G568" s="38" t="n">
        <v>0</v>
      </c>
      <c r="I568" s="38" t="n">
        <v>450</v>
      </c>
      <c r="J568" s="38" t="n">
        <v>450</v>
      </c>
      <c r="K568" s="38" t="n">
        <v>0</v>
      </c>
    </row>
    <row r="569" s="34">
      <c r="A569" s="40" t="inlineStr">
        <is>
          <t>120.01.06.G005</t>
        </is>
      </c>
      <c r="B569" s="40" t="inlineStr">
        <is>
          <t>Günyapı Market İzolas.Hır.Ltd.Şti.</t>
        </is>
      </c>
      <c r="C569" s="40" t="inlineStr">
        <is>
          <t>EUR</t>
        </is>
      </c>
      <c r="D569" s="40" t="inlineStr">
        <is>
          <t>SERTAŞ MERKEZ</t>
        </is>
      </c>
      <c r="E569" s="38" t="n">
        <v>24123.47</v>
      </c>
      <c r="F569" s="38" t="n">
        <v>24123.47</v>
      </c>
      <c r="G569" s="38" t="n">
        <v>0</v>
      </c>
      <c r="I569" s="38" t="n">
        <v>450</v>
      </c>
      <c r="J569" s="38" t="n">
        <v>450</v>
      </c>
      <c r="K569" s="38" t="n">
        <v>0</v>
      </c>
    </row>
    <row r="570" s="34">
      <c r="A570" s="40" t="inlineStr">
        <is>
          <t>120.01.06.G009</t>
        </is>
      </c>
      <c r="B570" s="40" t="inlineStr">
        <is>
          <t>Gürsel Gökalp</t>
        </is>
      </c>
      <c r="C570" s="40" t="inlineStr">
        <is>
          <t>EUR</t>
        </is>
      </c>
      <c r="D570" s="40" t="inlineStr">
        <is>
          <t>ROYAL DRAGON</t>
        </is>
      </c>
      <c r="E570" s="38" t="n">
        <v>4783.37</v>
      </c>
      <c r="F570" s="38" t="n">
        <v>0</v>
      </c>
      <c r="G570" s="38" t="n">
        <v>4783.37</v>
      </c>
      <c r="H570" s="40" t="inlineStr">
        <is>
          <t>Borç</t>
        </is>
      </c>
      <c r="I570" s="38" t="n">
        <v>90.48999999999999</v>
      </c>
      <c r="J570" s="38" t="n">
        <v>0</v>
      </c>
      <c r="K570" s="38" t="n">
        <v>90.48999999999999</v>
      </c>
      <c r="L570" s="40" t="inlineStr">
        <is>
          <t>Borç</t>
        </is>
      </c>
    </row>
    <row r="571" s="34">
      <c r="A571" s="40" t="inlineStr">
        <is>
          <t>120.01.06.H006</t>
        </is>
      </c>
      <c r="B571" s="40" t="inlineStr">
        <is>
          <t>Hüseyin Türker</t>
        </is>
      </c>
      <c r="C571" s="40" t="inlineStr">
        <is>
          <t>EUR</t>
        </is>
      </c>
      <c r="D571" s="40" t="inlineStr">
        <is>
          <t>ROYAL ALHAMBRA</t>
        </is>
      </c>
      <c r="E571" s="38" t="n">
        <v>7747.39</v>
      </c>
      <c r="F571" s="38" t="n">
        <v>0</v>
      </c>
      <c r="G571" s="38" t="n">
        <v>7747.39</v>
      </c>
      <c r="H571" s="40" t="inlineStr">
        <is>
          <t>Borç</t>
        </is>
      </c>
      <c r="I571" s="38" t="n">
        <v>7747.39</v>
      </c>
      <c r="J571" s="38" t="n">
        <v>0</v>
      </c>
      <c r="K571" s="38" t="n">
        <v>7747.39</v>
      </c>
      <c r="L571" s="40" t="inlineStr">
        <is>
          <t>Borç</t>
        </is>
      </c>
    </row>
    <row r="572" s="34">
      <c r="A572" s="40" t="inlineStr">
        <is>
          <t>120.01.06.H009</t>
        </is>
      </c>
      <c r="B572" s="40" t="inlineStr">
        <is>
          <t>Hasan Kırteke</t>
        </is>
      </c>
      <c r="C572" s="40" t="inlineStr">
        <is>
          <t>EUR</t>
        </is>
      </c>
      <c r="D572" s="40" t="inlineStr">
        <is>
          <t>ROYAL ALHAMBRA</t>
        </is>
      </c>
      <c r="E572" s="38" t="n">
        <v>12898.21</v>
      </c>
      <c r="F572" s="38" t="n">
        <v>0</v>
      </c>
      <c r="G572" s="38" t="n">
        <v>12898.21</v>
      </c>
      <c r="H572" s="40" t="inlineStr">
        <is>
          <t>Borç</t>
        </is>
      </c>
      <c r="I572" s="38" t="n">
        <v>8200.75</v>
      </c>
      <c r="J572" s="38" t="n">
        <v>0</v>
      </c>
      <c r="K572" s="38" t="n">
        <v>8200.75</v>
      </c>
      <c r="L572" s="40" t="inlineStr">
        <is>
          <t>Borç</t>
        </is>
      </c>
    </row>
    <row r="573" s="34">
      <c r="A573" s="40" t="inlineStr">
        <is>
          <t>120.01.06.H009</t>
        </is>
      </c>
      <c r="B573" s="40" t="inlineStr">
        <is>
          <t>Hasan Kırteke</t>
        </is>
      </c>
      <c r="C573" s="40" t="inlineStr">
        <is>
          <t>EUR</t>
        </is>
      </c>
      <c r="D573" s="40" t="inlineStr">
        <is>
          <t>ROYAL HOLIDAY</t>
        </is>
      </c>
      <c r="E573" s="38" t="n">
        <v>4783.37</v>
      </c>
      <c r="F573" s="38" t="n">
        <v>0</v>
      </c>
      <c r="G573" s="38" t="n">
        <v>4783.37</v>
      </c>
      <c r="H573" s="40" t="inlineStr">
        <is>
          <t>Borç</t>
        </is>
      </c>
      <c r="I573" s="38" t="n">
        <v>90</v>
      </c>
      <c r="J573" s="38" t="n">
        <v>0</v>
      </c>
      <c r="K573" s="38" t="n">
        <v>90</v>
      </c>
      <c r="L573" s="40" t="inlineStr">
        <is>
          <t>Borç</t>
        </is>
      </c>
    </row>
    <row r="574" s="34">
      <c r="A574" s="40" t="inlineStr">
        <is>
          <t>120.01.06.K005</t>
        </is>
      </c>
      <c r="B574" s="40" t="inlineStr">
        <is>
          <t>Kerasus Kuyumculuk /Turizm.Tic.Ltd.Şti</t>
        </is>
      </c>
      <c r="C574" s="40" t="inlineStr">
        <is>
          <t>EUR</t>
        </is>
      </c>
      <c r="D574" s="40" t="inlineStr">
        <is>
          <t>ROYAL ALHAMBRA</t>
        </is>
      </c>
      <c r="E574" s="38" t="n">
        <v>46090.28</v>
      </c>
      <c r="F574" s="38" t="n">
        <v>157929.9</v>
      </c>
      <c r="G574" s="38" t="n">
        <v>-111839.62</v>
      </c>
      <c r="H574" s="40" t="inlineStr">
        <is>
          <t>Alacak</t>
        </is>
      </c>
      <c r="I574" s="38" t="n">
        <v>46090.28</v>
      </c>
      <c r="J574" s="38" t="n">
        <v>3000</v>
      </c>
      <c r="K574" s="38" t="n">
        <v>43090.28</v>
      </c>
      <c r="L574" s="40" t="inlineStr">
        <is>
          <t>Borç</t>
        </is>
      </c>
    </row>
    <row r="575" s="34">
      <c r="A575" s="40" t="inlineStr">
        <is>
          <t>120.01.06.K007</t>
        </is>
      </c>
      <c r="B575" s="40" t="inlineStr">
        <is>
          <t>Korkmazlar Yönetim Danışmanlığı Ve Ener</t>
        </is>
      </c>
      <c r="C575" s="40" t="inlineStr">
        <is>
          <t>TRY</t>
        </is>
      </c>
      <c r="D575" s="40" t="inlineStr">
        <is>
          <t>SERTAŞ MERKEZ</t>
        </is>
      </c>
      <c r="E575" s="38" t="n">
        <v>0</v>
      </c>
      <c r="F575" s="38" t="n">
        <v>10800</v>
      </c>
      <c r="G575" s="38" t="n">
        <v>-10800</v>
      </c>
      <c r="H575" s="40" t="inlineStr">
        <is>
          <t>Alacak</t>
        </is>
      </c>
      <c r="I575" s="38" t="n">
        <v>0</v>
      </c>
      <c r="J575" s="38" t="n">
        <v>204.86</v>
      </c>
      <c r="K575" s="38" t="n">
        <v>-204.86</v>
      </c>
      <c r="L575" s="40" t="inlineStr">
        <is>
          <t>Alacak</t>
        </is>
      </c>
    </row>
    <row r="576" s="34">
      <c r="A576" s="40" t="inlineStr">
        <is>
          <t>120.01.06.M002</t>
        </is>
      </c>
      <c r="B576" s="40" t="inlineStr">
        <is>
          <t>Mahmut Orkun Tekin</t>
        </is>
      </c>
      <c r="C576" s="40" t="inlineStr">
        <is>
          <t>EUR</t>
        </is>
      </c>
      <c r="D576" s="40" t="inlineStr">
        <is>
          <t>ROYAL HOLIDAY</t>
        </is>
      </c>
      <c r="E576" s="38" t="n">
        <v>4783.37</v>
      </c>
      <c r="F576" s="38" t="n">
        <v>0</v>
      </c>
      <c r="G576" s="38" t="n">
        <v>4783.37</v>
      </c>
      <c r="H576" s="40" t="inlineStr">
        <is>
          <t>Borç</t>
        </is>
      </c>
      <c r="I576" s="38" t="n">
        <v>90</v>
      </c>
      <c r="J576" s="38" t="n">
        <v>0</v>
      </c>
      <c r="K576" s="38" t="n">
        <v>90</v>
      </c>
      <c r="L576" s="40" t="inlineStr">
        <is>
          <t>Borç</t>
        </is>
      </c>
    </row>
    <row r="577" s="34">
      <c r="A577" s="40" t="inlineStr">
        <is>
          <t>120.01.06.M011</t>
        </is>
      </c>
      <c r="B577" s="40" t="inlineStr">
        <is>
          <t>Mes-Ram Müh.Mim.Hizm.Foto.Turz.</t>
        </is>
      </c>
      <c r="C577" s="40" t="inlineStr">
        <is>
          <t>EUR</t>
        </is>
      </c>
      <c r="D577" s="40" t="inlineStr">
        <is>
          <t>GİTAŞ MERKEZ</t>
        </is>
      </c>
      <c r="E577" s="38" t="n">
        <v>9562.030000000001</v>
      </c>
      <c r="F577" s="38" t="n">
        <v>9562.030000000001</v>
      </c>
      <c r="G577" s="38" t="n">
        <v>0</v>
      </c>
      <c r="I577" s="38" t="n">
        <v>180</v>
      </c>
      <c r="J577" s="38" t="n">
        <v>180</v>
      </c>
      <c r="K577" s="38" t="n">
        <v>0</v>
      </c>
    </row>
    <row r="578" s="34">
      <c r="A578" s="40" t="inlineStr">
        <is>
          <t>120.01.06.M011</t>
        </is>
      </c>
      <c r="B578" s="40" t="inlineStr">
        <is>
          <t>Mes-Ram Müh.Mim.Hizm.Foto.Turz.</t>
        </is>
      </c>
      <c r="C578" s="40" t="inlineStr">
        <is>
          <t>EUR</t>
        </is>
      </c>
      <c r="D578" s="40" t="inlineStr">
        <is>
          <t>ROYAL ALHAMBRA</t>
        </is>
      </c>
      <c r="E578" s="38" t="n">
        <v>19133.46</v>
      </c>
      <c r="F578" s="38" t="n">
        <v>9561.99</v>
      </c>
      <c r="G578" s="38" t="n">
        <v>9571.469999999999</v>
      </c>
      <c r="H578" s="40" t="inlineStr">
        <is>
          <t>Borç</t>
        </is>
      </c>
      <c r="I578" s="38" t="n">
        <v>359.13</v>
      </c>
      <c r="J578" s="38" t="n">
        <v>180</v>
      </c>
      <c r="K578" s="38" t="n">
        <v>179.13</v>
      </c>
      <c r="L578" s="40" t="inlineStr">
        <is>
          <t>Borç</t>
        </is>
      </c>
    </row>
    <row r="579" s="34">
      <c r="A579" s="40" t="inlineStr">
        <is>
          <t>120.01.06.M015</t>
        </is>
      </c>
      <c r="B579" s="40" t="inlineStr">
        <is>
          <t>Mt Tur Acentası / Otelcılık Ve San.Paz.I</t>
        </is>
      </c>
      <c r="C579" s="40" t="inlineStr">
        <is>
          <t>EUR</t>
        </is>
      </c>
      <c r="D579" s="40" t="inlineStr">
        <is>
          <t>ROYAL ADAM EVE</t>
        </is>
      </c>
      <c r="E579" s="38" t="n">
        <v>4783.37</v>
      </c>
      <c r="F579" s="38" t="n">
        <v>0</v>
      </c>
      <c r="G579" s="38" t="n">
        <v>4783.37</v>
      </c>
      <c r="H579" s="40" t="inlineStr">
        <is>
          <t>Borç</t>
        </is>
      </c>
      <c r="I579" s="38" t="n">
        <v>90</v>
      </c>
      <c r="J579" s="38" t="n">
        <v>0</v>
      </c>
      <c r="K579" s="38" t="n">
        <v>90</v>
      </c>
      <c r="L579" s="40" t="inlineStr">
        <is>
          <t>Borç</t>
        </is>
      </c>
    </row>
    <row r="580" s="34">
      <c r="A580" s="40" t="inlineStr">
        <is>
          <t>120.01.06.M020</t>
        </is>
      </c>
      <c r="B580" s="40" t="inlineStr">
        <is>
          <t>Mustafa Cansız-Meç Kuaför</t>
        </is>
      </c>
      <c r="C580" s="40" t="inlineStr">
        <is>
          <t>EUR</t>
        </is>
      </c>
      <c r="D580" s="40" t="inlineStr">
        <is>
          <t>GİTAŞ MERKEZ</t>
        </is>
      </c>
      <c r="E580" s="38" t="n">
        <v>4781.02</v>
      </c>
      <c r="F580" s="38" t="n">
        <v>4781.02</v>
      </c>
      <c r="G580" s="38" t="n">
        <v>0</v>
      </c>
      <c r="I580" s="38" t="n">
        <v>90</v>
      </c>
      <c r="J580" s="38" t="n">
        <v>90</v>
      </c>
      <c r="K580" s="38" t="n">
        <v>0</v>
      </c>
    </row>
    <row r="581" s="34">
      <c r="A581" s="40" t="inlineStr">
        <is>
          <t>120.01.06.M020</t>
        </is>
      </c>
      <c r="B581" s="40" t="inlineStr">
        <is>
          <t>Mustafa Cansız-Meç Kuaför</t>
        </is>
      </c>
      <c r="C581" s="40" t="inlineStr">
        <is>
          <t>EUR</t>
        </is>
      </c>
      <c r="D581" s="40" t="inlineStr">
        <is>
          <t>ROYAL ALHAMBRA</t>
        </is>
      </c>
      <c r="E581" s="38" t="n">
        <v>9883.35</v>
      </c>
      <c r="F581" s="38" t="n">
        <v>4781.02</v>
      </c>
      <c r="G581" s="38" t="n">
        <v>5102.33</v>
      </c>
      <c r="H581" s="40" t="inlineStr">
        <is>
          <t>Borç</t>
        </is>
      </c>
      <c r="I581" s="38" t="n">
        <v>5185.53</v>
      </c>
      <c r="J581" s="38" t="n">
        <v>90</v>
      </c>
      <c r="K581" s="38" t="n">
        <v>5095.53</v>
      </c>
      <c r="L581" s="40" t="inlineStr">
        <is>
          <t>Borç</t>
        </is>
      </c>
    </row>
    <row r="582" s="34">
      <c r="A582" s="40" t="inlineStr">
        <is>
          <t>120.01.06.M025</t>
        </is>
      </c>
      <c r="B582" s="40" t="inlineStr">
        <is>
          <t>Manavgat Edıt Turizm Gıda Ins.Teks.Tic.S</t>
        </is>
      </c>
      <c r="C582" s="40" t="inlineStr">
        <is>
          <t>EUR</t>
        </is>
      </c>
      <c r="D582" s="40" t="inlineStr">
        <is>
          <t>ROYAL ALHAMBRA</t>
        </is>
      </c>
      <c r="E582" s="38" t="n">
        <v>5152.56</v>
      </c>
      <c r="F582" s="38" t="n">
        <v>0</v>
      </c>
      <c r="G582" s="38" t="n">
        <v>5152.56</v>
      </c>
      <c r="H582" s="40" t="inlineStr">
        <is>
          <t>Borç</t>
        </is>
      </c>
      <c r="I582" s="38" t="n">
        <v>5152.56</v>
      </c>
      <c r="J582" s="38" t="n">
        <v>0</v>
      </c>
      <c r="K582" s="38" t="n">
        <v>5152.56</v>
      </c>
      <c r="L582" s="40" t="inlineStr">
        <is>
          <t>Borç</t>
        </is>
      </c>
    </row>
    <row r="583" s="34">
      <c r="A583" s="40" t="inlineStr">
        <is>
          <t>120.01.06.M026</t>
        </is>
      </c>
      <c r="B583" s="40" t="inlineStr">
        <is>
          <t>Met Ka Kuyumculuk Tur.İnş.San Ve Tic.Lt</t>
        </is>
      </c>
      <c r="C583" s="40" t="inlineStr">
        <is>
          <t>EUR</t>
        </is>
      </c>
      <c r="D583" s="40" t="inlineStr">
        <is>
          <t>ROYAL DRAGON</t>
        </is>
      </c>
      <c r="E583" s="38" t="n">
        <v>4827.29</v>
      </c>
      <c r="F583" s="38" t="n">
        <v>0</v>
      </c>
      <c r="G583" s="38" t="n">
        <v>4827.29</v>
      </c>
      <c r="H583" s="40" t="inlineStr">
        <is>
          <t>Borç</t>
        </is>
      </c>
      <c r="I583" s="38" t="n">
        <v>93.81</v>
      </c>
      <c r="J583" s="38" t="n">
        <v>0</v>
      </c>
      <c r="K583" s="38" t="n">
        <v>93.81</v>
      </c>
      <c r="L583" s="40" t="inlineStr">
        <is>
          <t>Borç</t>
        </is>
      </c>
    </row>
    <row r="584" s="34">
      <c r="A584" s="40" t="inlineStr">
        <is>
          <t>120.01.06.M027</t>
        </is>
      </c>
      <c r="B584" s="40" t="inlineStr">
        <is>
          <t xml:space="preserve">Mehmet Çelenk </t>
        </is>
      </c>
      <c r="C584" s="40" t="inlineStr">
        <is>
          <t>EUR</t>
        </is>
      </c>
      <c r="D584" s="40" t="inlineStr">
        <is>
          <t>ROYAL ADAM EVE</t>
        </is>
      </c>
      <c r="E584" s="38" t="n">
        <v>195760.13</v>
      </c>
      <c r="F584" s="38" t="n">
        <v>195760.13</v>
      </c>
      <c r="G584" s="38" t="n">
        <v>0</v>
      </c>
      <c r="I584" s="38" t="n">
        <v>3709.68</v>
      </c>
      <c r="J584" s="38" t="n">
        <v>3709.68</v>
      </c>
      <c r="K584" s="38" t="n">
        <v>0</v>
      </c>
    </row>
    <row r="585" s="34">
      <c r="A585" s="40" t="inlineStr">
        <is>
          <t>120.01.06.N004</t>
        </is>
      </c>
      <c r="B585" s="40" t="inlineStr">
        <is>
          <t>Nfn Tekstil Gıda Otomotiv Turizm Taşımacılık İnş.Fotoğrafçılık Kuy.Reklamcılık San.Ve Tic.Ltd.Şti.</t>
        </is>
      </c>
      <c r="C585" s="40" t="inlineStr">
        <is>
          <t>EUR</t>
        </is>
      </c>
      <c r="D585" s="40" t="inlineStr">
        <is>
          <t>GİTAŞ MERKEZ</t>
        </is>
      </c>
      <c r="E585" s="38" t="n">
        <v>9612.76</v>
      </c>
      <c r="F585" s="38" t="n">
        <v>9612.76</v>
      </c>
      <c r="G585" s="38" t="n">
        <v>0</v>
      </c>
      <c r="I585" s="38" t="n">
        <v>180</v>
      </c>
      <c r="J585" s="38" t="n">
        <v>180</v>
      </c>
      <c r="K585" s="38" t="n">
        <v>0</v>
      </c>
    </row>
    <row r="586" s="34">
      <c r="A586" s="40" t="inlineStr">
        <is>
          <t>120.01.06.N004</t>
        </is>
      </c>
      <c r="B586" s="40" t="inlineStr">
        <is>
          <t>Nfn Tekstil Gıda Otomotiv Turizm Taşımacılık İnş.Fotoğrafçılık Kuy.Reklamcılık San.Ve Tic.Ltd.Şti.</t>
        </is>
      </c>
      <c r="C586" s="40" t="inlineStr">
        <is>
          <t>EUR</t>
        </is>
      </c>
      <c r="D586" s="40" t="inlineStr">
        <is>
          <t>ROYAL DRAGON</t>
        </is>
      </c>
      <c r="E586" s="38" t="n">
        <v>19135.24</v>
      </c>
      <c r="F586" s="38" t="n">
        <v>9612.76</v>
      </c>
      <c r="G586" s="38" t="n">
        <v>9522.48</v>
      </c>
      <c r="H586" s="40" t="inlineStr">
        <is>
          <t>Borç</t>
        </is>
      </c>
      <c r="I586" s="38" t="n">
        <v>19135.24</v>
      </c>
      <c r="J586" s="38" t="n">
        <v>180</v>
      </c>
      <c r="K586" s="38" t="n">
        <v>18955.24</v>
      </c>
      <c r="L586" s="40" t="inlineStr">
        <is>
          <t>Borç</t>
        </is>
      </c>
    </row>
    <row r="587" s="34">
      <c r="A587" s="40" t="inlineStr">
        <is>
          <t>120.01.06.N006</t>
        </is>
      </c>
      <c r="B587" s="40" t="inlineStr">
        <is>
          <t>Nilüfer Acar</t>
        </is>
      </c>
      <c r="C587" s="40" t="inlineStr">
        <is>
          <t>EUR</t>
        </is>
      </c>
      <c r="D587" s="40" t="inlineStr">
        <is>
          <t>ROYAL ALHAMBRA</t>
        </is>
      </c>
      <c r="E587" s="38" t="n">
        <v>1568.13</v>
      </c>
      <c r="F587" s="38" t="n">
        <v>0</v>
      </c>
      <c r="G587" s="38" t="n">
        <v>1568.13</v>
      </c>
      <c r="H587" s="40" t="inlineStr">
        <is>
          <t>Borç</t>
        </is>
      </c>
      <c r="I587" s="38" t="n">
        <v>1568.13</v>
      </c>
      <c r="J587" s="38" t="n">
        <v>0</v>
      </c>
      <c r="K587" s="38" t="n">
        <v>1568.13</v>
      </c>
      <c r="L587" s="40" t="inlineStr">
        <is>
          <t>Borç</t>
        </is>
      </c>
    </row>
    <row r="588" s="34">
      <c r="A588" s="40" t="inlineStr">
        <is>
          <t>120.01.06.N011</t>
        </is>
      </c>
      <c r="B588" s="40" t="inlineStr">
        <is>
          <t>Nurullah Isık</t>
        </is>
      </c>
      <c r="C588" s="40" t="inlineStr">
        <is>
          <t>EUR</t>
        </is>
      </c>
      <c r="D588" s="40" t="inlineStr">
        <is>
          <t>ROYAL ADAM EVE</t>
        </is>
      </c>
      <c r="E588" s="38" t="n">
        <v>23916.83</v>
      </c>
      <c r="F588" s="38" t="n">
        <v>4794.91</v>
      </c>
      <c r="G588" s="38" t="n">
        <v>19121.92</v>
      </c>
      <c r="H588" s="40" t="inlineStr">
        <is>
          <t>Borç</t>
        </is>
      </c>
      <c r="I588" s="38" t="n">
        <v>450</v>
      </c>
      <c r="J588" s="38" t="n">
        <v>90</v>
      </c>
      <c r="K588" s="38" t="n">
        <v>360</v>
      </c>
      <c r="L588" s="40" t="inlineStr">
        <is>
          <t>Borç</t>
        </is>
      </c>
    </row>
    <row r="589" s="34">
      <c r="A589" s="40" t="inlineStr">
        <is>
          <t>120.01.06.O001</t>
        </is>
      </c>
      <c r="B589" s="40" t="inlineStr">
        <is>
          <t>Omida Optik /Turizm San.Ve Tic.Ltd.Şti</t>
        </is>
      </c>
      <c r="C589" s="40" t="inlineStr">
        <is>
          <t>EUR</t>
        </is>
      </c>
      <c r="D589" s="40" t="inlineStr">
        <is>
          <t>ROYAL ADAM EVE</t>
        </is>
      </c>
      <c r="E589" s="38" t="n">
        <v>4783.37</v>
      </c>
      <c r="F589" s="38" t="n">
        <v>0</v>
      </c>
      <c r="G589" s="38" t="n">
        <v>4783.37</v>
      </c>
      <c r="H589" s="40" t="inlineStr">
        <is>
          <t>Borç</t>
        </is>
      </c>
      <c r="I589" s="38" t="n">
        <v>90</v>
      </c>
      <c r="J589" s="38" t="n">
        <v>0</v>
      </c>
      <c r="K589" s="38" t="n">
        <v>90</v>
      </c>
      <c r="L589" s="40" t="inlineStr">
        <is>
          <t>Borç</t>
        </is>
      </c>
    </row>
    <row r="590" s="34">
      <c r="A590" s="40" t="inlineStr">
        <is>
          <t>120.01.06.R001</t>
        </is>
      </c>
      <c r="B590" s="40" t="inlineStr">
        <is>
          <t>Ramazan Dönmez/Palas Butik</t>
        </is>
      </c>
      <c r="C590" s="40" t="inlineStr">
        <is>
          <t>EUR</t>
        </is>
      </c>
      <c r="D590" s="40" t="inlineStr">
        <is>
          <t>ROYAL ALHAMBRA</t>
        </is>
      </c>
      <c r="E590" s="38" t="n">
        <v>28689.25</v>
      </c>
      <c r="F590" s="38" t="n">
        <v>0</v>
      </c>
      <c r="G590" s="38" t="n">
        <v>28689.25</v>
      </c>
      <c r="H590" s="40" t="inlineStr">
        <is>
          <t>Borç</t>
        </is>
      </c>
      <c r="I590" s="38" t="n">
        <v>23991.79</v>
      </c>
      <c r="J590" s="38" t="n">
        <v>0</v>
      </c>
      <c r="K590" s="38" t="n">
        <v>23991.79</v>
      </c>
      <c r="L590" s="40" t="inlineStr">
        <is>
          <t>Borç</t>
        </is>
      </c>
    </row>
    <row r="591" s="34">
      <c r="A591" s="40" t="inlineStr">
        <is>
          <t>120.01.06.S007</t>
        </is>
      </c>
      <c r="B591" s="40" t="inlineStr">
        <is>
          <t>Sedat/Göne Doğa Sağlık Klubü</t>
        </is>
      </c>
      <c r="C591" s="40" t="inlineStr">
        <is>
          <t>EUR</t>
        </is>
      </c>
      <c r="D591" s="40" t="inlineStr">
        <is>
          <t>ROYAL ALHAMBRA</t>
        </is>
      </c>
      <c r="E591" s="38" t="n">
        <v>54266</v>
      </c>
      <c r="F591" s="38" t="n">
        <v>0</v>
      </c>
      <c r="G591" s="38" t="n">
        <v>54266</v>
      </c>
      <c r="H591" s="40" t="inlineStr">
        <is>
          <t>Borç</t>
        </is>
      </c>
      <c r="I591" s="38" t="n">
        <v>54266</v>
      </c>
      <c r="J591" s="38" t="n">
        <v>0</v>
      </c>
      <c r="K591" s="38" t="n">
        <v>54266</v>
      </c>
      <c r="L591" s="40" t="inlineStr">
        <is>
          <t>Borç</t>
        </is>
      </c>
    </row>
    <row r="592" s="34">
      <c r="A592" s="40" t="inlineStr">
        <is>
          <t>120.01.06.T004</t>
        </is>
      </c>
      <c r="B592" s="40" t="inlineStr">
        <is>
          <t>Tamara Safarova</t>
        </is>
      </c>
      <c r="C592" s="40" t="inlineStr">
        <is>
          <t>EUR</t>
        </is>
      </c>
      <c r="D592" s="40" t="inlineStr">
        <is>
          <t>ROYAL HOLIDAY</t>
        </is>
      </c>
      <c r="E592" s="38" t="n">
        <v>4787.46</v>
      </c>
      <c r="F592" s="38" t="n">
        <v>0</v>
      </c>
      <c r="G592" s="38" t="n">
        <v>4787.46</v>
      </c>
      <c r="H592" s="40" t="inlineStr">
        <is>
          <t>Borç</t>
        </is>
      </c>
      <c r="I592" s="38" t="n">
        <v>4787.46</v>
      </c>
      <c r="J592" s="38" t="n">
        <v>0</v>
      </c>
      <c r="K592" s="38" t="n">
        <v>4787.46</v>
      </c>
      <c r="L592" s="40" t="inlineStr">
        <is>
          <t>Borç</t>
        </is>
      </c>
    </row>
    <row r="593" s="34">
      <c r="A593" s="40" t="inlineStr">
        <is>
          <t>120.01.06.T004</t>
        </is>
      </c>
      <c r="B593" s="40" t="inlineStr">
        <is>
          <t>Tamara Safarova</t>
        </is>
      </c>
      <c r="C593" s="40" t="inlineStr">
        <is>
          <t>EUR</t>
        </is>
      </c>
      <c r="D593" s="40" t="inlineStr">
        <is>
          <t>ROYAL SEGINUS</t>
        </is>
      </c>
      <c r="E593" s="38" t="n">
        <v>4787.46</v>
      </c>
      <c r="F593" s="38" t="n">
        <v>0</v>
      </c>
      <c r="G593" s="38" t="n">
        <v>4787.46</v>
      </c>
      <c r="H593" s="40" t="inlineStr">
        <is>
          <t>Borç</t>
        </is>
      </c>
      <c r="I593" s="38" t="n">
        <v>90</v>
      </c>
      <c r="J593" s="38" t="n">
        <v>0</v>
      </c>
      <c r="K593" s="38" t="n">
        <v>90</v>
      </c>
      <c r="L593" s="40" t="inlineStr">
        <is>
          <t>Borç</t>
        </is>
      </c>
    </row>
    <row r="594" s="34">
      <c r="A594" s="40" t="inlineStr">
        <is>
          <t>120.01.06.T005</t>
        </is>
      </c>
      <c r="B594" s="40" t="inlineStr">
        <is>
          <t>Tuncay Koseoglu</t>
        </is>
      </c>
      <c r="C594" s="40" t="inlineStr">
        <is>
          <t>EUR</t>
        </is>
      </c>
      <c r="D594" s="40" t="inlineStr">
        <is>
          <t>ROYAL ALHAMBRA</t>
        </is>
      </c>
      <c r="E594" s="38" t="n">
        <v>57239.4</v>
      </c>
      <c r="F594" s="38" t="n">
        <v>54266</v>
      </c>
      <c r="G594" s="38" t="n">
        <v>2973.4</v>
      </c>
      <c r="H594" s="40" t="inlineStr">
        <is>
          <t>Borç</t>
        </is>
      </c>
      <c r="I594" s="38" t="n">
        <v>57239.4</v>
      </c>
      <c r="J594" s="38" t="n">
        <v>54266</v>
      </c>
      <c r="K594" s="38" t="n">
        <v>2973.4</v>
      </c>
      <c r="L594" s="40" t="inlineStr">
        <is>
          <t>Borç</t>
        </is>
      </c>
    </row>
    <row r="595" s="34">
      <c r="A595" s="40" t="inlineStr">
        <is>
          <t>120.01.06.U003</t>
        </is>
      </c>
      <c r="B595" s="40" t="inlineStr">
        <is>
          <t>Ünkü Turizm Yat.Hizm. İnş. Gıda Tar.Ve Tic.A.Ş.</t>
        </is>
      </c>
      <c r="C595" s="40" t="inlineStr">
        <is>
          <t>EUR</t>
        </is>
      </c>
      <c r="D595" s="40" t="inlineStr">
        <is>
          <t>ROYAL ALHAMBRA</t>
        </is>
      </c>
      <c r="E595" s="38" t="n">
        <v>39551.18</v>
      </c>
      <c r="F595" s="38" t="n">
        <v>0</v>
      </c>
      <c r="G595" s="38" t="n">
        <v>39551.18</v>
      </c>
      <c r="H595" s="40" t="inlineStr">
        <is>
          <t>Borç</t>
        </is>
      </c>
      <c r="I595" s="38" t="n">
        <v>39551.18</v>
      </c>
      <c r="J595" s="38" t="n">
        <v>0</v>
      </c>
      <c r="K595" s="38" t="n">
        <v>39551.18</v>
      </c>
      <c r="L595" s="40" t="inlineStr">
        <is>
          <t>Borç</t>
        </is>
      </c>
    </row>
    <row r="596" s="34">
      <c r="A596" s="40" t="inlineStr">
        <is>
          <t>120.01.06.U003</t>
        </is>
      </c>
      <c r="B596" s="40" t="inlineStr">
        <is>
          <t>Ünkü Turizm Yat.Hizm. İnş. Gıda Tar.Ve Tic.A.Ş.</t>
        </is>
      </c>
      <c r="C596" s="40" t="inlineStr">
        <is>
          <t>EUR</t>
        </is>
      </c>
      <c r="D596" s="40" t="inlineStr">
        <is>
          <t>ROYAL HOLIDAY</t>
        </is>
      </c>
      <c r="E596" s="38" t="n">
        <v>25632.41</v>
      </c>
      <c r="F596" s="38" t="n">
        <v>12865.85</v>
      </c>
      <c r="G596" s="38" t="n">
        <v>12766.56</v>
      </c>
      <c r="H596" s="40" t="inlineStr">
        <is>
          <t>Borç</t>
        </is>
      </c>
      <c r="I596" s="38" t="n">
        <v>13006.56</v>
      </c>
      <c r="J596" s="38" t="n">
        <v>240</v>
      </c>
      <c r="K596" s="38" t="n">
        <v>12766.56</v>
      </c>
      <c r="L596" s="40" t="inlineStr">
        <is>
          <t>Borç</t>
        </is>
      </c>
    </row>
    <row r="597" s="34">
      <c r="A597" s="40" t="inlineStr">
        <is>
          <t>120.01.06.U003</t>
        </is>
      </c>
      <c r="B597" s="40" t="inlineStr">
        <is>
          <t>Ünkü Turizm Yat.Hizm. İnş. Gıda Tar.Ve Tic.A.Ş.</t>
        </is>
      </c>
      <c r="C597" s="40" t="inlineStr">
        <is>
          <t>EUR</t>
        </is>
      </c>
      <c r="D597" s="40" t="inlineStr">
        <is>
          <t>ROYAL SEGINUS</t>
        </is>
      </c>
      <c r="E597" s="38" t="n">
        <v>12784.25</v>
      </c>
      <c r="F597" s="38" t="n">
        <v>6401.03</v>
      </c>
      <c r="G597" s="38" t="n">
        <v>6383.22</v>
      </c>
      <c r="H597" s="40" t="inlineStr">
        <is>
          <t>Borç</t>
        </is>
      </c>
      <c r="I597" s="38" t="n">
        <v>239.41</v>
      </c>
      <c r="J597" s="38" t="n">
        <v>120</v>
      </c>
      <c r="K597" s="38" t="n">
        <v>119.41</v>
      </c>
      <c r="L597" s="40" t="inlineStr">
        <is>
          <t>Borç</t>
        </is>
      </c>
    </row>
    <row r="598" s="34">
      <c r="A598" s="40" t="inlineStr">
        <is>
          <t>120.01.06.U003</t>
        </is>
      </c>
      <c r="B598" s="40" t="inlineStr">
        <is>
          <t>Ünkü Turizm Yat.Hizm. İnş. Gıda Tar.Ve Tic.A.Ş.</t>
        </is>
      </c>
      <c r="C598" s="40" t="inlineStr">
        <is>
          <t>EUR</t>
        </is>
      </c>
      <c r="D598" s="40" t="inlineStr">
        <is>
          <t>SERTAŞ MERKEZ</t>
        </is>
      </c>
      <c r="E598" s="38" t="n">
        <v>19266.88</v>
      </c>
      <c r="F598" s="38" t="n">
        <v>19266.88</v>
      </c>
      <c r="G598" s="38" t="n">
        <v>0</v>
      </c>
      <c r="I598" s="38" t="n">
        <v>360</v>
      </c>
      <c r="J598" s="38" t="n">
        <v>360</v>
      </c>
      <c r="K598" s="38" t="n">
        <v>0</v>
      </c>
    </row>
    <row r="599" s="34">
      <c r="A599" s="40" t="inlineStr">
        <is>
          <t>120.01.06.Y003</t>
        </is>
      </c>
      <c r="B599" s="40" t="inlineStr">
        <is>
          <t>Yaz Pazarlama Ltd.Şti./Oyun-Bovling Salo</t>
        </is>
      </c>
      <c r="C599" s="40" t="inlineStr">
        <is>
          <t>EUR</t>
        </is>
      </c>
      <c r="D599" s="40" t="inlineStr">
        <is>
          <t>GİTAŞ MERKEZ</t>
        </is>
      </c>
      <c r="E599" s="38" t="n">
        <v>4794.91</v>
      </c>
      <c r="F599" s="38" t="n">
        <v>4794.91</v>
      </c>
      <c r="G599" s="38" t="n">
        <v>0</v>
      </c>
      <c r="I599" s="38" t="n">
        <v>90</v>
      </c>
      <c r="J599" s="38" t="n">
        <v>90</v>
      </c>
      <c r="K599" s="38" t="n">
        <v>0</v>
      </c>
    </row>
    <row r="600" s="34">
      <c r="A600" s="40" t="inlineStr">
        <is>
          <t>120.01.06.Y003</t>
        </is>
      </c>
      <c r="B600" s="40" t="inlineStr">
        <is>
          <t>Yaz Pazarlama Ltd.Şti./Oyun-Bovling Salo</t>
        </is>
      </c>
      <c r="C600" s="40" t="inlineStr">
        <is>
          <t>EUR</t>
        </is>
      </c>
      <c r="D600" s="40" t="inlineStr">
        <is>
          <t>ROYAL ADAM EVE</t>
        </is>
      </c>
      <c r="E600" s="38" t="n">
        <v>4787.46</v>
      </c>
      <c r="F600" s="38" t="n">
        <v>0</v>
      </c>
      <c r="G600" s="38" t="n">
        <v>4787.46</v>
      </c>
      <c r="H600" s="40" t="inlineStr">
        <is>
          <t>Borç</t>
        </is>
      </c>
      <c r="I600" s="38" t="n">
        <v>90</v>
      </c>
      <c r="J600" s="38" t="n">
        <v>0</v>
      </c>
      <c r="K600" s="38" t="n">
        <v>90</v>
      </c>
      <c r="L600" s="40" t="inlineStr">
        <is>
          <t>Borç</t>
        </is>
      </c>
    </row>
    <row r="601" s="34">
      <c r="A601" s="40" t="inlineStr">
        <is>
          <t>120.01.06.Y003</t>
        </is>
      </c>
      <c r="B601" s="40" t="inlineStr">
        <is>
          <t>Yaz Pazarlama Ltd.Şti./Oyun-Bovling Salo</t>
        </is>
      </c>
      <c r="C601" s="40" t="inlineStr">
        <is>
          <t>EUR</t>
        </is>
      </c>
      <c r="D601" s="40" t="inlineStr">
        <is>
          <t>ROYAL ALHAMBRA</t>
        </is>
      </c>
      <c r="E601" s="38" t="n">
        <v>11757.3</v>
      </c>
      <c r="F601" s="38" t="n">
        <v>0</v>
      </c>
      <c r="G601" s="38" t="n">
        <v>11757.3</v>
      </c>
      <c r="H601" s="40" t="inlineStr">
        <is>
          <t>Borç</t>
        </is>
      </c>
      <c r="I601" s="38" t="n">
        <v>11757.3</v>
      </c>
      <c r="J601" s="38" t="n">
        <v>0</v>
      </c>
      <c r="K601" s="38" t="n">
        <v>11757.3</v>
      </c>
      <c r="L601" s="40" t="inlineStr">
        <is>
          <t>Borç</t>
        </is>
      </c>
    </row>
    <row r="602" s="34">
      <c r="A602" s="40" t="inlineStr">
        <is>
          <t>120.01.06.Y003</t>
        </is>
      </c>
      <c r="B602" s="40" t="inlineStr">
        <is>
          <t>Yaz Pazarlama Ltd.Şti./Oyun-Bovling Salo</t>
        </is>
      </c>
      <c r="C602" s="40" t="inlineStr">
        <is>
          <t>EUR</t>
        </is>
      </c>
      <c r="D602" s="40" t="inlineStr">
        <is>
          <t>ROYAL DRAGON</t>
        </is>
      </c>
      <c r="E602" s="38" t="n">
        <v>4794.83</v>
      </c>
      <c r="F602" s="38" t="n">
        <v>4794.91</v>
      </c>
      <c r="G602" s="38" t="n">
        <v>-0.08</v>
      </c>
      <c r="H602" s="40" t="inlineStr">
        <is>
          <t>Alacak</t>
        </is>
      </c>
      <c r="I602" s="38" t="n">
        <v>90</v>
      </c>
      <c r="J602" s="38" t="n">
        <v>90</v>
      </c>
      <c r="K602" s="38" t="n">
        <v>0</v>
      </c>
    </row>
    <row r="603" s="34">
      <c r="A603" s="40" t="inlineStr">
        <is>
          <t>120.01.06.Z002</t>
        </is>
      </c>
      <c r="B603" s="40" t="inlineStr">
        <is>
          <t>Zeki Telatar/ Illia Shtatskyi</t>
        </is>
      </c>
      <c r="C603" s="40" t="inlineStr">
        <is>
          <t>EUR</t>
        </is>
      </c>
      <c r="D603" s="40" t="inlineStr">
        <is>
          <t>ROYAL HOLIDAY</t>
        </is>
      </c>
      <c r="E603" s="38" t="n">
        <v>4783.37</v>
      </c>
      <c r="F603" s="38" t="n">
        <v>0</v>
      </c>
      <c r="G603" s="38" t="n">
        <v>4783.37</v>
      </c>
      <c r="H603" s="40" t="inlineStr">
        <is>
          <t>Borç</t>
        </is>
      </c>
      <c r="I603" s="38" t="n">
        <v>90</v>
      </c>
      <c r="J603" s="38" t="n">
        <v>0</v>
      </c>
      <c r="K603" s="38" t="n">
        <v>90</v>
      </c>
      <c r="L603" s="40" t="inlineStr">
        <is>
          <t>Borç</t>
        </is>
      </c>
    </row>
    <row r="604" s="34">
      <c r="A604" s="40" t="inlineStr">
        <is>
          <t>120.01.07</t>
        </is>
      </c>
      <c r="B604" s="40" t="inlineStr">
        <is>
          <t>ALACAKLAR - AVM KİRACILARI</t>
        </is>
      </c>
      <c r="C604" s="40" t="inlineStr">
        <is>
          <t>TRY</t>
        </is>
      </c>
      <c r="E604" s="38" t="n">
        <v>0</v>
      </c>
      <c r="F604" s="38" t="n">
        <v>806772</v>
      </c>
      <c r="G604" s="38" t="n">
        <v>-806772</v>
      </c>
      <c r="I604" s="38" t="n">
        <v>0</v>
      </c>
      <c r="J604" s="38" t="n">
        <v>14920</v>
      </c>
      <c r="K604" s="38" t="n">
        <v>-14920</v>
      </c>
    </row>
    <row r="605" s="34">
      <c r="A605" s="40" t="inlineStr">
        <is>
          <t>120.01.07.M002</t>
        </is>
      </c>
      <c r="B605" s="40" t="inlineStr">
        <is>
          <t>Mehmet Serkan Gülmez</t>
        </is>
      </c>
      <c r="C605" s="40" t="inlineStr">
        <is>
          <t>EUR</t>
        </is>
      </c>
      <c r="D605" s="40" t="inlineStr">
        <is>
          <t>STONE ÇARŞI</t>
        </is>
      </c>
      <c r="E605" s="38" t="n">
        <v>0</v>
      </c>
      <c r="F605" s="38" t="n">
        <v>590772</v>
      </c>
      <c r="G605" s="38" t="n">
        <v>-590772</v>
      </c>
      <c r="H605" s="40" t="inlineStr">
        <is>
          <t>Alacak</t>
        </is>
      </c>
      <c r="I605" s="38" t="n">
        <v>0</v>
      </c>
      <c r="J605" s="38" t="n">
        <v>10920</v>
      </c>
      <c r="K605" s="38" t="n">
        <v>-10920</v>
      </c>
      <c r="L605" s="40" t="inlineStr">
        <is>
          <t>Alacak</t>
        </is>
      </c>
    </row>
    <row r="606" s="34">
      <c r="A606" s="40" t="inlineStr">
        <is>
          <t>120.01.07.N003</t>
        </is>
      </c>
      <c r="B606" s="40" t="inlineStr">
        <is>
          <t>Nerda Şahin / Consept Fashıon</t>
        </is>
      </c>
      <c r="C606" s="40" t="inlineStr">
        <is>
          <t>EUR</t>
        </is>
      </c>
      <c r="D606" s="40" t="inlineStr">
        <is>
          <t>SERTAŞ MERKEZ</t>
        </is>
      </c>
      <c r="E606" s="38" t="n">
        <v>0</v>
      </c>
      <c r="F606" s="38" t="n">
        <v>216000</v>
      </c>
      <c r="G606" s="38" t="n">
        <v>-216000</v>
      </c>
      <c r="H606" s="40" t="inlineStr">
        <is>
          <t>Alacak</t>
        </is>
      </c>
      <c r="I606" s="38" t="n">
        <v>0</v>
      </c>
      <c r="J606" s="38" t="n">
        <v>4000</v>
      </c>
      <c r="K606" s="38" t="n">
        <v>-4000</v>
      </c>
      <c r="L606" s="40" t="inlineStr">
        <is>
          <t>Alacak</t>
        </is>
      </c>
    </row>
    <row r="607" s="34">
      <c r="A607" s="40" t="inlineStr">
        <is>
          <t>126</t>
        </is>
      </c>
      <c r="B607" s="40" t="inlineStr">
        <is>
          <t>VERİLEN DEPOZİTO VE TEMİNATLAR HESABI</t>
        </is>
      </c>
      <c r="C607" s="40" t="inlineStr">
        <is>
          <t>TRY</t>
        </is>
      </c>
      <c r="E607" s="38" t="n">
        <v>490300</v>
      </c>
      <c r="F607" s="38" t="n">
        <v>270400</v>
      </c>
      <c r="G607" s="38" t="n">
        <v>219900</v>
      </c>
      <c r="I607" s="38" t="n">
        <v>490300</v>
      </c>
      <c r="J607" s="38" t="n">
        <v>270400</v>
      </c>
      <c r="K607" s="38" t="n">
        <v>219900</v>
      </c>
    </row>
    <row r="608" s="34">
      <c r="A608" s="40" t="inlineStr">
        <is>
          <t>126.01</t>
        </is>
      </c>
      <c r="B608" s="40" t="inlineStr">
        <is>
          <t>DEPOZİTOLAR</t>
        </is>
      </c>
      <c r="C608" s="40" t="inlineStr">
        <is>
          <t>TRY</t>
        </is>
      </c>
      <c r="E608" s="38" t="n">
        <v>490300</v>
      </c>
      <c r="F608" s="38" t="n">
        <v>270400</v>
      </c>
      <c r="G608" s="38" t="n">
        <v>219900</v>
      </c>
      <c r="I608" s="38" t="n">
        <v>490300</v>
      </c>
      <c r="J608" s="38" t="n">
        <v>270400</v>
      </c>
      <c r="K608" s="38" t="n">
        <v>219900</v>
      </c>
    </row>
    <row r="609" s="34">
      <c r="A609" s="40" t="inlineStr">
        <is>
          <t>126.01.01</t>
        </is>
      </c>
      <c r="B609" s="40" t="inlineStr">
        <is>
          <t>DEPOZİTOLAR</t>
        </is>
      </c>
      <c r="C609" s="40" t="inlineStr">
        <is>
          <t>TRY</t>
        </is>
      </c>
      <c r="E609" s="38" t="n">
        <v>490300</v>
      </c>
      <c r="F609" s="38" t="n">
        <v>270400</v>
      </c>
      <c r="G609" s="38" t="n">
        <v>219900</v>
      </c>
      <c r="I609" s="38" t="n">
        <v>490300</v>
      </c>
      <c r="J609" s="38" t="n">
        <v>270400</v>
      </c>
      <c r="K609" s="38" t="n">
        <v>219900</v>
      </c>
    </row>
    <row r="610" s="34">
      <c r="A610" s="40" t="inlineStr">
        <is>
          <t>126.01.01.0001</t>
        </is>
      </c>
      <c r="B610" s="40" t="inlineStr">
        <is>
          <t>Fıçı Ve Damacana Depozitoları</t>
        </is>
      </c>
      <c r="C610" s="40" t="inlineStr">
        <is>
          <t>TRY</t>
        </is>
      </c>
      <c r="D610" s="40" t="inlineStr">
        <is>
          <t>ROYAL ADAM EVE</t>
        </is>
      </c>
      <c r="E610" s="38" t="n">
        <v>4000</v>
      </c>
      <c r="F610" s="38" t="n">
        <v>0</v>
      </c>
      <c r="G610" s="38" t="n">
        <v>4000</v>
      </c>
      <c r="H610" s="40" t="inlineStr">
        <is>
          <t>Borç</t>
        </is>
      </c>
      <c r="I610" s="38" t="n">
        <v>4000</v>
      </c>
      <c r="J610" s="38" t="n">
        <v>0</v>
      </c>
      <c r="K610" s="38" t="n">
        <v>4000</v>
      </c>
      <c r="L610" s="40" t="inlineStr">
        <is>
          <t>Borç</t>
        </is>
      </c>
    </row>
    <row r="611" s="34">
      <c r="A611" s="40" t="inlineStr">
        <is>
          <t>126.01.01.0001</t>
        </is>
      </c>
      <c r="B611" s="40" t="inlineStr">
        <is>
          <t>Fıçı Ve Damacana Depozitoları</t>
        </is>
      </c>
      <c r="C611" s="40" t="inlineStr">
        <is>
          <t>TRY</t>
        </is>
      </c>
      <c r="D611" s="40" t="inlineStr">
        <is>
          <t>ROYAL ALHAMBRA</t>
        </is>
      </c>
      <c r="E611" s="38" t="n">
        <v>68800</v>
      </c>
      <c r="F611" s="38" t="n">
        <v>0</v>
      </c>
      <c r="G611" s="38" t="n">
        <v>68800</v>
      </c>
      <c r="H611" s="40" t="inlineStr">
        <is>
          <t>Borç</t>
        </is>
      </c>
      <c r="I611" s="38" t="n">
        <v>68800</v>
      </c>
      <c r="J611" s="38" t="n">
        <v>0</v>
      </c>
      <c r="K611" s="38" t="n">
        <v>68800</v>
      </c>
      <c r="L611" s="40" t="inlineStr">
        <is>
          <t>Borç</t>
        </is>
      </c>
    </row>
    <row r="612" s="34">
      <c r="A612" s="40" t="inlineStr">
        <is>
          <t>126.01.01.0001</t>
        </is>
      </c>
      <c r="B612" s="40" t="inlineStr">
        <is>
          <t>Fıçı Ve Damacana Depozitoları</t>
        </is>
      </c>
      <c r="C612" s="40" t="inlineStr">
        <is>
          <t>TRY</t>
        </is>
      </c>
      <c r="D612" s="40" t="inlineStr">
        <is>
          <t>ROYAL DRAGON</t>
        </is>
      </c>
      <c r="E612" s="38" t="n">
        <v>13500</v>
      </c>
      <c r="F612" s="38" t="n">
        <v>200400</v>
      </c>
      <c r="G612" s="38" t="n">
        <v>-186900</v>
      </c>
      <c r="H612" s="40" t="inlineStr">
        <is>
          <t>Alacak</t>
        </is>
      </c>
      <c r="I612" s="38" t="n">
        <v>13500</v>
      </c>
      <c r="J612" s="38" t="n">
        <v>200400</v>
      </c>
      <c r="K612" s="38" t="n">
        <v>-186900</v>
      </c>
      <c r="L612" s="40" t="inlineStr">
        <is>
          <t>Alacak</t>
        </is>
      </c>
    </row>
    <row r="613" s="34">
      <c r="A613" s="40" t="inlineStr">
        <is>
          <t>126.01.01.0001</t>
        </is>
      </c>
      <c r="B613" s="40" t="inlineStr">
        <is>
          <t>Fıçı Ve Damacana Depozitoları</t>
        </is>
      </c>
      <c r="C613" s="40" t="inlineStr">
        <is>
          <t>TRY</t>
        </is>
      </c>
      <c r="D613" s="40" t="inlineStr">
        <is>
          <t>ROYAL HOLIDAY</t>
        </is>
      </c>
      <c r="E613" s="38" t="n">
        <v>335000</v>
      </c>
      <c r="F613" s="38" t="n">
        <v>0</v>
      </c>
      <c r="G613" s="38" t="n">
        <v>335000</v>
      </c>
      <c r="H613" s="40" t="inlineStr">
        <is>
          <t>Borç</t>
        </is>
      </c>
      <c r="I613" s="38" t="n">
        <v>335000</v>
      </c>
      <c r="J613" s="38" t="n">
        <v>0</v>
      </c>
      <c r="K613" s="38" t="n">
        <v>335000</v>
      </c>
      <c r="L613" s="40" t="inlineStr">
        <is>
          <t>Borç</t>
        </is>
      </c>
    </row>
    <row r="614" s="34">
      <c r="A614" s="40" t="inlineStr">
        <is>
          <t>126.01.01.0001</t>
        </is>
      </c>
      <c r="B614" s="40" t="inlineStr">
        <is>
          <t>Fıçı Ve Damacana Depozitoları</t>
        </is>
      </c>
      <c r="C614" s="40" t="inlineStr">
        <is>
          <t>TRY</t>
        </is>
      </c>
      <c r="D614" s="40" t="inlineStr">
        <is>
          <t>ROYAL SEGINUS</t>
        </is>
      </c>
      <c r="E614" s="38" t="n">
        <v>69000</v>
      </c>
      <c r="F614" s="38" t="n">
        <v>70000</v>
      </c>
      <c r="G614" s="38" t="n">
        <v>-1000</v>
      </c>
      <c r="H614" s="40" t="inlineStr">
        <is>
          <t>Alacak</t>
        </is>
      </c>
      <c r="I614" s="38" t="n">
        <v>69000</v>
      </c>
      <c r="J614" s="38" t="n">
        <v>70000</v>
      </c>
      <c r="K614" s="38" t="n">
        <v>-1000</v>
      </c>
      <c r="L614" s="40" t="inlineStr">
        <is>
          <t>Alacak</t>
        </is>
      </c>
    </row>
    <row r="615" s="34">
      <c r="A615" s="40" t="inlineStr">
        <is>
          <t>127</t>
        </is>
      </c>
      <c r="B615" s="40" t="inlineStr">
        <is>
          <t>DİĞER TİCARİ ALACAKLAR</t>
        </is>
      </c>
      <c r="C615" s="40" t="inlineStr">
        <is>
          <t>TRY</t>
        </is>
      </c>
      <c r="E615" s="38" t="n">
        <v>2210000</v>
      </c>
      <c r="F615" s="38" t="n">
        <v>0</v>
      </c>
      <c r="G615" s="38" t="n">
        <v>2210000</v>
      </c>
      <c r="I615" s="38" t="n">
        <v>2210000</v>
      </c>
      <c r="J615" s="38" t="n">
        <v>0</v>
      </c>
      <c r="K615" s="38" t="n">
        <v>2210000</v>
      </c>
    </row>
    <row r="616" s="34">
      <c r="A616" s="40" t="inlineStr">
        <is>
          <t>127.01</t>
        </is>
      </c>
      <c r="B616" s="40" t="inlineStr">
        <is>
          <t>DİĞER TİCARİ ALACAKLAR</t>
        </is>
      </c>
      <c r="C616" s="40" t="inlineStr">
        <is>
          <t>TRY</t>
        </is>
      </c>
      <c r="E616" s="38" t="n">
        <v>2210000</v>
      </c>
      <c r="F616" s="38" t="n">
        <v>0</v>
      </c>
      <c r="G616" s="38" t="n">
        <v>2210000</v>
      </c>
      <c r="I616" s="38" t="n">
        <v>2210000</v>
      </c>
      <c r="J616" s="38" t="n">
        <v>0</v>
      </c>
      <c r="K616" s="38" t="n">
        <v>2210000</v>
      </c>
    </row>
    <row r="617" s="34">
      <c r="A617" s="40" t="inlineStr">
        <is>
          <t>127.01.01</t>
        </is>
      </c>
      <c r="B617" s="40" t="inlineStr">
        <is>
          <t>DİĞER TİCARİ ALACAKLAR</t>
        </is>
      </c>
      <c r="C617" s="40" t="inlineStr">
        <is>
          <t>TRY</t>
        </is>
      </c>
      <c r="E617" s="38" t="n">
        <v>2210000</v>
      </c>
      <c r="F617" s="38" t="n">
        <v>0</v>
      </c>
      <c r="G617" s="38" t="n">
        <v>2210000</v>
      </c>
      <c r="I617" s="38" t="n">
        <v>2210000</v>
      </c>
      <c r="J617" s="38" t="n">
        <v>0</v>
      </c>
      <c r="K617" s="38" t="n">
        <v>2210000</v>
      </c>
    </row>
    <row r="618" s="34">
      <c r="A618" s="40" t="inlineStr">
        <is>
          <t>127.01.01.M005</t>
        </is>
      </c>
      <c r="B618" s="40" t="inlineStr">
        <is>
          <t>Mehmet Çetinkaya</t>
        </is>
      </c>
      <c r="C618" s="40" t="inlineStr">
        <is>
          <t>TRY</t>
        </is>
      </c>
      <c r="D618" s="40" t="inlineStr">
        <is>
          <t>STONE ÇARŞI</t>
        </is>
      </c>
      <c r="E618" s="38" t="n">
        <v>2210000</v>
      </c>
      <c r="F618" s="38" t="n">
        <v>0</v>
      </c>
      <c r="G618" s="38" t="n">
        <v>2210000</v>
      </c>
      <c r="H618" s="40" t="inlineStr">
        <is>
          <t>Borç</t>
        </is>
      </c>
      <c r="I618" s="38" t="n">
        <v>2210000</v>
      </c>
      <c r="J618" s="38" t="n">
        <v>0</v>
      </c>
      <c r="K618" s="38" t="n">
        <v>2210000</v>
      </c>
      <c r="L618" s="40" t="inlineStr">
        <is>
          <t>Borç</t>
        </is>
      </c>
    </row>
    <row r="619" s="34">
      <c r="A619" s="40" t="inlineStr">
        <is>
          <t>13</t>
        </is>
      </c>
      <c r="B619" s="40" t="inlineStr">
        <is>
          <t>DİĞER ALACAKLAR</t>
        </is>
      </c>
      <c r="C619" s="40" t="inlineStr">
        <is>
          <t>TRY</t>
        </is>
      </c>
      <c r="E619" s="38" t="n">
        <v>325373841.16</v>
      </c>
      <c r="F619" s="38" t="n">
        <v>3243715.13</v>
      </c>
      <c r="G619" s="38" t="n">
        <v>322130126.03</v>
      </c>
      <c r="I619" s="38" t="n">
        <v>105558760.74</v>
      </c>
      <c r="J619" s="38" t="n">
        <v>3243715.13</v>
      </c>
      <c r="K619" s="38" t="n">
        <v>102315045.61</v>
      </c>
    </row>
    <row r="620" s="34">
      <c r="A620" s="40" t="inlineStr">
        <is>
          <t>133</t>
        </is>
      </c>
      <c r="B620" s="40" t="inlineStr">
        <is>
          <t>BAĞLI ORTAKLIKLARDAN ALACAKLAR HESABI</t>
        </is>
      </c>
      <c r="C620" s="40" t="inlineStr">
        <is>
          <t>TRY</t>
        </is>
      </c>
      <c r="E620" s="38" t="n">
        <v>71432998.01000001</v>
      </c>
      <c r="F620" s="38" t="n">
        <v>0</v>
      </c>
      <c r="G620" s="38" t="n">
        <v>71432998.01000001</v>
      </c>
      <c r="I620" s="38" t="n">
        <v>71432998.01000001</v>
      </c>
      <c r="J620" s="38" t="n">
        <v>0</v>
      </c>
      <c r="K620" s="38" t="n">
        <v>71432998.01000001</v>
      </c>
    </row>
    <row r="621" s="34">
      <c r="A621" s="40" t="inlineStr">
        <is>
          <t>133.01</t>
        </is>
      </c>
      <c r="B621" s="40" t="inlineStr">
        <is>
          <t>BAĞLI ORTAKLIKLARDAN ALACAKLAR HESABI</t>
        </is>
      </c>
      <c r="C621" s="40" t="inlineStr">
        <is>
          <t>TRY</t>
        </is>
      </c>
      <c r="E621" s="38" t="n">
        <v>71432998.01000001</v>
      </c>
      <c r="F621" s="38" t="n">
        <v>0</v>
      </c>
      <c r="G621" s="38" t="n">
        <v>71432998.01000001</v>
      </c>
      <c r="I621" s="38" t="n">
        <v>71432998.01000001</v>
      </c>
      <c r="J621" s="38" t="n">
        <v>0</v>
      </c>
      <c r="K621" s="38" t="n">
        <v>71432998.01000001</v>
      </c>
    </row>
    <row r="622" s="34">
      <c r="A622" s="40" t="inlineStr">
        <is>
          <t>133.01.01</t>
        </is>
      </c>
      <c r="B622" s="40" t="inlineStr">
        <is>
          <t>BAĞLI ORTAKLIKLARDAN ALACAKLAR HESABI</t>
        </is>
      </c>
      <c r="C622" s="40" t="inlineStr">
        <is>
          <t>TRY</t>
        </is>
      </c>
      <c r="E622" s="38" t="n">
        <v>71432998.01000001</v>
      </c>
      <c r="F622" s="38" t="n">
        <v>0</v>
      </c>
      <c r="G622" s="38" t="n">
        <v>71432998.01000001</v>
      </c>
      <c r="I622" s="38" t="n">
        <v>71432998.01000001</v>
      </c>
      <c r="J622" s="38" t="n">
        <v>0</v>
      </c>
      <c r="K622" s="38" t="n">
        <v>71432998.01000001</v>
      </c>
    </row>
    <row r="623" s="34">
      <c r="A623" s="40" t="inlineStr">
        <is>
          <t>133.01.01.0001</t>
        </is>
      </c>
      <c r="B623" s="40" t="inlineStr">
        <is>
          <t>Tg Otelcilik İnş.Ve Turz.İşl.A.Ş.(TL)</t>
        </is>
      </c>
      <c r="C623" s="40" t="inlineStr">
        <is>
          <t>TRY</t>
        </is>
      </c>
      <c r="D623" s="40" t="inlineStr">
        <is>
          <t>SERTAŞ MERKEZ</t>
        </is>
      </c>
      <c r="E623" s="38" t="n">
        <v>71432998.01000001</v>
      </c>
      <c r="F623" s="38" t="n">
        <v>0</v>
      </c>
      <c r="G623" s="38" t="n">
        <v>71432998.01000001</v>
      </c>
      <c r="H623" s="40" t="inlineStr">
        <is>
          <t>Borç</t>
        </is>
      </c>
      <c r="I623" s="38" t="n">
        <v>71432998.01000001</v>
      </c>
      <c r="J623" s="38" t="n">
        <v>0</v>
      </c>
      <c r="K623" s="38" t="n">
        <v>71432998.01000001</v>
      </c>
      <c r="L623" s="40" t="inlineStr">
        <is>
          <t>Borç</t>
        </is>
      </c>
    </row>
    <row r="624" s="34">
      <c r="A624" s="40" t="inlineStr">
        <is>
          <t>136</t>
        </is>
      </c>
      <c r="B624" s="40" t="inlineStr">
        <is>
          <t>DİĞER ÇEŞİTLİ ALACAKLAR HESABI</t>
        </is>
      </c>
      <c r="C624" s="40" t="inlineStr">
        <is>
          <t>TRY</t>
        </is>
      </c>
      <c r="E624" s="38" t="n">
        <v>253940843.15</v>
      </c>
      <c r="F624" s="38" t="n">
        <v>3243715.13</v>
      </c>
      <c r="G624" s="38" t="n">
        <v>250697128.02</v>
      </c>
      <c r="I624" s="38" t="n">
        <v>34125762.73</v>
      </c>
      <c r="J624" s="38" t="n">
        <v>3243715.13</v>
      </c>
      <c r="K624" s="38" t="n">
        <v>30882047.6</v>
      </c>
    </row>
    <row r="625" s="34">
      <c r="A625" s="40" t="inlineStr">
        <is>
          <t>136.01</t>
        </is>
      </c>
      <c r="B625" s="40" t="inlineStr">
        <is>
          <t>DİĞER ÇEŞİTLİ ALACAKLAR HESABI</t>
        </is>
      </c>
      <c r="C625" s="40" t="inlineStr">
        <is>
          <t>TRY</t>
        </is>
      </c>
      <c r="E625" s="38" t="n">
        <v>253940843.15</v>
      </c>
      <c r="F625" s="38" t="n">
        <v>3243715.13</v>
      </c>
      <c r="G625" s="38" t="n">
        <v>250697128.02</v>
      </c>
      <c r="I625" s="38" t="n">
        <v>34125762.73</v>
      </c>
      <c r="J625" s="38" t="n">
        <v>3243715.13</v>
      </c>
      <c r="K625" s="38" t="n">
        <v>30882047.6</v>
      </c>
    </row>
    <row r="626" s="34">
      <c r="A626" s="40" t="inlineStr">
        <is>
          <t>136.01.03</t>
        </is>
      </c>
      <c r="B626" s="40" t="inlineStr">
        <is>
          <t>DİĞER ÇEŞİTLİ ALACAKLAR HESABI - İCRA DAİRELERİ</t>
        </is>
      </c>
      <c r="C626" s="40" t="inlineStr">
        <is>
          <t>TRY</t>
        </is>
      </c>
      <c r="E626" s="38" t="n">
        <v>1805434.76</v>
      </c>
      <c r="F626" s="38" t="n">
        <v>3243715.13</v>
      </c>
      <c r="G626" s="38" t="n">
        <v>-1438280.37</v>
      </c>
      <c r="I626" s="38" t="n">
        <v>1805434.76</v>
      </c>
      <c r="J626" s="38" t="n">
        <v>3243715.13</v>
      </c>
      <c r="K626" s="38" t="n">
        <v>-1438280.37</v>
      </c>
    </row>
    <row r="627" s="34">
      <c r="A627" s="40" t="inlineStr">
        <is>
          <t>136.01.03.A002</t>
        </is>
      </c>
      <c r="B627" s="40" t="inlineStr">
        <is>
          <t>Antalya Genel İcra Dairesi</t>
        </is>
      </c>
      <c r="C627" s="40" t="inlineStr">
        <is>
          <t>TRY</t>
        </is>
      </c>
      <c r="D627" s="40" t="inlineStr">
        <is>
          <t>ROYAL ADAM EVE</t>
        </is>
      </c>
      <c r="E627" s="38" t="n">
        <v>33104.52</v>
      </c>
      <c r="F627" s="38" t="n">
        <v>0</v>
      </c>
      <c r="G627" s="38" t="n">
        <v>33104.52</v>
      </c>
      <c r="H627" s="40" t="inlineStr">
        <is>
          <t>Borç</t>
        </is>
      </c>
      <c r="I627" s="38" t="n">
        <v>33104.52</v>
      </c>
      <c r="J627" s="38" t="n">
        <v>0</v>
      </c>
      <c r="K627" s="38" t="n">
        <v>33104.52</v>
      </c>
      <c r="L627" s="40" t="inlineStr">
        <is>
          <t>Borç</t>
        </is>
      </c>
    </row>
    <row r="628" s="34">
      <c r="A628" s="40" t="inlineStr">
        <is>
          <t>136.01.03.A002</t>
        </is>
      </c>
      <c r="B628" s="40" t="inlineStr">
        <is>
          <t>Antalya Genel İcra Dairesi</t>
        </is>
      </c>
      <c r="C628" s="40" t="inlineStr">
        <is>
          <t>TRY</t>
        </is>
      </c>
      <c r="D628" s="40" t="inlineStr">
        <is>
          <t>ROYAL SEGINUS</t>
        </is>
      </c>
      <c r="E628" s="38" t="n">
        <v>0</v>
      </c>
      <c r="F628" s="38" t="n">
        <v>1200000</v>
      </c>
      <c r="G628" s="38" t="n">
        <v>-1200000</v>
      </c>
      <c r="H628" s="40" t="inlineStr">
        <is>
          <t>Alacak</t>
        </is>
      </c>
      <c r="I628" s="38" t="n">
        <v>0</v>
      </c>
      <c r="J628" s="38" t="n">
        <v>1200000</v>
      </c>
      <c r="K628" s="38" t="n">
        <v>-1200000</v>
      </c>
      <c r="L628" s="40" t="inlineStr">
        <is>
          <t>Alacak</t>
        </is>
      </c>
    </row>
    <row r="629" s="34">
      <c r="A629" s="40" t="inlineStr">
        <is>
          <t>136.01.03.A002</t>
        </is>
      </c>
      <c r="B629" s="40" t="inlineStr">
        <is>
          <t>Antalya Genel İcra Dairesi</t>
        </is>
      </c>
      <c r="C629" s="40" t="inlineStr">
        <is>
          <t>TRY</t>
        </is>
      </c>
      <c r="D629" s="40" t="inlineStr">
        <is>
          <t>SERTAŞ MERKEZ</t>
        </is>
      </c>
      <c r="E629" s="38" t="n">
        <v>1278730.11</v>
      </c>
      <c r="F629" s="38" t="n">
        <v>875000</v>
      </c>
      <c r="G629" s="38" t="n">
        <v>403730.11</v>
      </c>
      <c r="H629" s="40" t="inlineStr">
        <is>
          <t>Borç</t>
        </is>
      </c>
      <c r="I629" s="38" t="n">
        <v>1278730.11</v>
      </c>
      <c r="J629" s="38" t="n">
        <v>875000</v>
      </c>
      <c r="K629" s="38" t="n">
        <v>403730.11</v>
      </c>
      <c r="L629" s="40" t="inlineStr">
        <is>
          <t>Borç</t>
        </is>
      </c>
    </row>
    <row r="630" s="34">
      <c r="A630" s="40" t="inlineStr">
        <is>
          <t>136.01.03.M007</t>
        </is>
      </c>
      <c r="B630" s="40" t="inlineStr">
        <is>
          <t>Manavgat İcra Dairesi</t>
        </is>
      </c>
      <c r="C630" s="40" t="inlineStr">
        <is>
          <t>TRY</t>
        </is>
      </c>
      <c r="D630" s="40" t="inlineStr">
        <is>
          <t>GİTAŞ MERKEZ</t>
        </is>
      </c>
      <c r="E630" s="38" t="n">
        <v>493600.13</v>
      </c>
      <c r="F630" s="38" t="n">
        <v>5115</v>
      </c>
      <c r="G630" s="38" t="n">
        <v>488485.13</v>
      </c>
      <c r="H630" s="40" t="inlineStr">
        <is>
          <t>Borç</t>
        </is>
      </c>
      <c r="I630" s="38" t="n">
        <v>493600.13</v>
      </c>
      <c r="J630" s="38" t="n">
        <v>5115</v>
      </c>
      <c r="K630" s="38" t="n">
        <v>488485.13</v>
      </c>
      <c r="L630" s="40" t="inlineStr">
        <is>
          <t>Borç</t>
        </is>
      </c>
    </row>
    <row r="631" s="34">
      <c r="A631" s="40" t="inlineStr">
        <is>
          <t>136.01.03.M007</t>
        </is>
      </c>
      <c r="B631" s="40" t="inlineStr">
        <is>
          <t>Manavgat İcra Dairesi</t>
        </is>
      </c>
      <c r="C631" s="40" t="inlineStr">
        <is>
          <t>TRY</t>
        </is>
      </c>
      <c r="D631" s="40" t="inlineStr">
        <is>
          <t>ROYAL DRAGON</t>
        </is>
      </c>
      <c r="E631" s="38" t="n">
        <v>0</v>
      </c>
      <c r="F631" s="38" t="n">
        <v>1163600.13</v>
      </c>
      <c r="G631" s="38" t="n">
        <v>-1163600.13</v>
      </c>
      <c r="H631" s="40" t="inlineStr">
        <is>
          <t>Alacak</t>
        </is>
      </c>
      <c r="I631" s="38" t="n">
        <v>0</v>
      </c>
      <c r="J631" s="38" t="n">
        <v>1163600.13</v>
      </c>
      <c r="K631" s="38" t="n">
        <v>-1163600.13</v>
      </c>
      <c r="L631" s="40" t="inlineStr">
        <is>
          <t>Alacak</t>
        </is>
      </c>
    </row>
    <row r="632" s="34">
      <c r="A632" s="40" t="inlineStr">
        <is>
          <t>136.01.04</t>
        </is>
      </c>
      <c r="B632" s="40" t="inlineStr">
        <is>
          <t>DİĞER ÇEŞİTLİ ALACAKLAR HESABI - GRUP İÇİ ŞİRKETLER</t>
        </is>
      </c>
      <c r="C632" s="40" t="inlineStr">
        <is>
          <t>TRY</t>
        </is>
      </c>
      <c r="E632" s="38" t="n">
        <v>252135408.39</v>
      </c>
      <c r="F632" s="38" t="n">
        <v>0</v>
      </c>
      <c r="G632" s="38" t="n">
        <v>252135408.39</v>
      </c>
      <c r="I632" s="38" t="n">
        <v>32320327.97</v>
      </c>
      <c r="J632" s="38" t="n">
        <v>0</v>
      </c>
      <c r="K632" s="38" t="n">
        <v>32320327.97</v>
      </c>
    </row>
    <row r="633" s="34">
      <c r="A633" s="40" t="inlineStr">
        <is>
          <t>136.01.04.G001</t>
        </is>
      </c>
      <c r="B633" s="40" t="inlineStr">
        <is>
          <t>Gitaş Turizm Tic.İnş.Taah.Ve San.A.Ş. - TL</t>
        </is>
      </c>
      <c r="C633" s="40" t="inlineStr">
        <is>
          <t>TRY</t>
        </is>
      </c>
      <c r="D633" s="40" t="inlineStr">
        <is>
          <t>ROYAL ADAM EVE</t>
        </is>
      </c>
      <c r="E633" s="38" t="n">
        <v>309604.83</v>
      </c>
      <c r="F633" s="38" t="n">
        <v>0</v>
      </c>
      <c r="G633" s="38" t="n">
        <v>309604.83</v>
      </c>
      <c r="H633" s="40" t="inlineStr">
        <is>
          <t>Borç</t>
        </is>
      </c>
      <c r="I633" s="38" t="n">
        <v>309604.83</v>
      </c>
      <c r="J633" s="38" t="n">
        <v>0</v>
      </c>
      <c r="K633" s="38" t="n">
        <v>309604.83</v>
      </c>
      <c r="L633" s="40" t="inlineStr">
        <is>
          <t>Borç</t>
        </is>
      </c>
    </row>
    <row r="634" s="34">
      <c r="A634" s="40" t="inlineStr">
        <is>
          <t>136.01.04.G002</t>
        </is>
      </c>
      <c r="B634" s="40" t="inlineStr">
        <is>
          <t>Gitaş Turizm Tic.İnş.Taah.Ve San.A.Ş. - Eur</t>
        </is>
      </c>
      <c r="C634" s="40" t="inlineStr">
        <is>
          <t>EUR</t>
        </is>
      </c>
      <c r="D634" s="40" t="inlineStr">
        <is>
          <t>ROYAL ADAM EVE</t>
        </is>
      </c>
      <c r="E634" s="38" t="n">
        <v>1112580.33</v>
      </c>
      <c r="F634" s="38" t="n">
        <v>0</v>
      </c>
      <c r="G634" s="38" t="n">
        <v>1112580.33</v>
      </c>
      <c r="H634" s="40" t="inlineStr">
        <is>
          <t>Borç</t>
        </is>
      </c>
      <c r="I634" s="38" t="n">
        <v>20988.28</v>
      </c>
      <c r="J634" s="38" t="n">
        <v>0</v>
      </c>
      <c r="K634" s="38" t="n">
        <v>20988.28</v>
      </c>
      <c r="L634" s="40" t="inlineStr">
        <is>
          <t>Borç</t>
        </is>
      </c>
    </row>
    <row r="635" s="34">
      <c r="A635" s="40" t="inlineStr">
        <is>
          <t>136.01.04.G002</t>
        </is>
      </c>
      <c r="B635" s="40" t="inlineStr">
        <is>
          <t>Gitaş Turizm Tic.İnş.Taah.Ve San.A.Ş. - Eur</t>
        </is>
      </c>
      <c r="C635" s="40" t="inlineStr">
        <is>
          <t>EUR</t>
        </is>
      </c>
      <c r="D635" s="40" t="inlineStr">
        <is>
          <t>ROYAL SEGINUS</t>
        </is>
      </c>
      <c r="E635" s="38" t="n">
        <v>32525.16</v>
      </c>
      <c r="F635" s="38" t="n">
        <v>0</v>
      </c>
      <c r="G635" s="38" t="n">
        <v>32525.16</v>
      </c>
      <c r="H635" s="40" t="inlineStr">
        <is>
          <t>Borç</t>
        </is>
      </c>
      <c r="I635" s="38" t="n">
        <v>612.27</v>
      </c>
      <c r="J635" s="38" t="n">
        <v>0</v>
      </c>
      <c r="K635" s="38" t="n">
        <v>612.27</v>
      </c>
      <c r="L635" s="40" t="inlineStr">
        <is>
          <t>Borç</t>
        </is>
      </c>
    </row>
    <row r="636" s="34">
      <c r="A636" s="40" t="inlineStr">
        <is>
          <t>136.01.04.G002</t>
        </is>
      </c>
      <c r="B636" s="40" t="inlineStr">
        <is>
          <t>Gitaş Turizm Tic.İnş.Taah.Ve San.A.Ş. - Eur</t>
        </is>
      </c>
      <c r="C636" s="40" t="inlineStr">
        <is>
          <t>EUR</t>
        </is>
      </c>
      <c r="D636" s="40" t="inlineStr">
        <is>
          <t>SERTAŞ MERKEZ</t>
        </is>
      </c>
      <c r="E636" s="38" t="n">
        <v>86428000</v>
      </c>
      <c r="F636" s="38" t="n">
        <v>0</v>
      </c>
      <c r="G636" s="38" t="n">
        <v>86428000</v>
      </c>
      <c r="H636" s="40" t="inlineStr">
        <is>
          <t>Borç</t>
        </is>
      </c>
      <c r="I636" s="38" t="n">
        <v>1624362.07</v>
      </c>
      <c r="J636" s="38" t="n">
        <v>0</v>
      </c>
      <c r="K636" s="38" t="n">
        <v>1624362.07</v>
      </c>
      <c r="L636" s="40" t="inlineStr">
        <is>
          <t>Borç</t>
        </is>
      </c>
    </row>
    <row r="637" s="34">
      <c r="A637" s="40" t="inlineStr">
        <is>
          <t>136.01.04.S001</t>
        </is>
      </c>
      <c r="B637" s="40" t="inlineStr">
        <is>
          <t>Sertaş Turizm Yatırım Ve İşl. A.Ş. - TL</t>
        </is>
      </c>
      <c r="C637" s="40" t="inlineStr">
        <is>
          <t>TRY</t>
        </is>
      </c>
      <c r="D637" s="40" t="inlineStr">
        <is>
          <t>GİTAŞ MERKEZ</t>
        </is>
      </c>
      <c r="E637" s="38" t="n">
        <v>6159067.04</v>
      </c>
      <c r="F637" s="38" t="n">
        <v>0</v>
      </c>
      <c r="G637" s="38" t="n">
        <v>6159067.04</v>
      </c>
      <c r="H637" s="40" t="inlineStr">
        <is>
          <t>Borç</t>
        </is>
      </c>
      <c r="I637" s="38" t="n">
        <v>6159067.04</v>
      </c>
      <c r="J637" s="38" t="n">
        <v>0</v>
      </c>
      <c r="K637" s="38" t="n">
        <v>6159067.04</v>
      </c>
      <c r="L637" s="40" t="inlineStr">
        <is>
          <t>Borç</t>
        </is>
      </c>
    </row>
    <row r="638" s="34">
      <c r="A638" s="40" t="inlineStr">
        <is>
          <t>136.01.04.S001</t>
        </is>
      </c>
      <c r="B638" s="40" t="inlineStr">
        <is>
          <t>Sertaş Turizm Yatırım Ve İşl. A.Ş. - TL</t>
        </is>
      </c>
      <c r="C638" s="40" t="inlineStr">
        <is>
          <t>TRY</t>
        </is>
      </c>
      <c r="D638" s="40" t="inlineStr">
        <is>
          <t>ROYAL ADAM EVE</t>
        </is>
      </c>
      <c r="E638" s="38" t="n">
        <v>19093345.32</v>
      </c>
      <c r="F638" s="38" t="n">
        <v>0</v>
      </c>
      <c r="G638" s="38" t="n">
        <v>19093345.32</v>
      </c>
      <c r="H638" s="40" t="inlineStr">
        <is>
          <t>Borç</t>
        </is>
      </c>
      <c r="I638" s="38" t="n">
        <v>19093345.32</v>
      </c>
      <c r="J638" s="38" t="n">
        <v>0</v>
      </c>
      <c r="K638" s="38" t="n">
        <v>19093345.32</v>
      </c>
      <c r="L638" s="40" t="inlineStr">
        <is>
          <t>Borç</t>
        </is>
      </c>
    </row>
    <row r="639" s="34">
      <c r="A639" s="40" t="inlineStr">
        <is>
          <t>136.01.04.S002</t>
        </is>
      </c>
      <c r="B639" s="40" t="inlineStr">
        <is>
          <t>Sertaş Turizm Yatırım Ve İşl. A.Ş. - Eur</t>
        </is>
      </c>
      <c r="C639" s="40" t="inlineStr">
        <is>
          <t>EUR</t>
        </is>
      </c>
      <c r="D639" s="40" t="inlineStr">
        <is>
          <t>GİTAŞ MERKEZ</t>
        </is>
      </c>
      <c r="E639" s="38" t="n">
        <v>136452214.22</v>
      </c>
      <c r="F639" s="38" t="n">
        <v>0</v>
      </c>
      <c r="G639" s="38" t="n">
        <v>136452214.22</v>
      </c>
      <c r="H639" s="40" t="inlineStr">
        <is>
          <t>Borç</t>
        </is>
      </c>
      <c r="I639" s="38" t="n">
        <v>2564276.67</v>
      </c>
      <c r="J639" s="38" t="n">
        <v>0</v>
      </c>
      <c r="K639" s="38" t="n">
        <v>2564276.67</v>
      </c>
      <c r="L639" s="40" t="inlineStr">
        <is>
          <t>Borç</t>
        </is>
      </c>
    </row>
    <row r="640" s="34">
      <c r="A640" s="40" t="inlineStr">
        <is>
          <t>136.01.04.T001</t>
        </is>
      </c>
      <c r="B640" s="40" t="inlineStr">
        <is>
          <t>Tg Otelcilik A.Ş.Yansıtılacak MaliyeTLer</t>
        </is>
      </c>
      <c r="C640" s="40" t="inlineStr">
        <is>
          <t>TRY</t>
        </is>
      </c>
      <c r="D640" s="40" t="inlineStr">
        <is>
          <t>GİTAŞ MERKEZ</t>
        </is>
      </c>
      <c r="E640" s="38" t="n">
        <v>2548071.49</v>
      </c>
      <c r="F640" s="38" t="n">
        <v>0</v>
      </c>
      <c r="G640" s="38" t="n">
        <v>2548071.49</v>
      </c>
      <c r="H640" s="40" t="inlineStr">
        <is>
          <t>Borç</t>
        </is>
      </c>
      <c r="I640" s="38" t="n">
        <v>2548071.49</v>
      </c>
      <c r="J640" s="38" t="n">
        <v>0</v>
      </c>
      <c r="K640" s="38" t="n">
        <v>2548071.49</v>
      </c>
      <c r="L640" s="40" t="inlineStr">
        <is>
          <t>Borç</t>
        </is>
      </c>
    </row>
    <row r="641" s="34">
      <c r="A641" s="40" t="inlineStr">
        <is>
          <t>15</t>
        </is>
      </c>
      <c r="B641" s="40" t="inlineStr">
        <is>
          <t>STOKLAR</t>
        </is>
      </c>
      <c r="C641" s="40" t="inlineStr">
        <is>
          <t>TRY</t>
        </is>
      </c>
      <c r="E641" s="38" t="n">
        <v>71250427.54000001</v>
      </c>
      <c r="F641" s="38" t="n">
        <v>404676.76</v>
      </c>
      <c r="G641" s="38" t="n">
        <v>70845750.78</v>
      </c>
      <c r="I641" s="38" t="n">
        <v>71154249.5</v>
      </c>
      <c r="J641" s="38" t="n">
        <v>296151.45</v>
      </c>
      <c r="K641" s="38" t="n">
        <v>70858098.05</v>
      </c>
    </row>
    <row r="642" s="34">
      <c r="A642" s="40" t="inlineStr">
        <is>
          <t>150</t>
        </is>
      </c>
      <c r="B642" s="40" t="inlineStr">
        <is>
          <t>İLK MADDE VE MALZEMELER</t>
        </is>
      </c>
      <c r="C642" s="40" t="inlineStr">
        <is>
          <t>TRY</t>
        </is>
      </c>
      <c r="E642" s="38" t="n">
        <v>71179122.31999999</v>
      </c>
      <c r="F642" s="38" t="n">
        <v>178755.53</v>
      </c>
      <c r="G642" s="38" t="n">
        <v>71000366.79000001</v>
      </c>
      <c r="I642" s="38" t="n">
        <v>71154249.48999999</v>
      </c>
      <c r="J642" s="38" t="n">
        <v>178755.53</v>
      </c>
      <c r="K642" s="38" t="n">
        <v>70975493.95999999</v>
      </c>
    </row>
    <row r="643" s="34">
      <c r="A643" s="40" t="inlineStr">
        <is>
          <t>150.01</t>
        </is>
      </c>
      <c r="B643" s="40" t="inlineStr">
        <is>
          <t>İLK MADDE VE MALZEMELER</t>
        </is>
      </c>
      <c r="C643" s="40" t="inlineStr">
        <is>
          <t>TRY</t>
        </is>
      </c>
      <c r="E643" s="38" t="n">
        <v>71179122.31999999</v>
      </c>
      <c r="F643" s="38" t="n">
        <v>178755.53</v>
      </c>
      <c r="G643" s="38" t="n">
        <v>71000366.79000001</v>
      </c>
      <c r="I643" s="38" t="n">
        <v>71154249.48999999</v>
      </c>
      <c r="J643" s="38" t="n">
        <v>178755.53</v>
      </c>
      <c r="K643" s="38" t="n">
        <v>70975493.95999999</v>
      </c>
    </row>
    <row r="644" s="34">
      <c r="A644" s="40" t="inlineStr">
        <is>
          <t>150.01.01</t>
        </is>
      </c>
      <c r="B644" s="40" t="inlineStr">
        <is>
          <t>YİYECEK MALZEME STOKLARI</t>
        </is>
      </c>
      <c r="C644" s="40" t="inlineStr">
        <is>
          <t>TRY</t>
        </is>
      </c>
      <c r="E644" s="38" t="n">
        <v>47177628.19</v>
      </c>
      <c r="F644" s="38" t="n">
        <v>28363.23</v>
      </c>
      <c r="G644" s="38" t="n">
        <v>47149264.96</v>
      </c>
      <c r="I644" s="38" t="n">
        <v>47155872.64</v>
      </c>
      <c r="J644" s="38" t="n">
        <v>28363.23</v>
      </c>
      <c r="K644" s="38" t="n">
        <v>47127509.41</v>
      </c>
    </row>
    <row r="645" s="34">
      <c r="A645" s="40" t="inlineStr">
        <is>
          <t>150.01.01.0001</t>
        </is>
      </c>
      <c r="B645" s="40" t="inlineStr">
        <is>
          <t>ETLer</t>
        </is>
      </c>
      <c r="C645" s="40" t="inlineStr">
        <is>
          <t>TRY</t>
        </is>
      </c>
      <c r="D645" s="40" t="inlineStr">
        <is>
          <t>ROYAL ADAM EVE</t>
        </is>
      </c>
      <c r="E645" s="38" t="n">
        <v>875893</v>
      </c>
      <c r="F645" s="38" t="n">
        <v>0</v>
      </c>
      <c r="G645" s="38" t="n">
        <v>875893</v>
      </c>
      <c r="H645" s="40" t="inlineStr">
        <is>
          <t>Borç</t>
        </is>
      </c>
      <c r="I645" s="38" t="n">
        <v>875893</v>
      </c>
      <c r="J645" s="38" t="n">
        <v>0</v>
      </c>
      <c r="K645" s="38" t="n">
        <v>875893</v>
      </c>
      <c r="L645" s="40" t="inlineStr">
        <is>
          <t>Borç</t>
        </is>
      </c>
    </row>
    <row r="646" s="34">
      <c r="A646" s="40" t="inlineStr">
        <is>
          <t>150.01.01.0001</t>
        </is>
      </c>
      <c r="B646" s="40" t="inlineStr">
        <is>
          <t>ETLer</t>
        </is>
      </c>
      <c r="C646" s="40" t="inlineStr">
        <is>
          <t>TRY</t>
        </is>
      </c>
      <c r="D646" s="40" t="inlineStr">
        <is>
          <t>ROYAL ALHAMBRA</t>
        </is>
      </c>
      <c r="E646" s="38" t="n">
        <v>4823763.94</v>
      </c>
      <c r="F646" s="38" t="n">
        <v>0</v>
      </c>
      <c r="G646" s="38" t="n">
        <v>4823763.94</v>
      </c>
      <c r="H646" s="40" t="inlineStr">
        <is>
          <t>Borç</t>
        </is>
      </c>
      <c r="I646" s="38" t="n">
        <v>4823763.94</v>
      </c>
      <c r="J646" s="38" t="n">
        <v>0</v>
      </c>
      <c r="K646" s="38" t="n">
        <v>4823763.94</v>
      </c>
      <c r="L646" s="40" t="inlineStr">
        <is>
          <t>Borç</t>
        </is>
      </c>
    </row>
    <row r="647" s="34">
      <c r="A647" s="40" t="inlineStr">
        <is>
          <t>150.01.01.0001</t>
        </is>
      </c>
      <c r="B647" s="40" t="inlineStr">
        <is>
          <t>ETLer</t>
        </is>
      </c>
      <c r="C647" s="40" t="inlineStr">
        <is>
          <t>TRY</t>
        </is>
      </c>
      <c r="D647" s="40" t="inlineStr">
        <is>
          <t>ROYAL DRAGON</t>
        </is>
      </c>
      <c r="E647" s="38" t="n">
        <v>3542333.79</v>
      </c>
      <c r="F647" s="38" t="n">
        <v>0</v>
      </c>
      <c r="G647" s="38" t="n">
        <v>3542333.79</v>
      </c>
      <c r="H647" s="40" t="inlineStr">
        <is>
          <t>Borç</t>
        </is>
      </c>
      <c r="I647" s="38" t="n">
        <v>3542333.79</v>
      </c>
      <c r="J647" s="38" t="n">
        <v>0</v>
      </c>
      <c r="K647" s="38" t="n">
        <v>3542333.79</v>
      </c>
      <c r="L647" s="40" t="inlineStr">
        <is>
          <t>Borç</t>
        </is>
      </c>
    </row>
    <row r="648" s="34">
      <c r="A648" s="40" t="inlineStr">
        <is>
          <t>150.01.01.0001</t>
        </is>
      </c>
      <c r="B648" s="40" t="inlineStr">
        <is>
          <t>ETLer</t>
        </is>
      </c>
      <c r="C648" s="40" t="inlineStr">
        <is>
          <t>TRY</t>
        </is>
      </c>
      <c r="D648" s="40" t="inlineStr">
        <is>
          <t>ROYAL HOLIDAY</t>
        </is>
      </c>
      <c r="E648" s="38" t="n">
        <v>5523853.64</v>
      </c>
      <c r="F648" s="38" t="n">
        <v>2970</v>
      </c>
      <c r="G648" s="38" t="n">
        <v>5520883.64</v>
      </c>
      <c r="H648" s="40" t="inlineStr">
        <is>
          <t>Borç</t>
        </is>
      </c>
      <c r="I648" s="38" t="n">
        <v>5520922.19</v>
      </c>
      <c r="J648" s="38" t="n">
        <v>2970</v>
      </c>
      <c r="K648" s="38" t="n">
        <v>5517952.19</v>
      </c>
      <c r="L648" s="40" t="inlineStr">
        <is>
          <t>Borç</t>
        </is>
      </c>
    </row>
    <row r="649" s="34">
      <c r="A649" s="40" t="inlineStr">
        <is>
          <t>150.01.01.0001</t>
        </is>
      </c>
      <c r="B649" s="40" t="inlineStr">
        <is>
          <t>ETLer</t>
        </is>
      </c>
      <c r="C649" s="40" t="inlineStr">
        <is>
          <t>TRY</t>
        </is>
      </c>
      <c r="D649" s="40" t="inlineStr">
        <is>
          <t>ROYAL SEGINUS</t>
        </is>
      </c>
      <c r="E649" s="38" t="n">
        <v>4734953.15</v>
      </c>
      <c r="F649" s="38" t="n">
        <v>0</v>
      </c>
      <c r="G649" s="38" t="n">
        <v>4734953.15</v>
      </c>
      <c r="H649" s="40" t="inlineStr">
        <is>
          <t>Borç</t>
        </is>
      </c>
      <c r="I649" s="38" t="n">
        <v>4734953.15</v>
      </c>
      <c r="J649" s="38" t="n">
        <v>0</v>
      </c>
      <c r="K649" s="38" t="n">
        <v>4734953.15</v>
      </c>
      <c r="L649" s="40" t="inlineStr">
        <is>
          <t>Borç</t>
        </is>
      </c>
    </row>
    <row r="650" s="34">
      <c r="A650" s="40" t="inlineStr">
        <is>
          <t>150.01.01.0002</t>
        </is>
      </c>
      <c r="B650" s="40" t="inlineStr">
        <is>
          <t>Sebze&amp;Meyveler</t>
        </is>
      </c>
      <c r="C650" s="40" t="inlineStr">
        <is>
          <t>TRY</t>
        </is>
      </c>
      <c r="D650" s="40" t="inlineStr">
        <is>
          <t>ROYAL ADAM EVE</t>
        </is>
      </c>
      <c r="E650" s="38" t="n">
        <v>1093754.6</v>
      </c>
      <c r="F650" s="38" t="n">
        <v>0</v>
      </c>
      <c r="G650" s="38" t="n">
        <v>1093754.6</v>
      </c>
      <c r="H650" s="40" t="inlineStr">
        <is>
          <t>Borç</t>
        </is>
      </c>
      <c r="I650" s="38" t="n">
        <v>1093754.6</v>
      </c>
      <c r="J650" s="38" t="n">
        <v>0</v>
      </c>
      <c r="K650" s="38" t="n">
        <v>1093754.6</v>
      </c>
      <c r="L650" s="40" t="inlineStr">
        <is>
          <t>Borç</t>
        </is>
      </c>
    </row>
    <row r="651" s="34">
      <c r="A651" s="40" t="inlineStr">
        <is>
          <t>150.01.01.0002</t>
        </is>
      </c>
      <c r="B651" s="40" t="inlineStr">
        <is>
          <t>Sebze&amp;Meyveler</t>
        </is>
      </c>
      <c r="C651" s="40" t="inlineStr">
        <is>
          <t>TRY</t>
        </is>
      </c>
      <c r="D651" s="40" t="inlineStr">
        <is>
          <t>ROYAL ALHAMBRA</t>
        </is>
      </c>
      <c r="E651" s="38" t="n">
        <v>1120838.9</v>
      </c>
      <c r="F651" s="38" t="n">
        <v>0</v>
      </c>
      <c r="G651" s="38" t="n">
        <v>1120838.9</v>
      </c>
      <c r="H651" s="40" t="inlineStr">
        <is>
          <t>Borç</t>
        </is>
      </c>
      <c r="I651" s="38" t="n">
        <v>1120838.9</v>
      </c>
      <c r="J651" s="38" t="n">
        <v>0</v>
      </c>
      <c r="K651" s="38" t="n">
        <v>1120838.9</v>
      </c>
      <c r="L651" s="40" t="inlineStr">
        <is>
          <t>Borç</t>
        </is>
      </c>
    </row>
    <row r="652" s="34">
      <c r="A652" s="40" t="inlineStr">
        <is>
          <t>150.01.01.0002</t>
        </is>
      </c>
      <c r="B652" s="40" t="inlineStr">
        <is>
          <t>Sebze&amp;Meyveler</t>
        </is>
      </c>
      <c r="C652" s="40" t="inlineStr">
        <is>
          <t>TRY</t>
        </is>
      </c>
      <c r="D652" s="40" t="inlineStr">
        <is>
          <t>ROYAL DRAGON</t>
        </is>
      </c>
      <c r="E652" s="38" t="n">
        <v>800284.1</v>
      </c>
      <c r="F652" s="38" t="n">
        <v>0</v>
      </c>
      <c r="G652" s="38" t="n">
        <v>800284.1</v>
      </c>
      <c r="H652" s="40" t="inlineStr">
        <is>
          <t>Borç</t>
        </is>
      </c>
      <c r="I652" s="38" t="n">
        <v>800284.1</v>
      </c>
      <c r="J652" s="38" t="n">
        <v>0</v>
      </c>
      <c r="K652" s="38" t="n">
        <v>800284.1</v>
      </c>
      <c r="L652" s="40" t="inlineStr">
        <is>
          <t>Borç</t>
        </is>
      </c>
    </row>
    <row r="653" s="34">
      <c r="A653" s="40" t="inlineStr">
        <is>
          <t>150.01.01.0002</t>
        </is>
      </c>
      <c r="B653" s="40" t="inlineStr">
        <is>
          <t>Sebze&amp;Meyveler</t>
        </is>
      </c>
      <c r="C653" s="40" t="inlineStr">
        <is>
          <t>TRY</t>
        </is>
      </c>
      <c r="D653" s="40" t="inlineStr">
        <is>
          <t>ROYAL HOLIDAY</t>
        </is>
      </c>
      <c r="E653" s="38" t="n">
        <v>1744409.24</v>
      </c>
      <c r="F653" s="38" t="n">
        <v>0</v>
      </c>
      <c r="G653" s="38" t="n">
        <v>1744409.24</v>
      </c>
      <c r="H653" s="40" t="inlineStr">
        <is>
          <t>Borç</t>
        </is>
      </c>
      <c r="I653" s="38" t="n">
        <v>1742442.84</v>
      </c>
      <c r="J653" s="38" t="n">
        <v>0</v>
      </c>
      <c r="K653" s="38" t="n">
        <v>1742442.84</v>
      </c>
      <c r="L653" s="40" t="inlineStr">
        <is>
          <t>Borç</t>
        </is>
      </c>
    </row>
    <row r="654" s="34">
      <c r="A654" s="40" t="inlineStr">
        <is>
          <t>150.01.01.0002</t>
        </is>
      </c>
      <c r="B654" s="40" t="inlineStr">
        <is>
          <t>Sebze&amp;Meyveler</t>
        </is>
      </c>
      <c r="C654" s="40" t="inlineStr">
        <is>
          <t>TRY</t>
        </is>
      </c>
      <c r="D654" s="40" t="inlineStr">
        <is>
          <t>ROYAL SEGINUS</t>
        </is>
      </c>
      <c r="E654" s="38" t="n">
        <v>1517817.1</v>
      </c>
      <c r="F654" s="38" t="n">
        <v>0</v>
      </c>
      <c r="G654" s="38" t="n">
        <v>1517817.1</v>
      </c>
      <c r="H654" s="40" t="inlineStr">
        <is>
          <t>Borç</t>
        </is>
      </c>
      <c r="I654" s="38" t="n">
        <v>1517817.1</v>
      </c>
      <c r="J654" s="38" t="n">
        <v>0</v>
      </c>
      <c r="K654" s="38" t="n">
        <v>1517817.1</v>
      </c>
      <c r="L654" s="40" t="inlineStr">
        <is>
          <t>Borç</t>
        </is>
      </c>
    </row>
    <row r="655" s="34">
      <c r="A655" s="40" t="inlineStr">
        <is>
          <t>150.01.01.0003</t>
        </is>
      </c>
      <c r="B655" s="40" t="inlineStr">
        <is>
          <t>Süt&amp;Süt Ürünleri</t>
        </is>
      </c>
      <c r="C655" s="40" t="inlineStr">
        <is>
          <t>TRY</t>
        </is>
      </c>
      <c r="D655" s="40" t="inlineStr">
        <is>
          <t>ROYAL ADAM EVE</t>
        </is>
      </c>
      <c r="E655" s="38" t="n">
        <v>258844.35</v>
      </c>
      <c r="F655" s="38" t="n">
        <v>0</v>
      </c>
      <c r="G655" s="38" t="n">
        <v>258844.35</v>
      </c>
      <c r="H655" s="40" t="inlineStr">
        <is>
          <t>Borç</t>
        </is>
      </c>
      <c r="I655" s="38" t="n">
        <v>258029.85</v>
      </c>
      <c r="J655" s="38" t="n">
        <v>0</v>
      </c>
      <c r="K655" s="38" t="n">
        <v>258029.85</v>
      </c>
      <c r="L655" s="40" t="inlineStr">
        <is>
          <t>Borç</t>
        </is>
      </c>
    </row>
    <row r="656" s="34">
      <c r="A656" s="40" t="inlineStr">
        <is>
          <t>150.01.01.0003</t>
        </is>
      </c>
      <c r="B656" s="40" t="inlineStr">
        <is>
          <t>Süt&amp;Süt Ürünleri</t>
        </is>
      </c>
      <c r="C656" s="40" t="inlineStr">
        <is>
          <t>TRY</t>
        </is>
      </c>
      <c r="D656" s="40" t="inlineStr">
        <is>
          <t>ROYAL ALHAMBRA</t>
        </is>
      </c>
      <c r="E656" s="38" t="n">
        <v>1411395.51</v>
      </c>
      <c r="F656" s="38" t="n">
        <v>13328</v>
      </c>
      <c r="G656" s="38" t="n">
        <v>1398067.51</v>
      </c>
      <c r="H656" s="40" t="inlineStr">
        <is>
          <t>Borç</t>
        </is>
      </c>
      <c r="I656" s="38" t="n">
        <v>1411395.51</v>
      </c>
      <c r="J656" s="38" t="n">
        <v>13328</v>
      </c>
      <c r="K656" s="38" t="n">
        <v>1398067.51</v>
      </c>
      <c r="L656" s="40" t="inlineStr">
        <is>
          <t>Borç</t>
        </is>
      </c>
    </row>
    <row r="657" s="34">
      <c r="A657" s="40" t="inlineStr">
        <is>
          <t>150.01.01.0003</t>
        </is>
      </c>
      <c r="B657" s="40" t="inlineStr">
        <is>
          <t>Süt&amp;Süt Ürünleri</t>
        </is>
      </c>
      <c r="C657" s="40" t="inlineStr">
        <is>
          <t>TRY</t>
        </is>
      </c>
      <c r="D657" s="40" t="inlineStr">
        <is>
          <t>ROYAL DRAGON</t>
        </is>
      </c>
      <c r="E657" s="38" t="n">
        <v>508537.71</v>
      </c>
      <c r="F657" s="38" t="n">
        <v>0</v>
      </c>
      <c r="G657" s="38" t="n">
        <v>508537.71</v>
      </c>
      <c r="H657" s="40" t="inlineStr">
        <is>
          <t>Borç</t>
        </is>
      </c>
      <c r="I657" s="38" t="n">
        <v>508537.71</v>
      </c>
      <c r="J657" s="38" t="n">
        <v>0</v>
      </c>
      <c r="K657" s="38" t="n">
        <v>508537.71</v>
      </c>
      <c r="L657" s="40" t="inlineStr">
        <is>
          <t>Borç</t>
        </is>
      </c>
    </row>
    <row r="658" s="34">
      <c r="A658" s="40" t="inlineStr">
        <is>
          <t>150.01.01.0003</t>
        </is>
      </c>
      <c r="B658" s="40" t="inlineStr">
        <is>
          <t>Süt&amp;Süt Ürünleri</t>
        </is>
      </c>
      <c r="C658" s="40" t="inlineStr">
        <is>
          <t>TRY</t>
        </is>
      </c>
      <c r="D658" s="40" t="inlineStr">
        <is>
          <t>ROYAL HOLIDAY</t>
        </is>
      </c>
      <c r="E658" s="38" t="n">
        <v>1600927.02</v>
      </c>
      <c r="F658" s="38" t="n">
        <v>5965.23</v>
      </c>
      <c r="G658" s="38" t="n">
        <v>1594961.79</v>
      </c>
      <c r="H658" s="40" t="inlineStr">
        <is>
          <t>Borç</t>
        </is>
      </c>
      <c r="I658" s="38" t="n">
        <v>1595714.42</v>
      </c>
      <c r="J658" s="38" t="n">
        <v>5965.23</v>
      </c>
      <c r="K658" s="38" t="n">
        <v>1589749.19</v>
      </c>
      <c r="L658" s="40" t="inlineStr">
        <is>
          <t>Borç</t>
        </is>
      </c>
    </row>
    <row r="659" s="34">
      <c r="A659" s="40" t="inlineStr">
        <is>
          <t>150.01.01.0003</t>
        </is>
      </c>
      <c r="B659" s="40" t="inlineStr">
        <is>
          <t>Süt&amp;Süt Ürünleri</t>
        </is>
      </c>
      <c r="C659" s="40" t="inlineStr">
        <is>
          <t>TRY</t>
        </is>
      </c>
      <c r="D659" s="40" t="inlineStr">
        <is>
          <t>ROYAL SEGINUS</t>
        </is>
      </c>
      <c r="E659" s="38" t="n">
        <v>2302598.06</v>
      </c>
      <c r="F659" s="38" t="n">
        <v>0</v>
      </c>
      <c r="G659" s="38" t="n">
        <v>2302598.06</v>
      </c>
      <c r="H659" s="40" t="inlineStr">
        <is>
          <t>Borç</t>
        </is>
      </c>
      <c r="I659" s="38" t="n">
        <v>2302081.06</v>
      </c>
      <c r="J659" s="38" t="n">
        <v>0</v>
      </c>
      <c r="K659" s="38" t="n">
        <v>2302081.06</v>
      </c>
      <c r="L659" s="40" t="inlineStr">
        <is>
          <t>Borç</t>
        </is>
      </c>
    </row>
    <row r="660" s="34">
      <c r="A660" s="40" t="inlineStr">
        <is>
          <t>150.01.01.0004</t>
        </is>
      </c>
      <c r="B660" s="40" t="inlineStr">
        <is>
          <t>Kuru Gıdalar</t>
        </is>
      </c>
      <c r="C660" s="40" t="inlineStr">
        <is>
          <t>TRY</t>
        </is>
      </c>
      <c r="D660" s="40" t="inlineStr">
        <is>
          <t>ROYAL ADAM EVE</t>
        </is>
      </c>
      <c r="E660" s="38" t="n">
        <v>551838.14</v>
      </c>
      <c r="F660" s="38" t="n">
        <v>0</v>
      </c>
      <c r="G660" s="38" t="n">
        <v>551838.14</v>
      </c>
      <c r="H660" s="40" t="inlineStr">
        <is>
          <t>Borç</t>
        </is>
      </c>
      <c r="I660" s="38" t="n">
        <v>551838.14</v>
      </c>
      <c r="J660" s="38" t="n">
        <v>0</v>
      </c>
      <c r="K660" s="38" t="n">
        <v>551838.14</v>
      </c>
      <c r="L660" s="40" t="inlineStr">
        <is>
          <t>Borç</t>
        </is>
      </c>
    </row>
    <row r="661" s="34">
      <c r="A661" s="40" t="inlineStr">
        <is>
          <t>150.01.01.0004</t>
        </is>
      </c>
      <c r="B661" s="40" t="inlineStr">
        <is>
          <t>Kuru Gıdalar</t>
        </is>
      </c>
      <c r="C661" s="40" t="inlineStr">
        <is>
          <t>TRY</t>
        </is>
      </c>
      <c r="D661" s="40" t="inlineStr">
        <is>
          <t>ROYAL ALHAMBRA</t>
        </is>
      </c>
      <c r="E661" s="38" t="n">
        <v>1492085.72</v>
      </c>
      <c r="F661" s="38" t="n">
        <v>0</v>
      </c>
      <c r="G661" s="38" t="n">
        <v>1492085.72</v>
      </c>
      <c r="H661" s="40" t="inlineStr">
        <is>
          <t>Borç</t>
        </is>
      </c>
      <c r="I661" s="38" t="n">
        <v>1492085.72</v>
      </c>
      <c r="J661" s="38" t="n">
        <v>0</v>
      </c>
      <c r="K661" s="38" t="n">
        <v>1492085.72</v>
      </c>
      <c r="L661" s="40" t="inlineStr">
        <is>
          <t>Borç</t>
        </is>
      </c>
    </row>
    <row r="662" s="34">
      <c r="A662" s="40" t="inlineStr">
        <is>
          <t>150.01.01.0004</t>
        </is>
      </c>
      <c r="B662" s="40" t="inlineStr">
        <is>
          <t>Kuru Gıdalar</t>
        </is>
      </c>
      <c r="C662" s="40" t="inlineStr">
        <is>
          <t>TRY</t>
        </is>
      </c>
      <c r="D662" s="40" t="inlineStr">
        <is>
          <t>ROYAL DRAGON</t>
        </is>
      </c>
      <c r="E662" s="38" t="n">
        <v>894891.12</v>
      </c>
      <c r="F662" s="38" t="n">
        <v>0</v>
      </c>
      <c r="G662" s="38" t="n">
        <v>894891.12</v>
      </c>
      <c r="H662" s="40" t="inlineStr">
        <is>
          <t>Borç</t>
        </is>
      </c>
      <c r="I662" s="38" t="n">
        <v>894891.12</v>
      </c>
      <c r="J662" s="38" t="n">
        <v>0</v>
      </c>
      <c r="K662" s="38" t="n">
        <v>894891.12</v>
      </c>
      <c r="L662" s="40" t="inlineStr">
        <is>
          <t>Borç</t>
        </is>
      </c>
    </row>
    <row r="663" s="34">
      <c r="A663" s="40" t="inlineStr">
        <is>
          <t>150.01.01.0004</t>
        </is>
      </c>
      <c r="B663" s="40" t="inlineStr">
        <is>
          <t>Kuru Gıdalar</t>
        </is>
      </c>
      <c r="C663" s="40" t="inlineStr">
        <is>
          <t>TRY</t>
        </is>
      </c>
      <c r="D663" s="40" t="inlineStr">
        <is>
          <t>ROYAL HOLIDAY</t>
        </is>
      </c>
      <c r="E663" s="38" t="n">
        <v>2414714.5</v>
      </c>
      <c r="F663" s="38" t="n">
        <v>3320</v>
      </c>
      <c r="G663" s="38" t="n">
        <v>2411394.5</v>
      </c>
      <c r="H663" s="40" t="inlineStr">
        <is>
          <t>Borç</t>
        </is>
      </c>
      <c r="I663" s="38" t="n">
        <v>2411986.93</v>
      </c>
      <c r="J663" s="38" t="n">
        <v>3320</v>
      </c>
      <c r="K663" s="38" t="n">
        <v>2408666.93</v>
      </c>
      <c r="L663" s="40" t="inlineStr">
        <is>
          <t>Borç</t>
        </is>
      </c>
    </row>
    <row r="664" s="34">
      <c r="A664" s="40" t="inlineStr">
        <is>
          <t>150.01.01.0004</t>
        </is>
      </c>
      <c r="B664" s="40" t="inlineStr">
        <is>
          <t>Kuru Gıdalar</t>
        </is>
      </c>
      <c r="C664" s="40" t="inlineStr">
        <is>
          <t>TRY</t>
        </is>
      </c>
      <c r="D664" s="40" t="inlineStr">
        <is>
          <t>ROYAL SEGINUS</t>
        </is>
      </c>
      <c r="E664" s="38" t="n">
        <v>1736106.8</v>
      </c>
      <c r="F664" s="38" t="n">
        <v>0</v>
      </c>
      <c r="G664" s="38" t="n">
        <v>1736106.8</v>
      </c>
      <c r="H664" s="40" t="inlineStr">
        <is>
          <t>Borç</t>
        </is>
      </c>
      <c r="I664" s="38" t="n">
        <v>1734399.24</v>
      </c>
      <c r="J664" s="38" t="n">
        <v>0</v>
      </c>
      <c r="K664" s="38" t="n">
        <v>1734399.24</v>
      </c>
      <c r="L664" s="40" t="inlineStr">
        <is>
          <t>Borç</t>
        </is>
      </c>
    </row>
    <row r="665" s="34">
      <c r="A665" s="40" t="inlineStr">
        <is>
          <t>150.01.01.0005</t>
        </is>
      </c>
      <c r="B665" s="40" t="inlineStr">
        <is>
          <t>Unlu Mamüller</t>
        </is>
      </c>
      <c r="C665" s="40" t="inlineStr">
        <is>
          <t>TRY</t>
        </is>
      </c>
      <c r="D665" s="40" t="inlineStr">
        <is>
          <t>ROYAL ADAM EVE</t>
        </is>
      </c>
      <c r="E665" s="38" t="n">
        <v>192473.6</v>
      </c>
      <c r="F665" s="38" t="n">
        <v>0</v>
      </c>
      <c r="G665" s="38" t="n">
        <v>192473.6</v>
      </c>
      <c r="H665" s="40" t="inlineStr">
        <is>
          <t>Borç</t>
        </is>
      </c>
      <c r="I665" s="38" t="n">
        <v>192473.6</v>
      </c>
      <c r="J665" s="38" t="n">
        <v>0</v>
      </c>
      <c r="K665" s="38" t="n">
        <v>192473.6</v>
      </c>
      <c r="L665" s="40" t="inlineStr">
        <is>
          <t>Borç</t>
        </is>
      </c>
    </row>
    <row r="666" s="34">
      <c r="A666" s="40" t="inlineStr">
        <is>
          <t>150.01.01.0005</t>
        </is>
      </c>
      <c r="B666" s="40" t="inlineStr">
        <is>
          <t>Unlu Mamüller</t>
        </is>
      </c>
      <c r="C666" s="40" t="inlineStr">
        <is>
          <t>TRY</t>
        </is>
      </c>
      <c r="D666" s="40" t="inlineStr">
        <is>
          <t>ROYAL ALHAMBRA</t>
        </is>
      </c>
      <c r="E666" s="38" t="n">
        <v>759434.3</v>
      </c>
      <c r="F666" s="38" t="n">
        <v>0</v>
      </c>
      <c r="G666" s="38" t="n">
        <v>759434.3</v>
      </c>
      <c r="H666" s="40" t="inlineStr">
        <is>
          <t>Borç</t>
        </is>
      </c>
      <c r="I666" s="38" t="n">
        <v>759434.3</v>
      </c>
      <c r="J666" s="38" t="n">
        <v>0</v>
      </c>
      <c r="K666" s="38" t="n">
        <v>759434.3</v>
      </c>
      <c r="L666" s="40" t="inlineStr">
        <is>
          <t>Borç</t>
        </is>
      </c>
    </row>
    <row r="667" s="34">
      <c r="A667" s="40" t="inlineStr">
        <is>
          <t>150.01.01.0005</t>
        </is>
      </c>
      <c r="B667" s="40" t="inlineStr">
        <is>
          <t>Unlu Mamüller</t>
        </is>
      </c>
      <c r="C667" s="40" t="inlineStr">
        <is>
          <t>TRY</t>
        </is>
      </c>
      <c r="D667" s="40" t="inlineStr">
        <is>
          <t>ROYAL DRAGON</t>
        </is>
      </c>
      <c r="E667" s="38" t="n">
        <v>141885.4</v>
      </c>
      <c r="F667" s="38" t="n">
        <v>0</v>
      </c>
      <c r="G667" s="38" t="n">
        <v>141885.4</v>
      </c>
      <c r="H667" s="40" t="inlineStr">
        <is>
          <t>Borç</t>
        </is>
      </c>
      <c r="I667" s="38" t="n">
        <v>141885.4</v>
      </c>
      <c r="J667" s="38" t="n">
        <v>0</v>
      </c>
      <c r="K667" s="38" t="n">
        <v>141885.4</v>
      </c>
      <c r="L667" s="40" t="inlineStr">
        <is>
          <t>Borç</t>
        </is>
      </c>
    </row>
    <row r="668" s="34">
      <c r="A668" s="40" t="inlineStr">
        <is>
          <t>150.01.01.0005</t>
        </is>
      </c>
      <c r="B668" s="40" t="inlineStr">
        <is>
          <t>Unlu Mamüller</t>
        </is>
      </c>
      <c r="C668" s="40" t="inlineStr">
        <is>
          <t>TRY</t>
        </is>
      </c>
      <c r="D668" s="40" t="inlineStr">
        <is>
          <t>ROYAL HOLIDAY</t>
        </is>
      </c>
      <c r="E668" s="38" t="n">
        <v>482124.07</v>
      </c>
      <c r="F668" s="38" t="n">
        <v>2780</v>
      </c>
      <c r="G668" s="38" t="n">
        <v>479344.07</v>
      </c>
      <c r="H668" s="40" t="inlineStr">
        <is>
          <t>Borç</t>
        </is>
      </c>
      <c r="I668" s="38" t="n">
        <v>479837.97</v>
      </c>
      <c r="J668" s="38" t="n">
        <v>2780</v>
      </c>
      <c r="K668" s="38" t="n">
        <v>477057.97</v>
      </c>
      <c r="L668" s="40" t="inlineStr">
        <is>
          <t>Borç</t>
        </is>
      </c>
    </row>
    <row r="669" s="34">
      <c r="A669" s="40" t="inlineStr">
        <is>
          <t>150.01.01.0005</t>
        </is>
      </c>
      <c r="B669" s="40" t="inlineStr">
        <is>
          <t>Unlu Mamüller</t>
        </is>
      </c>
      <c r="C669" s="40" t="inlineStr">
        <is>
          <t>TRY</t>
        </is>
      </c>
      <c r="D669" s="40" t="inlineStr">
        <is>
          <t>ROYAL SEGINUS</t>
        </is>
      </c>
      <c r="E669" s="38" t="n">
        <v>221594.5</v>
      </c>
      <c r="F669" s="38" t="n">
        <v>0</v>
      </c>
      <c r="G669" s="38" t="n">
        <v>221594.5</v>
      </c>
      <c r="H669" s="40" t="inlineStr">
        <is>
          <t>Borç</t>
        </is>
      </c>
      <c r="I669" s="38" t="n">
        <v>221594.5</v>
      </c>
      <c r="J669" s="38" t="n">
        <v>0</v>
      </c>
      <c r="K669" s="38" t="n">
        <v>221594.5</v>
      </c>
      <c r="L669" s="40" t="inlineStr">
        <is>
          <t>Borç</t>
        </is>
      </c>
    </row>
    <row r="670" s="34">
      <c r="A670" s="40" t="inlineStr">
        <is>
          <t>150.01.01.0006</t>
        </is>
      </c>
      <c r="B670" s="40" t="inlineStr">
        <is>
          <t>Yağlar</t>
        </is>
      </c>
      <c r="C670" s="40" t="inlineStr">
        <is>
          <t>TRY</t>
        </is>
      </c>
      <c r="D670" s="40" t="inlineStr">
        <is>
          <t>ROYAL ADAM EVE</t>
        </is>
      </c>
      <c r="E670" s="38" t="n">
        <v>359720.36</v>
      </c>
      <c r="F670" s="38" t="n">
        <v>0</v>
      </c>
      <c r="G670" s="38" t="n">
        <v>359720.36</v>
      </c>
      <c r="H670" s="40" t="inlineStr">
        <is>
          <t>Borç</t>
        </is>
      </c>
      <c r="I670" s="38" t="n">
        <v>359720.36</v>
      </c>
      <c r="J670" s="38" t="n">
        <v>0</v>
      </c>
      <c r="K670" s="38" t="n">
        <v>359720.36</v>
      </c>
      <c r="L670" s="40" t="inlineStr">
        <is>
          <t>Borç</t>
        </is>
      </c>
    </row>
    <row r="671" s="34">
      <c r="A671" s="40" t="inlineStr">
        <is>
          <t>150.01.01.0006</t>
        </is>
      </c>
      <c r="B671" s="40" t="inlineStr">
        <is>
          <t>Yağlar</t>
        </is>
      </c>
      <c r="C671" s="40" t="inlineStr">
        <is>
          <t>TRY</t>
        </is>
      </c>
      <c r="D671" s="40" t="inlineStr">
        <is>
          <t>ROYAL ALHAMBRA</t>
        </is>
      </c>
      <c r="E671" s="38" t="n">
        <v>461276.38</v>
      </c>
      <c r="F671" s="38" t="n">
        <v>0</v>
      </c>
      <c r="G671" s="38" t="n">
        <v>461276.38</v>
      </c>
      <c r="H671" s="40" t="inlineStr">
        <is>
          <t>Borç</t>
        </is>
      </c>
      <c r="I671" s="38" t="n">
        <v>461276.38</v>
      </c>
      <c r="J671" s="38" t="n">
        <v>0</v>
      </c>
      <c r="K671" s="38" t="n">
        <v>461276.38</v>
      </c>
      <c r="L671" s="40" t="inlineStr">
        <is>
          <t>Borç</t>
        </is>
      </c>
    </row>
    <row r="672" s="34">
      <c r="A672" s="40" t="inlineStr">
        <is>
          <t>150.01.01.0006</t>
        </is>
      </c>
      <c r="B672" s="40" t="inlineStr">
        <is>
          <t>Yağlar</t>
        </is>
      </c>
      <c r="C672" s="40" t="inlineStr">
        <is>
          <t>TRY</t>
        </is>
      </c>
      <c r="D672" s="40" t="inlineStr">
        <is>
          <t>ROYAL DRAGON</t>
        </is>
      </c>
      <c r="E672" s="38" t="n">
        <v>397791.97</v>
      </c>
      <c r="F672" s="38" t="n">
        <v>0</v>
      </c>
      <c r="G672" s="38" t="n">
        <v>397791.97</v>
      </c>
      <c r="H672" s="40" t="inlineStr">
        <is>
          <t>Borç</t>
        </is>
      </c>
      <c r="I672" s="38" t="n">
        <v>397791.97</v>
      </c>
      <c r="J672" s="38" t="n">
        <v>0</v>
      </c>
      <c r="K672" s="38" t="n">
        <v>397791.97</v>
      </c>
      <c r="L672" s="40" t="inlineStr">
        <is>
          <t>Borç</t>
        </is>
      </c>
    </row>
    <row r="673" s="34">
      <c r="A673" s="40" t="inlineStr">
        <is>
          <t>150.01.01.0006</t>
        </is>
      </c>
      <c r="B673" s="40" t="inlineStr">
        <is>
          <t>Yağlar</t>
        </is>
      </c>
      <c r="C673" s="40" t="inlineStr">
        <is>
          <t>TRY</t>
        </is>
      </c>
      <c r="D673" s="40" t="inlineStr">
        <is>
          <t>ROYAL HOLIDAY</t>
        </is>
      </c>
      <c r="E673" s="38" t="n">
        <v>977263.71</v>
      </c>
      <c r="F673" s="38" t="n">
        <v>0</v>
      </c>
      <c r="G673" s="38" t="n">
        <v>977263.71</v>
      </c>
      <c r="H673" s="40" t="inlineStr">
        <is>
          <t>Borç</t>
        </is>
      </c>
      <c r="I673" s="38" t="n">
        <v>974376.75</v>
      </c>
      <c r="J673" s="38" t="n">
        <v>0</v>
      </c>
      <c r="K673" s="38" t="n">
        <v>974376.75</v>
      </c>
      <c r="L673" s="40" t="inlineStr">
        <is>
          <t>Borç</t>
        </is>
      </c>
    </row>
    <row r="674" s="34">
      <c r="A674" s="40" t="inlineStr">
        <is>
          <t>150.01.01.0006</t>
        </is>
      </c>
      <c r="B674" s="40" t="inlineStr">
        <is>
          <t>Yağlar</t>
        </is>
      </c>
      <c r="C674" s="40" t="inlineStr">
        <is>
          <t>TRY</t>
        </is>
      </c>
      <c r="D674" s="40" t="inlineStr">
        <is>
          <t>ROYAL SEGINUS</t>
        </is>
      </c>
      <c r="E674" s="38" t="n">
        <v>490837.2</v>
      </c>
      <c r="F674" s="38" t="n">
        <v>0</v>
      </c>
      <c r="G674" s="38" t="n">
        <v>490837.2</v>
      </c>
      <c r="H674" s="40" t="inlineStr">
        <is>
          <t>Borç</t>
        </is>
      </c>
      <c r="I674" s="38" t="n">
        <v>490837.2</v>
      </c>
      <c r="J674" s="38" t="n">
        <v>0</v>
      </c>
      <c r="K674" s="38" t="n">
        <v>490837.2</v>
      </c>
      <c r="L674" s="40" t="inlineStr">
        <is>
          <t>Borç</t>
        </is>
      </c>
    </row>
    <row r="675" s="34">
      <c r="A675" s="40" t="inlineStr">
        <is>
          <t>150.01.01.0007</t>
        </is>
      </c>
      <c r="B675" s="40" t="inlineStr">
        <is>
          <t>Konserveler</t>
        </is>
      </c>
      <c r="C675" s="40" t="inlineStr">
        <is>
          <t>TRY</t>
        </is>
      </c>
      <c r="D675" s="40" t="inlineStr">
        <is>
          <t>ROYAL ADAM EVE</t>
        </is>
      </c>
      <c r="E675" s="38" t="n">
        <v>60928.2</v>
      </c>
      <c r="F675" s="38" t="n">
        <v>0</v>
      </c>
      <c r="G675" s="38" t="n">
        <v>60928.2</v>
      </c>
      <c r="H675" s="40" t="inlineStr">
        <is>
          <t>Borç</t>
        </is>
      </c>
      <c r="I675" s="38" t="n">
        <v>60928.2</v>
      </c>
      <c r="J675" s="38" t="n">
        <v>0</v>
      </c>
      <c r="K675" s="38" t="n">
        <v>60928.2</v>
      </c>
      <c r="L675" s="40" t="inlineStr">
        <is>
          <t>Borç</t>
        </is>
      </c>
    </row>
    <row r="676" s="34">
      <c r="A676" s="40" t="inlineStr">
        <is>
          <t>150.01.01.0007</t>
        </is>
      </c>
      <c r="B676" s="40" t="inlineStr">
        <is>
          <t>Konserveler</t>
        </is>
      </c>
      <c r="C676" s="40" t="inlineStr">
        <is>
          <t>TRY</t>
        </is>
      </c>
      <c r="D676" s="40" t="inlineStr">
        <is>
          <t>ROYAL ALHAMBRA</t>
        </is>
      </c>
      <c r="E676" s="38" t="n">
        <v>119844</v>
      </c>
      <c r="F676" s="38" t="n">
        <v>0</v>
      </c>
      <c r="G676" s="38" t="n">
        <v>119844</v>
      </c>
      <c r="H676" s="40" t="inlineStr">
        <is>
          <t>Borç</t>
        </is>
      </c>
      <c r="I676" s="38" t="n">
        <v>119844</v>
      </c>
      <c r="J676" s="38" t="n">
        <v>0</v>
      </c>
      <c r="K676" s="38" t="n">
        <v>119844</v>
      </c>
      <c r="L676" s="40" t="inlineStr">
        <is>
          <t>Borç</t>
        </is>
      </c>
    </row>
    <row r="677" s="34">
      <c r="A677" s="40" t="inlineStr">
        <is>
          <t>150.01.01.0007</t>
        </is>
      </c>
      <c r="B677" s="40" t="inlineStr">
        <is>
          <t>Konserveler</t>
        </is>
      </c>
      <c r="C677" s="40" t="inlineStr">
        <is>
          <t>TRY</t>
        </is>
      </c>
      <c r="D677" s="40" t="inlineStr">
        <is>
          <t>ROYAL DRAGON</t>
        </is>
      </c>
      <c r="E677" s="38" t="n">
        <v>121934</v>
      </c>
      <c r="F677" s="38" t="n">
        <v>0</v>
      </c>
      <c r="G677" s="38" t="n">
        <v>121934</v>
      </c>
      <c r="H677" s="40" t="inlineStr">
        <is>
          <t>Borç</t>
        </is>
      </c>
      <c r="I677" s="38" t="n">
        <v>121934</v>
      </c>
      <c r="J677" s="38" t="n">
        <v>0</v>
      </c>
      <c r="K677" s="38" t="n">
        <v>121934</v>
      </c>
      <c r="L677" s="40" t="inlineStr">
        <is>
          <t>Borç</t>
        </is>
      </c>
    </row>
    <row r="678" s="34">
      <c r="A678" s="40" t="inlineStr">
        <is>
          <t>150.01.01.0007</t>
        </is>
      </c>
      <c r="B678" s="40" t="inlineStr">
        <is>
          <t>Konserveler</t>
        </is>
      </c>
      <c r="C678" s="40" t="inlineStr">
        <is>
          <t>TRY</t>
        </is>
      </c>
      <c r="D678" s="40" t="inlineStr">
        <is>
          <t>ROYAL HOLIDAY</t>
        </is>
      </c>
      <c r="E678" s="38" t="n">
        <v>229363.03</v>
      </c>
      <c r="F678" s="38" t="n">
        <v>0</v>
      </c>
      <c r="G678" s="38" t="n">
        <v>229363.03</v>
      </c>
      <c r="H678" s="40" t="inlineStr">
        <is>
          <t>Borç</t>
        </is>
      </c>
      <c r="I678" s="38" t="n">
        <v>229149</v>
      </c>
      <c r="J678" s="38" t="n">
        <v>0</v>
      </c>
      <c r="K678" s="38" t="n">
        <v>229149</v>
      </c>
      <c r="L678" s="40" t="inlineStr">
        <is>
          <t>Borç</t>
        </is>
      </c>
    </row>
    <row r="679" s="34">
      <c r="A679" s="40" t="inlineStr">
        <is>
          <t>150.01.01.0007</t>
        </is>
      </c>
      <c r="B679" s="40" t="inlineStr">
        <is>
          <t>Konserveler</t>
        </is>
      </c>
      <c r="C679" s="40" t="inlineStr">
        <is>
          <t>TRY</t>
        </is>
      </c>
      <c r="D679" s="40" t="inlineStr">
        <is>
          <t>ROYAL SEGINUS</t>
        </is>
      </c>
      <c r="E679" s="38" t="n">
        <v>235127.71</v>
      </c>
      <c r="F679" s="38" t="n">
        <v>0</v>
      </c>
      <c r="G679" s="38" t="n">
        <v>235127.71</v>
      </c>
      <c r="H679" s="40" t="inlineStr">
        <is>
          <t>Borç</t>
        </is>
      </c>
      <c r="I679" s="38" t="n">
        <v>234960.35</v>
      </c>
      <c r="J679" s="38" t="n">
        <v>0</v>
      </c>
      <c r="K679" s="38" t="n">
        <v>234960.35</v>
      </c>
      <c r="L679" s="40" t="inlineStr">
        <is>
          <t>Borç</t>
        </is>
      </c>
    </row>
    <row r="680" s="34">
      <c r="A680" s="40" t="inlineStr">
        <is>
          <t>150.01.01.0008</t>
        </is>
      </c>
      <c r="B680" s="40" t="inlineStr">
        <is>
          <t>Reçel&amp;Marmelat&amp;Ballar</t>
        </is>
      </c>
      <c r="C680" s="40" t="inlineStr">
        <is>
          <t>TRY</t>
        </is>
      </c>
      <c r="D680" s="40" t="inlineStr">
        <is>
          <t>ROYAL ADAM EVE</t>
        </is>
      </c>
      <c r="E680" s="38" t="n">
        <v>14400</v>
      </c>
      <c r="F680" s="38" t="n">
        <v>0</v>
      </c>
      <c r="G680" s="38" t="n">
        <v>14400</v>
      </c>
      <c r="H680" s="40" t="inlineStr">
        <is>
          <t>Borç</t>
        </is>
      </c>
      <c r="I680" s="38" t="n">
        <v>14400</v>
      </c>
      <c r="J680" s="38" t="n">
        <v>0</v>
      </c>
      <c r="K680" s="38" t="n">
        <v>14400</v>
      </c>
      <c r="L680" s="40" t="inlineStr">
        <is>
          <t>Borç</t>
        </is>
      </c>
    </row>
    <row r="681" s="34">
      <c r="A681" s="40" t="inlineStr">
        <is>
          <t>150.01.01.0008</t>
        </is>
      </c>
      <c r="B681" s="40" t="inlineStr">
        <is>
          <t>Reçel&amp;Marmelat&amp;Ballar</t>
        </is>
      </c>
      <c r="C681" s="40" t="inlineStr">
        <is>
          <t>TRY</t>
        </is>
      </c>
      <c r="D681" s="40" t="inlineStr">
        <is>
          <t>ROYAL DRAGON</t>
        </is>
      </c>
      <c r="E681" s="38" t="n">
        <v>92048.75</v>
      </c>
      <c r="F681" s="38" t="n">
        <v>0</v>
      </c>
      <c r="G681" s="38" t="n">
        <v>92048.75</v>
      </c>
      <c r="H681" s="40" t="inlineStr">
        <is>
          <t>Borç</t>
        </is>
      </c>
      <c r="I681" s="38" t="n">
        <v>92048.75</v>
      </c>
      <c r="J681" s="38" t="n">
        <v>0</v>
      </c>
      <c r="K681" s="38" t="n">
        <v>92048.75</v>
      </c>
      <c r="L681" s="40" t="inlineStr">
        <is>
          <t>Borç</t>
        </is>
      </c>
    </row>
    <row r="682" s="34">
      <c r="A682" s="40" t="inlineStr">
        <is>
          <t>150.01.01.0008</t>
        </is>
      </c>
      <c r="B682" s="40" t="inlineStr">
        <is>
          <t>Reçel&amp;Marmelat&amp;Ballar</t>
        </is>
      </c>
      <c r="C682" s="40" t="inlineStr">
        <is>
          <t>TRY</t>
        </is>
      </c>
      <c r="D682" s="40" t="inlineStr">
        <is>
          <t>ROYAL HOLIDAY</t>
        </is>
      </c>
      <c r="E682" s="38" t="n">
        <v>61605.2</v>
      </c>
      <c r="F682" s="38" t="n">
        <v>0</v>
      </c>
      <c r="G682" s="38" t="n">
        <v>61605.2</v>
      </c>
      <c r="H682" s="40" t="inlineStr">
        <is>
          <t>Borç</t>
        </is>
      </c>
      <c r="I682" s="38" t="n">
        <v>61402.5</v>
      </c>
      <c r="J682" s="38" t="n">
        <v>0</v>
      </c>
      <c r="K682" s="38" t="n">
        <v>61402.5</v>
      </c>
      <c r="L682" s="40" t="inlineStr">
        <is>
          <t>Borç</t>
        </is>
      </c>
    </row>
    <row r="683" s="34">
      <c r="A683" s="40" t="inlineStr">
        <is>
          <t>150.01.01.0008</t>
        </is>
      </c>
      <c r="B683" s="40" t="inlineStr">
        <is>
          <t>Reçel&amp;Marmelat&amp;Ballar</t>
        </is>
      </c>
      <c r="C683" s="40" t="inlineStr">
        <is>
          <t>TRY</t>
        </is>
      </c>
      <c r="D683" s="40" t="inlineStr">
        <is>
          <t>ROYAL SEGINUS</t>
        </is>
      </c>
      <c r="E683" s="38" t="n">
        <v>33850</v>
      </c>
      <c r="F683" s="38" t="n">
        <v>0</v>
      </c>
      <c r="G683" s="38" t="n">
        <v>33850</v>
      </c>
      <c r="H683" s="40" t="inlineStr">
        <is>
          <t>Borç</t>
        </is>
      </c>
      <c r="I683" s="38" t="n">
        <v>33850</v>
      </c>
      <c r="J683" s="38" t="n">
        <v>0</v>
      </c>
      <c r="K683" s="38" t="n">
        <v>33850</v>
      </c>
      <c r="L683" s="40" t="inlineStr">
        <is>
          <t>Borç</t>
        </is>
      </c>
    </row>
    <row r="684" s="34">
      <c r="A684" s="40" t="inlineStr">
        <is>
          <t>150.01.01.0009</t>
        </is>
      </c>
      <c r="B684" s="40" t="inlineStr">
        <is>
          <t>Diğer Yiyecek Malzemeleri</t>
        </is>
      </c>
      <c r="C684" s="40" t="inlineStr">
        <is>
          <t>TRY</t>
        </is>
      </c>
      <c r="D684" s="40" t="inlineStr">
        <is>
          <t>ROYAL ADAM EVE</t>
        </is>
      </c>
      <c r="E684" s="38" t="n">
        <v>229515</v>
      </c>
      <c r="F684" s="38" t="n">
        <v>0</v>
      </c>
      <c r="G684" s="38" t="n">
        <v>229515</v>
      </c>
      <c r="H684" s="40" t="inlineStr">
        <is>
          <t>Borç</t>
        </is>
      </c>
      <c r="I684" s="38" t="n">
        <v>229515</v>
      </c>
      <c r="J684" s="38" t="n">
        <v>0</v>
      </c>
      <c r="K684" s="38" t="n">
        <v>229515</v>
      </c>
      <c r="L684" s="40" t="inlineStr">
        <is>
          <t>Borç</t>
        </is>
      </c>
    </row>
    <row r="685" s="34">
      <c r="A685" s="40" t="inlineStr">
        <is>
          <t>150.01.01.0009</t>
        </is>
      </c>
      <c r="B685" s="40" t="inlineStr">
        <is>
          <t>Diğer Yiyecek Malzemeleri</t>
        </is>
      </c>
      <c r="C685" s="40" t="inlineStr">
        <is>
          <t>TRY</t>
        </is>
      </c>
      <c r="D685" s="40" t="inlineStr">
        <is>
          <t>ROYAL ALHAMBRA</t>
        </is>
      </c>
      <c r="E685" s="38" t="n">
        <v>535819.39</v>
      </c>
      <c r="F685" s="38" t="n">
        <v>0</v>
      </c>
      <c r="G685" s="38" t="n">
        <v>535819.39</v>
      </c>
      <c r="H685" s="40" t="inlineStr">
        <is>
          <t>Borç</t>
        </is>
      </c>
      <c r="I685" s="38" t="n">
        <v>535819.39</v>
      </c>
      <c r="J685" s="38" t="n">
        <v>0</v>
      </c>
      <c r="K685" s="38" t="n">
        <v>535819.39</v>
      </c>
      <c r="L685" s="40" t="inlineStr">
        <is>
          <t>Borç</t>
        </is>
      </c>
    </row>
    <row r="686" s="34">
      <c r="A686" s="40" t="inlineStr">
        <is>
          <t>150.01.01.0009</t>
        </is>
      </c>
      <c r="B686" s="40" t="inlineStr">
        <is>
          <t>Diğer Yiyecek Malzemeleri</t>
        </is>
      </c>
      <c r="C686" s="40" t="inlineStr">
        <is>
          <t>TRY</t>
        </is>
      </c>
      <c r="D686" s="40" t="inlineStr">
        <is>
          <t>ROYAL DRAGON</t>
        </is>
      </c>
      <c r="E686" s="38" t="n">
        <v>470535.74</v>
      </c>
      <c r="F686" s="38" t="n">
        <v>0</v>
      </c>
      <c r="G686" s="38" t="n">
        <v>470535.74</v>
      </c>
      <c r="H686" s="40" t="inlineStr">
        <is>
          <t>Borç</t>
        </is>
      </c>
      <c r="I686" s="38" t="n">
        <v>470535.74</v>
      </c>
      <c r="J686" s="38" t="n">
        <v>0</v>
      </c>
      <c r="K686" s="38" t="n">
        <v>470535.74</v>
      </c>
      <c r="L686" s="40" t="inlineStr">
        <is>
          <t>Borç</t>
        </is>
      </c>
    </row>
    <row r="687" s="34">
      <c r="A687" s="40" t="inlineStr">
        <is>
          <t>150.01.01.0009</t>
        </is>
      </c>
      <c r="B687" s="40" t="inlineStr">
        <is>
          <t>Diğer Yiyecek Malzemeleri</t>
        </is>
      </c>
      <c r="C687" s="40" t="inlineStr">
        <is>
          <t>TRY</t>
        </is>
      </c>
      <c r="D687" s="40" t="inlineStr">
        <is>
          <t>ROYAL HOLIDAY</t>
        </is>
      </c>
      <c r="E687" s="38" t="n">
        <v>818590.37</v>
      </c>
      <c r="F687" s="38" t="n">
        <v>0</v>
      </c>
      <c r="G687" s="38" t="n">
        <v>818590.37</v>
      </c>
      <c r="H687" s="40" t="inlineStr">
        <is>
          <t>Borç</t>
        </is>
      </c>
      <c r="I687" s="38" t="n">
        <v>818469.05</v>
      </c>
      <c r="J687" s="38" t="n">
        <v>0</v>
      </c>
      <c r="K687" s="38" t="n">
        <v>818469.05</v>
      </c>
      <c r="L687" s="40" t="inlineStr">
        <is>
          <t>Borç</t>
        </is>
      </c>
    </row>
    <row r="688" s="34">
      <c r="A688" s="40" t="inlineStr">
        <is>
          <t>150.01.01.0009</t>
        </is>
      </c>
      <c r="B688" s="40" t="inlineStr">
        <is>
          <t>Diğer Yiyecek Malzemeleri</t>
        </is>
      </c>
      <c r="C688" s="40" t="inlineStr">
        <is>
          <t>TRY</t>
        </is>
      </c>
      <c r="D688" s="40" t="inlineStr">
        <is>
          <t>ROYAL SEGINUS</t>
        </is>
      </c>
      <c r="E688" s="38" t="n">
        <v>719824.92</v>
      </c>
      <c r="F688" s="38" t="n">
        <v>0</v>
      </c>
      <c r="G688" s="38" t="n">
        <v>719824.92</v>
      </c>
      <c r="H688" s="40" t="inlineStr">
        <is>
          <t>Borç</t>
        </is>
      </c>
      <c r="I688" s="38" t="n">
        <v>719824.92</v>
      </c>
      <c r="J688" s="38" t="n">
        <v>0</v>
      </c>
      <c r="K688" s="38" t="n">
        <v>719824.92</v>
      </c>
      <c r="L688" s="40" t="inlineStr">
        <is>
          <t>Borç</t>
        </is>
      </c>
    </row>
    <row r="689" s="34">
      <c r="A689" s="40" t="inlineStr">
        <is>
          <t>150.01.02</t>
        </is>
      </c>
      <c r="B689" s="40" t="inlineStr">
        <is>
          <t>İÇECEK MALZEME STOKLARI</t>
        </is>
      </c>
      <c r="C689" s="40" t="inlineStr">
        <is>
          <t>TRY</t>
        </is>
      </c>
      <c r="E689" s="38" t="n">
        <v>12562545.49</v>
      </c>
      <c r="F689" s="38" t="n">
        <v>133892.3</v>
      </c>
      <c r="G689" s="38" t="n">
        <v>12428653.19</v>
      </c>
      <c r="I689" s="38" t="n">
        <v>12559428.21</v>
      </c>
      <c r="J689" s="38" t="n">
        <v>133892.3</v>
      </c>
      <c r="K689" s="38" t="n">
        <v>12425535.91</v>
      </c>
    </row>
    <row r="690" s="34">
      <c r="A690" s="40" t="inlineStr">
        <is>
          <t>150.01.02.0001</t>
        </is>
      </c>
      <c r="B690" s="40" t="inlineStr">
        <is>
          <t>Alkollü İçecekler</t>
        </is>
      </c>
      <c r="C690" s="40" t="inlineStr">
        <is>
          <t>TRY</t>
        </is>
      </c>
      <c r="D690" s="40" t="inlineStr">
        <is>
          <t>ROYAL ADAM EVE</t>
        </is>
      </c>
      <c r="E690" s="38" t="n">
        <v>466384.32</v>
      </c>
      <c r="F690" s="38" t="n">
        <v>0</v>
      </c>
      <c r="G690" s="38" t="n">
        <v>466384.32</v>
      </c>
      <c r="H690" s="40" t="inlineStr">
        <is>
          <t>Borç</t>
        </is>
      </c>
      <c r="I690" s="38" t="n">
        <v>466384.32</v>
      </c>
      <c r="J690" s="38" t="n">
        <v>0</v>
      </c>
      <c r="K690" s="38" t="n">
        <v>466384.32</v>
      </c>
      <c r="L690" s="40" t="inlineStr">
        <is>
          <t>Borç</t>
        </is>
      </c>
    </row>
    <row r="691" s="34">
      <c r="A691" s="40" t="inlineStr">
        <is>
          <t>150.01.02.0001</t>
        </is>
      </c>
      <c r="B691" s="40" t="inlineStr">
        <is>
          <t>Alkollü İçecekler</t>
        </is>
      </c>
      <c r="C691" s="40" t="inlineStr">
        <is>
          <t>TRY</t>
        </is>
      </c>
      <c r="D691" s="40" t="inlineStr">
        <is>
          <t>ROYAL ALHAMBRA</t>
        </is>
      </c>
      <c r="E691" s="38" t="n">
        <v>1510073.36</v>
      </c>
      <c r="F691" s="38" t="n">
        <v>0</v>
      </c>
      <c r="G691" s="38" t="n">
        <v>1510073.36</v>
      </c>
      <c r="H691" s="40" t="inlineStr">
        <is>
          <t>Borç</t>
        </is>
      </c>
      <c r="I691" s="38" t="n">
        <v>1510073.36</v>
      </c>
      <c r="J691" s="38" t="n">
        <v>0</v>
      </c>
      <c r="K691" s="38" t="n">
        <v>1510073.36</v>
      </c>
      <c r="L691" s="40" t="inlineStr">
        <is>
          <t>Borç</t>
        </is>
      </c>
    </row>
    <row r="692" s="34">
      <c r="A692" s="40" t="inlineStr">
        <is>
          <t>150.01.02.0001</t>
        </is>
      </c>
      <c r="B692" s="40" t="inlineStr">
        <is>
          <t>Alkollü İçecekler</t>
        </is>
      </c>
      <c r="C692" s="40" t="inlineStr">
        <is>
          <t>TRY</t>
        </is>
      </c>
      <c r="D692" s="40" t="inlineStr">
        <is>
          <t>ROYAL DRAGON</t>
        </is>
      </c>
      <c r="E692" s="38" t="n">
        <v>1470700.92</v>
      </c>
      <c r="F692" s="38" t="n">
        <v>83983.7</v>
      </c>
      <c r="G692" s="38" t="n">
        <v>1386717.22</v>
      </c>
      <c r="H692" s="40" t="inlineStr">
        <is>
          <t>Borç</t>
        </is>
      </c>
      <c r="I692" s="38" t="n">
        <v>1470700.92</v>
      </c>
      <c r="J692" s="38" t="n">
        <v>83983.7</v>
      </c>
      <c r="K692" s="38" t="n">
        <v>1386717.22</v>
      </c>
      <c r="L692" s="40" t="inlineStr">
        <is>
          <t>Borç</t>
        </is>
      </c>
    </row>
    <row r="693" s="34">
      <c r="A693" s="40" t="inlineStr">
        <is>
          <t>150.01.02.0001</t>
        </is>
      </c>
      <c r="B693" s="40" t="inlineStr">
        <is>
          <t>Alkollü İçecekler</t>
        </is>
      </c>
      <c r="C693" s="40" t="inlineStr">
        <is>
          <t>TRY</t>
        </is>
      </c>
      <c r="D693" s="40" t="inlineStr">
        <is>
          <t>ROYAL HOLIDAY</t>
        </is>
      </c>
      <c r="E693" s="38" t="n">
        <v>1616993.28</v>
      </c>
      <c r="F693" s="38" t="n">
        <v>0</v>
      </c>
      <c r="G693" s="38" t="n">
        <v>1616993.28</v>
      </c>
      <c r="H693" s="40" t="inlineStr">
        <is>
          <t>Borç</t>
        </is>
      </c>
      <c r="I693" s="38" t="n">
        <v>1616993.28</v>
      </c>
      <c r="J693" s="38" t="n">
        <v>0</v>
      </c>
      <c r="K693" s="38" t="n">
        <v>1616993.28</v>
      </c>
      <c r="L693" s="40" t="inlineStr">
        <is>
          <t>Borç</t>
        </is>
      </c>
    </row>
    <row r="694" s="34">
      <c r="A694" s="40" t="inlineStr">
        <is>
          <t>150.01.02.0001</t>
        </is>
      </c>
      <c r="B694" s="40" t="inlineStr">
        <is>
          <t>Alkollü İçecekler</t>
        </is>
      </c>
      <c r="C694" s="40" t="inlineStr">
        <is>
          <t>TRY</t>
        </is>
      </c>
      <c r="D694" s="40" t="inlineStr">
        <is>
          <t>ROYAL SEGINUS</t>
        </is>
      </c>
      <c r="E694" s="38" t="n">
        <v>1819509.51</v>
      </c>
      <c r="F694" s="38" t="n">
        <v>49908.6</v>
      </c>
      <c r="G694" s="38" t="n">
        <v>1769600.91</v>
      </c>
      <c r="H694" s="40" t="inlineStr">
        <is>
          <t>Borç</t>
        </is>
      </c>
      <c r="I694" s="38" t="n">
        <v>1819509.51</v>
      </c>
      <c r="J694" s="38" t="n">
        <v>49908.6</v>
      </c>
      <c r="K694" s="38" t="n">
        <v>1769600.91</v>
      </c>
      <c r="L694" s="40" t="inlineStr">
        <is>
          <t>Borç</t>
        </is>
      </c>
    </row>
    <row r="695" s="34">
      <c r="A695" s="40" t="inlineStr">
        <is>
          <t>150.01.02.0002</t>
        </is>
      </c>
      <c r="B695" s="40" t="inlineStr">
        <is>
          <t>Alkolsüz İçecekler</t>
        </is>
      </c>
      <c r="C695" s="40" t="inlineStr">
        <is>
          <t>TRY</t>
        </is>
      </c>
      <c r="D695" s="40" t="inlineStr">
        <is>
          <t>ROYAL ADAM EVE</t>
        </is>
      </c>
      <c r="E695" s="38" t="n">
        <v>547310.71</v>
      </c>
      <c r="F695" s="38" t="n">
        <v>0</v>
      </c>
      <c r="G695" s="38" t="n">
        <v>547310.71</v>
      </c>
      <c r="H695" s="40" t="inlineStr">
        <is>
          <t>Borç</t>
        </is>
      </c>
      <c r="I695" s="38" t="n">
        <v>547310.71</v>
      </c>
      <c r="J695" s="38" t="n">
        <v>0</v>
      </c>
      <c r="K695" s="38" t="n">
        <v>547310.71</v>
      </c>
      <c r="L695" s="40" t="inlineStr">
        <is>
          <t>Borç</t>
        </is>
      </c>
    </row>
    <row r="696" s="34">
      <c r="A696" s="40" t="inlineStr">
        <is>
          <t>150.01.02.0002</t>
        </is>
      </c>
      <c r="B696" s="40" t="inlineStr">
        <is>
          <t>Alkolsüz İçecekler</t>
        </is>
      </c>
      <c r="C696" s="40" t="inlineStr">
        <is>
          <t>TRY</t>
        </is>
      </c>
      <c r="D696" s="40" t="inlineStr">
        <is>
          <t>ROYAL ALHAMBRA</t>
        </is>
      </c>
      <c r="E696" s="38" t="n">
        <v>1484716.48</v>
      </c>
      <c r="F696" s="38" t="n">
        <v>0</v>
      </c>
      <c r="G696" s="38" t="n">
        <v>1484716.48</v>
      </c>
      <c r="H696" s="40" t="inlineStr">
        <is>
          <t>Borç</t>
        </is>
      </c>
      <c r="I696" s="38" t="n">
        <v>1484716.48</v>
      </c>
      <c r="J696" s="38" t="n">
        <v>0</v>
      </c>
      <c r="K696" s="38" t="n">
        <v>1484716.48</v>
      </c>
      <c r="L696" s="40" t="inlineStr">
        <is>
          <t>Borç</t>
        </is>
      </c>
    </row>
    <row r="697" s="34">
      <c r="A697" s="40" t="inlineStr">
        <is>
          <t>150.01.02.0002</t>
        </is>
      </c>
      <c r="B697" s="40" t="inlineStr">
        <is>
          <t>Alkolsüz İçecekler</t>
        </is>
      </c>
      <c r="C697" s="40" t="inlineStr">
        <is>
          <t>TRY</t>
        </is>
      </c>
      <c r="D697" s="40" t="inlineStr">
        <is>
          <t>ROYAL DRAGON</t>
        </is>
      </c>
      <c r="E697" s="38" t="n">
        <v>1156521.23</v>
      </c>
      <c r="F697" s="38" t="n">
        <v>0</v>
      </c>
      <c r="G697" s="38" t="n">
        <v>1156521.23</v>
      </c>
      <c r="H697" s="40" t="inlineStr">
        <is>
          <t>Borç</t>
        </is>
      </c>
      <c r="I697" s="38" t="n">
        <v>1156521.23</v>
      </c>
      <c r="J697" s="38" t="n">
        <v>0</v>
      </c>
      <c r="K697" s="38" t="n">
        <v>1156521.23</v>
      </c>
      <c r="L697" s="40" t="inlineStr">
        <is>
          <t>Borç</t>
        </is>
      </c>
    </row>
    <row r="698" s="34">
      <c r="A698" s="40" t="inlineStr">
        <is>
          <t>150.01.02.0002</t>
        </is>
      </c>
      <c r="B698" s="40" t="inlineStr">
        <is>
          <t>Alkolsüz İçecekler</t>
        </is>
      </c>
      <c r="C698" s="40" t="inlineStr">
        <is>
          <t>TRY</t>
        </is>
      </c>
      <c r="D698" s="40" t="inlineStr">
        <is>
          <t>ROYAL HOLIDAY</t>
        </is>
      </c>
      <c r="E698" s="38" t="n">
        <v>1511855.54</v>
      </c>
      <c r="F698" s="38" t="n">
        <v>0</v>
      </c>
      <c r="G698" s="38" t="n">
        <v>1511855.54</v>
      </c>
      <c r="H698" s="40" t="inlineStr">
        <is>
          <t>Borç</t>
        </is>
      </c>
      <c r="I698" s="38" t="n">
        <v>1508738.26</v>
      </c>
      <c r="J698" s="38" t="n">
        <v>0</v>
      </c>
      <c r="K698" s="38" t="n">
        <v>1508738.26</v>
      </c>
      <c r="L698" s="40" t="inlineStr">
        <is>
          <t>Borç</t>
        </is>
      </c>
    </row>
    <row r="699" s="34">
      <c r="A699" s="40" t="inlineStr">
        <is>
          <t>150.01.02.0002</t>
        </is>
      </c>
      <c r="B699" s="40" t="inlineStr">
        <is>
          <t>Alkolsüz İçecekler</t>
        </is>
      </c>
      <c r="C699" s="40" t="inlineStr">
        <is>
          <t>TRY</t>
        </is>
      </c>
      <c r="D699" s="40" t="inlineStr">
        <is>
          <t>ROYAL SEGINUS</t>
        </is>
      </c>
      <c r="E699" s="38" t="n">
        <v>978480.14</v>
      </c>
      <c r="F699" s="38" t="n">
        <v>0</v>
      </c>
      <c r="G699" s="38" t="n">
        <v>978480.14</v>
      </c>
      <c r="H699" s="40" t="inlineStr">
        <is>
          <t>Borç</t>
        </is>
      </c>
      <c r="I699" s="38" t="n">
        <v>978480.14</v>
      </c>
      <c r="J699" s="38" t="n">
        <v>0</v>
      </c>
      <c r="K699" s="38" t="n">
        <v>978480.14</v>
      </c>
      <c r="L699" s="40" t="inlineStr">
        <is>
          <t>Borç</t>
        </is>
      </c>
    </row>
    <row r="700" s="34">
      <c r="A700" s="40" t="inlineStr">
        <is>
          <t>150.01.03</t>
        </is>
      </c>
      <c r="B700" s="40" t="inlineStr">
        <is>
          <t>TEMİZLİK MALZEME STOKLARI</t>
        </is>
      </c>
      <c r="C700" s="40" t="inlineStr">
        <is>
          <t>TRY</t>
        </is>
      </c>
      <c r="E700" s="38" t="n">
        <v>6356482.17</v>
      </c>
      <c r="F700" s="38" t="n">
        <v>0</v>
      </c>
      <c r="G700" s="38" t="n">
        <v>6356482.17</v>
      </c>
      <c r="I700" s="38" t="n">
        <v>6356482.17</v>
      </c>
      <c r="J700" s="38" t="n">
        <v>0</v>
      </c>
      <c r="K700" s="38" t="n">
        <v>6356482.17</v>
      </c>
    </row>
    <row r="701" s="34">
      <c r="A701" s="40" t="inlineStr">
        <is>
          <t>150.01.03.0001</t>
        </is>
      </c>
      <c r="B701" s="40" t="inlineStr">
        <is>
          <t>Deterjanlar</t>
        </is>
      </c>
      <c r="C701" s="40" t="inlineStr">
        <is>
          <t>TRY</t>
        </is>
      </c>
      <c r="D701" s="40" t="inlineStr">
        <is>
          <t>ROYAL ADAM EVE</t>
        </is>
      </c>
      <c r="E701" s="38" t="n">
        <v>2000361.7</v>
      </c>
      <c r="F701" s="38" t="n">
        <v>0</v>
      </c>
      <c r="G701" s="38" t="n">
        <v>2000361.7</v>
      </c>
      <c r="H701" s="40" t="inlineStr">
        <is>
          <t>Borç</t>
        </is>
      </c>
      <c r="I701" s="38" t="n">
        <v>2000361.7</v>
      </c>
      <c r="J701" s="38" t="n">
        <v>0</v>
      </c>
      <c r="K701" s="38" t="n">
        <v>2000361.7</v>
      </c>
      <c r="L701" s="40" t="inlineStr">
        <is>
          <t>Borç</t>
        </is>
      </c>
    </row>
    <row r="702" s="34">
      <c r="A702" s="40" t="inlineStr">
        <is>
          <t>150.01.03.0001</t>
        </is>
      </c>
      <c r="B702" s="40" t="inlineStr">
        <is>
          <t>Deterjanlar</t>
        </is>
      </c>
      <c r="C702" s="40" t="inlineStr">
        <is>
          <t>TRY</t>
        </is>
      </c>
      <c r="D702" s="40" t="inlineStr">
        <is>
          <t>ROYAL ALHAMBRA</t>
        </is>
      </c>
      <c r="E702" s="38" t="n">
        <v>1174884.91</v>
      </c>
      <c r="F702" s="38" t="n">
        <v>0</v>
      </c>
      <c r="G702" s="38" t="n">
        <v>1174884.91</v>
      </c>
      <c r="H702" s="40" t="inlineStr">
        <is>
          <t>Borç</t>
        </is>
      </c>
      <c r="I702" s="38" t="n">
        <v>1174884.91</v>
      </c>
      <c r="J702" s="38" t="n">
        <v>0</v>
      </c>
      <c r="K702" s="38" t="n">
        <v>1174884.91</v>
      </c>
      <c r="L702" s="40" t="inlineStr">
        <is>
          <t>Borç</t>
        </is>
      </c>
    </row>
    <row r="703" s="34">
      <c r="A703" s="40" t="inlineStr">
        <is>
          <t>150.01.03.0001</t>
        </is>
      </c>
      <c r="B703" s="40" t="inlineStr">
        <is>
          <t>Deterjanlar</t>
        </is>
      </c>
      <c r="C703" s="40" t="inlineStr">
        <is>
          <t>TRY</t>
        </is>
      </c>
      <c r="D703" s="40" t="inlineStr">
        <is>
          <t>ROYAL DRAGON</t>
        </is>
      </c>
      <c r="E703" s="38" t="n">
        <v>433231.17</v>
      </c>
      <c r="F703" s="38" t="n">
        <v>0</v>
      </c>
      <c r="G703" s="38" t="n">
        <v>433231.17</v>
      </c>
      <c r="H703" s="40" t="inlineStr">
        <is>
          <t>Borç</t>
        </is>
      </c>
      <c r="I703" s="38" t="n">
        <v>433231.17</v>
      </c>
      <c r="J703" s="38" t="n">
        <v>0</v>
      </c>
      <c r="K703" s="38" t="n">
        <v>433231.17</v>
      </c>
      <c r="L703" s="40" t="inlineStr">
        <is>
          <t>Borç</t>
        </is>
      </c>
    </row>
    <row r="704" s="34">
      <c r="A704" s="40" t="inlineStr">
        <is>
          <t>150.01.03.0001</t>
        </is>
      </c>
      <c r="B704" s="40" t="inlineStr">
        <is>
          <t>Deterjanlar</t>
        </is>
      </c>
      <c r="C704" s="40" t="inlineStr">
        <is>
          <t>TRY</t>
        </is>
      </c>
      <c r="D704" s="40" t="inlineStr">
        <is>
          <t>ROYAL HOLIDAY</t>
        </is>
      </c>
      <c r="E704" s="38" t="n">
        <v>1021111.33</v>
      </c>
      <c r="F704" s="38" t="n">
        <v>0</v>
      </c>
      <c r="G704" s="38" t="n">
        <v>1021111.33</v>
      </c>
      <c r="H704" s="40" t="inlineStr">
        <is>
          <t>Borç</t>
        </is>
      </c>
      <c r="I704" s="38" t="n">
        <v>1021111.33</v>
      </c>
      <c r="J704" s="38" t="n">
        <v>0</v>
      </c>
      <c r="K704" s="38" t="n">
        <v>1021111.33</v>
      </c>
      <c r="L704" s="40" t="inlineStr">
        <is>
          <t>Borç</t>
        </is>
      </c>
    </row>
    <row r="705" s="34">
      <c r="A705" s="40" t="inlineStr">
        <is>
          <t>150.01.03.0001</t>
        </is>
      </c>
      <c r="B705" s="40" t="inlineStr">
        <is>
          <t>Deterjanlar</t>
        </is>
      </c>
      <c r="C705" s="40" t="inlineStr">
        <is>
          <t>TRY</t>
        </is>
      </c>
      <c r="D705" s="40" t="inlineStr">
        <is>
          <t>ROYAL SEGINUS</t>
        </is>
      </c>
      <c r="E705" s="38" t="n">
        <v>762017.3</v>
      </c>
      <c r="F705" s="38" t="n">
        <v>0</v>
      </c>
      <c r="G705" s="38" t="n">
        <v>762017.3</v>
      </c>
      <c r="H705" s="40" t="inlineStr">
        <is>
          <t>Borç</t>
        </is>
      </c>
      <c r="I705" s="38" t="n">
        <v>762017.3</v>
      </c>
      <c r="J705" s="38" t="n">
        <v>0</v>
      </c>
      <c r="K705" s="38" t="n">
        <v>762017.3</v>
      </c>
      <c r="L705" s="40" t="inlineStr">
        <is>
          <t>Borç</t>
        </is>
      </c>
    </row>
    <row r="706" s="34">
      <c r="A706" s="40" t="inlineStr">
        <is>
          <t>150.01.03.0002</t>
        </is>
      </c>
      <c r="B706" s="40" t="inlineStr">
        <is>
          <t>Kağıt Temizlik Grubu</t>
        </is>
      </c>
      <c r="C706" s="40" t="inlineStr">
        <is>
          <t>TRY</t>
        </is>
      </c>
      <c r="D706" s="40" t="inlineStr">
        <is>
          <t>ROYAL ADAM EVE</t>
        </is>
      </c>
      <c r="E706" s="38" t="n">
        <v>79200</v>
      </c>
      <c r="F706" s="38" t="n">
        <v>0</v>
      </c>
      <c r="G706" s="38" t="n">
        <v>79200</v>
      </c>
      <c r="H706" s="40" t="inlineStr">
        <is>
          <t>Borç</t>
        </is>
      </c>
      <c r="I706" s="38" t="n">
        <v>79200</v>
      </c>
      <c r="J706" s="38" t="n">
        <v>0</v>
      </c>
      <c r="K706" s="38" t="n">
        <v>79200</v>
      </c>
      <c r="L706" s="40" t="inlineStr">
        <is>
          <t>Borç</t>
        </is>
      </c>
    </row>
    <row r="707" s="34">
      <c r="A707" s="40" t="inlineStr">
        <is>
          <t>150.01.03.0003</t>
        </is>
      </c>
      <c r="B707" s="40" t="inlineStr">
        <is>
          <t>Genel Temizlik Malzemeleri</t>
        </is>
      </c>
      <c r="C707" s="40" t="inlineStr">
        <is>
          <t>TRY</t>
        </is>
      </c>
      <c r="D707" s="40" t="inlineStr">
        <is>
          <t>ROYAL ADAM EVE</t>
        </is>
      </c>
      <c r="E707" s="38" t="n">
        <v>79696</v>
      </c>
      <c r="F707" s="38" t="n">
        <v>0</v>
      </c>
      <c r="G707" s="38" t="n">
        <v>79696</v>
      </c>
      <c r="H707" s="40" t="inlineStr">
        <is>
          <t>Borç</t>
        </is>
      </c>
      <c r="I707" s="38" t="n">
        <v>79696</v>
      </c>
      <c r="J707" s="38" t="n">
        <v>0</v>
      </c>
      <c r="K707" s="38" t="n">
        <v>79696</v>
      </c>
      <c r="L707" s="40" t="inlineStr">
        <is>
          <t>Borç</t>
        </is>
      </c>
    </row>
    <row r="708" s="34">
      <c r="A708" s="40" t="inlineStr">
        <is>
          <t>150.01.03.0003</t>
        </is>
      </c>
      <c r="B708" s="40" t="inlineStr">
        <is>
          <t>Genel Temizlik Malzemeleri</t>
        </is>
      </c>
      <c r="C708" s="40" t="inlineStr">
        <is>
          <t>TRY</t>
        </is>
      </c>
      <c r="D708" s="40" t="inlineStr">
        <is>
          <t>ROYAL ALHAMBRA</t>
        </is>
      </c>
      <c r="E708" s="38" t="n">
        <v>189515</v>
      </c>
      <c r="F708" s="38" t="n">
        <v>0</v>
      </c>
      <c r="G708" s="38" t="n">
        <v>189515</v>
      </c>
      <c r="H708" s="40" t="inlineStr">
        <is>
          <t>Borç</t>
        </is>
      </c>
      <c r="I708" s="38" t="n">
        <v>189515</v>
      </c>
      <c r="J708" s="38" t="n">
        <v>0</v>
      </c>
      <c r="K708" s="38" t="n">
        <v>189515</v>
      </c>
      <c r="L708" s="40" t="inlineStr">
        <is>
          <t>Borç</t>
        </is>
      </c>
    </row>
    <row r="709" s="34">
      <c r="A709" s="40" t="inlineStr">
        <is>
          <t>150.01.03.0003</t>
        </is>
      </c>
      <c r="B709" s="40" t="inlineStr">
        <is>
          <t>Genel Temizlik Malzemeleri</t>
        </is>
      </c>
      <c r="C709" s="40" t="inlineStr">
        <is>
          <t>TRY</t>
        </is>
      </c>
      <c r="D709" s="40" t="inlineStr">
        <is>
          <t>ROYAL DRAGON</t>
        </is>
      </c>
      <c r="E709" s="38" t="n">
        <v>150910</v>
      </c>
      <c r="F709" s="38" t="n">
        <v>0</v>
      </c>
      <c r="G709" s="38" t="n">
        <v>150910</v>
      </c>
      <c r="H709" s="40" t="inlineStr">
        <is>
          <t>Borç</t>
        </is>
      </c>
      <c r="I709" s="38" t="n">
        <v>150910</v>
      </c>
      <c r="J709" s="38" t="n">
        <v>0</v>
      </c>
      <c r="K709" s="38" t="n">
        <v>150910</v>
      </c>
      <c r="L709" s="40" t="inlineStr">
        <is>
          <t>Borç</t>
        </is>
      </c>
    </row>
    <row r="710" s="34">
      <c r="A710" s="40" t="inlineStr">
        <is>
          <t>150.01.03.0003</t>
        </is>
      </c>
      <c r="B710" s="40" t="inlineStr">
        <is>
          <t>Genel Temizlik Malzemeleri</t>
        </is>
      </c>
      <c r="C710" s="40" t="inlineStr">
        <is>
          <t>TRY</t>
        </is>
      </c>
      <c r="D710" s="40" t="inlineStr">
        <is>
          <t>ROYAL HOLIDAY</t>
        </is>
      </c>
      <c r="E710" s="38" t="n">
        <v>225835</v>
      </c>
      <c r="F710" s="38" t="n">
        <v>0</v>
      </c>
      <c r="G710" s="38" t="n">
        <v>225835</v>
      </c>
      <c r="H710" s="40" t="inlineStr">
        <is>
          <t>Borç</t>
        </is>
      </c>
      <c r="I710" s="38" t="n">
        <v>225835</v>
      </c>
      <c r="J710" s="38" t="n">
        <v>0</v>
      </c>
      <c r="K710" s="38" t="n">
        <v>225835</v>
      </c>
      <c r="L710" s="40" t="inlineStr">
        <is>
          <t>Borç</t>
        </is>
      </c>
    </row>
    <row r="711" s="34">
      <c r="A711" s="40" t="inlineStr">
        <is>
          <t>150.01.03.0003</t>
        </is>
      </c>
      <c r="B711" s="40" t="inlineStr">
        <is>
          <t>Genel Temizlik Malzemeleri</t>
        </is>
      </c>
      <c r="C711" s="40" t="inlineStr">
        <is>
          <t>TRY</t>
        </is>
      </c>
      <c r="D711" s="40" t="inlineStr">
        <is>
          <t>ROYAL SEGINUS</t>
        </is>
      </c>
      <c r="E711" s="38" t="n">
        <v>239719.76</v>
      </c>
      <c r="F711" s="38" t="n">
        <v>0</v>
      </c>
      <c r="G711" s="38" t="n">
        <v>239719.76</v>
      </c>
      <c r="H711" s="40" t="inlineStr">
        <is>
          <t>Borç</t>
        </is>
      </c>
      <c r="I711" s="38" t="n">
        <v>239719.76</v>
      </c>
      <c r="J711" s="38" t="n">
        <v>0</v>
      </c>
      <c r="K711" s="38" t="n">
        <v>239719.76</v>
      </c>
      <c r="L711" s="40" t="inlineStr">
        <is>
          <t>Borç</t>
        </is>
      </c>
    </row>
    <row r="712" s="34">
      <c r="A712" s="40" t="inlineStr">
        <is>
          <t>150.01.04</t>
        </is>
      </c>
      <c r="B712" s="40" t="inlineStr">
        <is>
          <t>MÜŞTERİ MALZEMELERİ</t>
        </is>
      </c>
      <c r="C712" s="40" t="inlineStr">
        <is>
          <t>TRY</t>
        </is>
      </c>
      <c r="E712" s="38" t="n">
        <v>2785644.23</v>
      </c>
      <c r="F712" s="38" t="n">
        <v>0</v>
      </c>
      <c r="G712" s="38" t="n">
        <v>2785644.23</v>
      </c>
      <c r="I712" s="38" t="n">
        <v>2785644.23</v>
      </c>
      <c r="J712" s="38" t="n">
        <v>0</v>
      </c>
      <c r="K712" s="38" t="n">
        <v>2785644.23</v>
      </c>
    </row>
    <row r="713" s="34">
      <c r="A713" s="40" t="inlineStr">
        <is>
          <t>150.01.04.0001</t>
        </is>
      </c>
      <c r="B713" s="40" t="inlineStr">
        <is>
          <t>Buklet Müşteri Malzemeleri</t>
        </is>
      </c>
      <c r="C713" s="40" t="inlineStr">
        <is>
          <t>TRY</t>
        </is>
      </c>
      <c r="D713" s="40" t="inlineStr">
        <is>
          <t>ROYAL ADAM EVE</t>
        </is>
      </c>
      <c r="E713" s="38" t="n">
        <v>525978.5</v>
      </c>
      <c r="F713" s="38" t="n">
        <v>0</v>
      </c>
      <c r="G713" s="38" t="n">
        <v>525978.5</v>
      </c>
      <c r="H713" s="40" t="inlineStr">
        <is>
          <t>Borç</t>
        </is>
      </c>
      <c r="I713" s="38" t="n">
        <v>525978.5</v>
      </c>
      <c r="J713" s="38" t="n">
        <v>0</v>
      </c>
      <c r="K713" s="38" t="n">
        <v>525978.5</v>
      </c>
      <c r="L713" s="40" t="inlineStr">
        <is>
          <t>Borç</t>
        </is>
      </c>
    </row>
    <row r="714" s="34">
      <c r="A714" s="40" t="inlineStr">
        <is>
          <t>150.01.04.0001</t>
        </is>
      </c>
      <c r="B714" s="40" t="inlineStr">
        <is>
          <t>Buklet Müşteri Malzemeleri</t>
        </is>
      </c>
      <c r="C714" s="40" t="inlineStr">
        <is>
          <t>TRY</t>
        </is>
      </c>
      <c r="D714" s="40" t="inlineStr">
        <is>
          <t>ROYAL ALHAMBRA</t>
        </is>
      </c>
      <c r="E714" s="38" t="n">
        <v>80545</v>
      </c>
      <c r="F714" s="38" t="n">
        <v>0</v>
      </c>
      <c r="G714" s="38" t="n">
        <v>80545</v>
      </c>
      <c r="H714" s="40" t="inlineStr">
        <is>
          <t>Borç</t>
        </is>
      </c>
      <c r="I714" s="38" t="n">
        <v>80545</v>
      </c>
      <c r="J714" s="38" t="n">
        <v>0</v>
      </c>
      <c r="K714" s="38" t="n">
        <v>80545</v>
      </c>
      <c r="L714" s="40" t="inlineStr">
        <is>
          <t>Borç</t>
        </is>
      </c>
    </row>
    <row r="715" s="34">
      <c r="A715" s="40" t="inlineStr">
        <is>
          <t>150.01.04.0001</t>
        </is>
      </c>
      <c r="B715" s="40" t="inlineStr">
        <is>
          <t>Buklet Müşteri Malzemeleri</t>
        </is>
      </c>
      <c r="C715" s="40" t="inlineStr">
        <is>
          <t>TRY</t>
        </is>
      </c>
      <c r="D715" s="40" t="inlineStr">
        <is>
          <t>ROYAL DRAGON</t>
        </is>
      </c>
      <c r="E715" s="38" t="n">
        <v>322108</v>
      </c>
      <c r="F715" s="38" t="n">
        <v>0</v>
      </c>
      <c r="G715" s="38" t="n">
        <v>322108</v>
      </c>
      <c r="H715" s="40" t="inlineStr">
        <is>
          <t>Borç</t>
        </is>
      </c>
      <c r="I715" s="38" t="n">
        <v>322108</v>
      </c>
      <c r="J715" s="38" t="n">
        <v>0</v>
      </c>
      <c r="K715" s="38" t="n">
        <v>322108</v>
      </c>
      <c r="L715" s="40" t="inlineStr">
        <is>
          <t>Borç</t>
        </is>
      </c>
    </row>
    <row r="716" s="34">
      <c r="A716" s="40" t="inlineStr">
        <is>
          <t>150.01.04.0001</t>
        </is>
      </c>
      <c r="B716" s="40" t="inlineStr">
        <is>
          <t>Buklet Müşteri Malzemeleri</t>
        </is>
      </c>
      <c r="C716" s="40" t="inlineStr">
        <is>
          <t>TRY</t>
        </is>
      </c>
      <c r="D716" s="40" t="inlineStr">
        <is>
          <t>ROYAL HOLIDAY</t>
        </is>
      </c>
      <c r="E716" s="38" t="n">
        <v>917195</v>
      </c>
      <c r="F716" s="38" t="n">
        <v>0</v>
      </c>
      <c r="G716" s="38" t="n">
        <v>917195</v>
      </c>
      <c r="H716" s="40" t="inlineStr">
        <is>
          <t>Borç</t>
        </is>
      </c>
      <c r="I716" s="38" t="n">
        <v>917195</v>
      </c>
      <c r="J716" s="38" t="n">
        <v>0</v>
      </c>
      <c r="K716" s="38" t="n">
        <v>917195</v>
      </c>
      <c r="L716" s="40" t="inlineStr">
        <is>
          <t>Borç</t>
        </is>
      </c>
    </row>
    <row r="717" s="34">
      <c r="A717" s="40" t="inlineStr">
        <is>
          <t>150.01.04.0001</t>
        </is>
      </c>
      <c r="B717" s="40" t="inlineStr">
        <is>
          <t>Buklet Müşteri Malzemeleri</t>
        </is>
      </c>
      <c r="C717" s="40" t="inlineStr">
        <is>
          <t>TRY</t>
        </is>
      </c>
      <c r="D717" s="40" t="inlineStr">
        <is>
          <t>ROYAL SEGINUS</t>
        </is>
      </c>
      <c r="E717" s="38" t="n">
        <v>195108</v>
      </c>
      <c r="F717" s="38" t="n">
        <v>0</v>
      </c>
      <c r="G717" s="38" t="n">
        <v>195108</v>
      </c>
      <c r="H717" s="40" t="inlineStr">
        <is>
          <t>Borç</t>
        </is>
      </c>
      <c r="I717" s="38" t="n">
        <v>195108</v>
      </c>
      <c r="J717" s="38" t="n">
        <v>0</v>
      </c>
      <c r="K717" s="38" t="n">
        <v>195108</v>
      </c>
      <c r="L717" s="40" t="inlineStr">
        <is>
          <t>Borç</t>
        </is>
      </c>
    </row>
    <row r="718" s="34">
      <c r="A718" s="40" t="inlineStr">
        <is>
          <t>150.01.04.0002</t>
        </is>
      </c>
      <c r="B718" s="40" t="inlineStr">
        <is>
          <t>Mutfak&amp;F/B Müşteri Malzemeleri</t>
        </is>
      </c>
      <c r="C718" s="40" t="inlineStr">
        <is>
          <t>TRY</t>
        </is>
      </c>
      <c r="D718" s="40" t="inlineStr">
        <is>
          <t>ROYAL ADAM EVE</t>
        </is>
      </c>
      <c r="E718" s="38" t="n">
        <v>63808</v>
      </c>
      <c r="F718" s="38" t="n">
        <v>0</v>
      </c>
      <c r="G718" s="38" t="n">
        <v>63808</v>
      </c>
      <c r="H718" s="40" t="inlineStr">
        <is>
          <t>Borç</t>
        </is>
      </c>
      <c r="I718" s="38" t="n">
        <v>63808</v>
      </c>
      <c r="J718" s="38" t="n">
        <v>0</v>
      </c>
      <c r="K718" s="38" t="n">
        <v>63808</v>
      </c>
      <c r="L718" s="40" t="inlineStr">
        <is>
          <t>Borç</t>
        </is>
      </c>
    </row>
    <row r="719" s="34">
      <c r="A719" s="40" t="inlineStr">
        <is>
          <t>150.01.04.0002</t>
        </is>
      </c>
      <c r="B719" s="40" t="inlineStr">
        <is>
          <t>Mutfak&amp;F/B Müşteri Malzemeleri</t>
        </is>
      </c>
      <c r="C719" s="40" t="inlineStr">
        <is>
          <t>TRY</t>
        </is>
      </c>
      <c r="D719" s="40" t="inlineStr">
        <is>
          <t>ROYAL ALHAMBRA</t>
        </is>
      </c>
      <c r="E719" s="38" t="n">
        <v>221700.9</v>
      </c>
      <c r="F719" s="38" t="n">
        <v>0</v>
      </c>
      <c r="G719" s="38" t="n">
        <v>221700.9</v>
      </c>
      <c r="H719" s="40" t="inlineStr">
        <is>
          <t>Borç</t>
        </is>
      </c>
      <c r="I719" s="38" t="n">
        <v>221700.9</v>
      </c>
      <c r="J719" s="38" t="n">
        <v>0</v>
      </c>
      <c r="K719" s="38" t="n">
        <v>221700.9</v>
      </c>
      <c r="L719" s="40" t="inlineStr">
        <is>
          <t>Borç</t>
        </is>
      </c>
    </row>
    <row r="720" s="34">
      <c r="A720" s="40" t="inlineStr">
        <is>
          <t>150.01.04.0002</t>
        </is>
      </c>
      <c r="B720" s="40" t="inlineStr">
        <is>
          <t>Mutfak&amp;F/B Müşteri Malzemeleri</t>
        </is>
      </c>
      <c r="C720" s="40" t="inlineStr">
        <is>
          <t>TRY</t>
        </is>
      </c>
      <c r="D720" s="40" t="inlineStr">
        <is>
          <t>ROYAL DRAGON</t>
        </is>
      </c>
      <c r="E720" s="38" t="n">
        <v>89718.3</v>
      </c>
      <c r="F720" s="38" t="n">
        <v>0</v>
      </c>
      <c r="G720" s="38" t="n">
        <v>89718.3</v>
      </c>
      <c r="H720" s="40" t="inlineStr">
        <is>
          <t>Borç</t>
        </is>
      </c>
      <c r="I720" s="38" t="n">
        <v>89718.3</v>
      </c>
      <c r="J720" s="38" t="n">
        <v>0</v>
      </c>
      <c r="K720" s="38" t="n">
        <v>89718.3</v>
      </c>
      <c r="L720" s="40" t="inlineStr">
        <is>
          <t>Borç</t>
        </is>
      </c>
    </row>
    <row r="721" s="34">
      <c r="A721" s="40" t="inlineStr">
        <is>
          <t>150.01.04.0002</t>
        </is>
      </c>
      <c r="B721" s="40" t="inlineStr">
        <is>
          <t>Mutfak&amp;F/B Müşteri Malzemeleri</t>
        </is>
      </c>
      <c r="C721" s="40" t="inlineStr">
        <is>
          <t>TRY</t>
        </is>
      </c>
      <c r="D721" s="40" t="inlineStr">
        <is>
          <t>ROYAL HOLIDAY</t>
        </is>
      </c>
      <c r="E721" s="38" t="n">
        <v>98142.5</v>
      </c>
      <c r="F721" s="38" t="n">
        <v>0</v>
      </c>
      <c r="G721" s="38" t="n">
        <v>98142.5</v>
      </c>
      <c r="H721" s="40" t="inlineStr">
        <is>
          <t>Borç</t>
        </is>
      </c>
      <c r="I721" s="38" t="n">
        <v>98142.5</v>
      </c>
      <c r="J721" s="38" t="n">
        <v>0</v>
      </c>
      <c r="K721" s="38" t="n">
        <v>98142.5</v>
      </c>
      <c r="L721" s="40" t="inlineStr">
        <is>
          <t>Borç</t>
        </is>
      </c>
    </row>
    <row r="722" s="34">
      <c r="A722" s="40" t="inlineStr">
        <is>
          <t>150.01.04.0002</t>
        </is>
      </c>
      <c r="B722" s="40" t="inlineStr">
        <is>
          <t>Mutfak&amp;F/B Müşteri Malzemeleri</t>
        </is>
      </c>
      <c r="C722" s="40" t="inlineStr">
        <is>
          <t>TRY</t>
        </is>
      </c>
      <c r="D722" s="40" t="inlineStr">
        <is>
          <t>ROYAL SEGINUS</t>
        </is>
      </c>
      <c r="E722" s="38" t="n">
        <v>123230</v>
      </c>
      <c r="F722" s="38" t="n">
        <v>0</v>
      </c>
      <c r="G722" s="38" t="n">
        <v>123230</v>
      </c>
      <c r="H722" s="40" t="inlineStr">
        <is>
          <t>Borç</t>
        </is>
      </c>
      <c r="I722" s="38" t="n">
        <v>123230</v>
      </c>
      <c r="J722" s="38" t="n">
        <v>0</v>
      </c>
      <c r="K722" s="38" t="n">
        <v>123230</v>
      </c>
      <c r="L722" s="40" t="inlineStr">
        <is>
          <t>Borç</t>
        </is>
      </c>
    </row>
    <row r="723" s="34">
      <c r="A723" s="40" t="inlineStr">
        <is>
          <t>150.01.04.0003</t>
        </is>
      </c>
      <c r="B723" s="40" t="inlineStr">
        <is>
          <t>Diğer Müşteri Malzemeleri</t>
        </is>
      </c>
      <c r="C723" s="40" t="inlineStr">
        <is>
          <t>TRY</t>
        </is>
      </c>
      <c r="D723" s="40" t="inlineStr">
        <is>
          <t>ROYAL ADAM EVE</t>
        </is>
      </c>
      <c r="E723" s="38" t="n">
        <v>52915.03</v>
      </c>
      <c r="F723" s="38" t="n">
        <v>0</v>
      </c>
      <c r="G723" s="38" t="n">
        <v>52915.03</v>
      </c>
      <c r="H723" s="40" t="inlineStr">
        <is>
          <t>Borç</t>
        </is>
      </c>
      <c r="I723" s="38" t="n">
        <v>52915.03</v>
      </c>
      <c r="J723" s="38" t="n">
        <v>0</v>
      </c>
      <c r="K723" s="38" t="n">
        <v>52915.03</v>
      </c>
      <c r="L723" s="40" t="inlineStr">
        <is>
          <t>Borç</t>
        </is>
      </c>
    </row>
    <row r="724" s="34">
      <c r="A724" s="40" t="inlineStr">
        <is>
          <t>150.01.04.0003</t>
        </is>
      </c>
      <c r="B724" s="40" t="inlineStr">
        <is>
          <t>Diğer Müşteri Malzemeleri</t>
        </is>
      </c>
      <c r="C724" s="40" t="inlineStr">
        <is>
          <t>TRY</t>
        </is>
      </c>
      <c r="D724" s="40" t="inlineStr">
        <is>
          <t>ROYAL ALHAMBRA</t>
        </is>
      </c>
      <c r="E724" s="38" t="n">
        <v>39010</v>
      </c>
      <c r="F724" s="38" t="n">
        <v>0</v>
      </c>
      <c r="G724" s="38" t="n">
        <v>39010</v>
      </c>
      <c r="H724" s="40" t="inlineStr">
        <is>
          <t>Borç</t>
        </is>
      </c>
      <c r="I724" s="38" t="n">
        <v>39010</v>
      </c>
      <c r="J724" s="38" t="n">
        <v>0</v>
      </c>
      <c r="K724" s="38" t="n">
        <v>39010</v>
      </c>
      <c r="L724" s="40" t="inlineStr">
        <is>
          <t>Borç</t>
        </is>
      </c>
    </row>
    <row r="725" s="34">
      <c r="A725" s="40" t="inlineStr">
        <is>
          <t>150.01.04.0003</t>
        </is>
      </c>
      <c r="B725" s="40" t="inlineStr">
        <is>
          <t>Diğer Müşteri Malzemeleri</t>
        </is>
      </c>
      <c r="C725" s="40" t="inlineStr">
        <is>
          <t>TRY</t>
        </is>
      </c>
      <c r="D725" s="40" t="inlineStr">
        <is>
          <t>ROYAL DRAGON</t>
        </is>
      </c>
      <c r="E725" s="38" t="n">
        <v>26830</v>
      </c>
      <c r="F725" s="38" t="n">
        <v>0</v>
      </c>
      <c r="G725" s="38" t="n">
        <v>26830</v>
      </c>
      <c r="H725" s="40" t="inlineStr">
        <is>
          <t>Borç</t>
        </is>
      </c>
      <c r="I725" s="38" t="n">
        <v>26830</v>
      </c>
      <c r="J725" s="38" t="n">
        <v>0</v>
      </c>
      <c r="K725" s="38" t="n">
        <v>26830</v>
      </c>
      <c r="L725" s="40" t="inlineStr">
        <is>
          <t>Borç</t>
        </is>
      </c>
    </row>
    <row r="726" s="34">
      <c r="A726" s="40" t="inlineStr">
        <is>
          <t>150.01.04.0003</t>
        </is>
      </c>
      <c r="B726" s="40" t="inlineStr">
        <is>
          <t>Diğer Müşteri Malzemeleri</t>
        </is>
      </c>
      <c r="C726" s="40" t="inlineStr">
        <is>
          <t>TRY</t>
        </is>
      </c>
      <c r="D726" s="40" t="inlineStr">
        <is>
          <t>ROYAL HOLIDAY</t>
        </is>
      </c>
      <c r="E726" s="38" t="n">
        <v>26685</v>
      </c>
      <c r="F726" s="38" t="n">
        <v>0</v>
      </c>
      <c r="G726" s="38" t="n">
        <v>26685</v>
      </c>
      <c r="H726" s="40" t="inlineStr">
        <is>
          <t>Borç</t>
        </is>
      </c>
      <c r="I726" s="38" t="n">
        <v>26685</v>
      </c>
      <c r="J726" s="38" t="n">
        <v>0</v>
      </c>
      <c r="K726" s="38" t="n">
        <v>26685</v>
      </c>
      <c r="L726" s="40" t="inlineStr">
        <is>
          <t>Borç</t>
        </is>
      </c>
    </row>
    <row r="727" s="34">
      <c r="A727" s="40" t="inlineStr">
        <is>
          <t>150.01.04.0003</t>
        </is>
      </c>
      <c r="B727" s="40" t="inlineStr">
        <is>
          <t>Diğer Müşteri Malzemeleri</t>
        </is>
      </c>
      <c r="C727" s="40" t="inlineStr">
        <is>
          <t>TRY</t>
        </is>
      </c>
      <c r="D727" s="40" t="inlineStr">
        <is>
          <t>ROYAL SEGINUS</t>
        </is>
      </c>
      <c r="E727" s="38" t="n">
        <v>2670</v>
      </c>
      <c r="F727" s="38" t="n">
        <v>0</v>
      </c>
      <c r="G727" s="38" t="n">
        <v>2670</v>
      </c>
      <c r="H727" s="40" t="inlineStr">
        <is>
          <t>Borç</t>
        </is>
      </c>
      <c r="I727" s="38" t="n">
        <v>2670</v>
      </c>
      <c r="J727" s="38" t="n">
        <v>0</v>
      </c>
      <c r="K727" s="38" t="n">
        <v>2670</v>
      </c>
      <c r="L727" s="40" t="inlineStr">
        <is>
          <t>Borç</t>
        </is>
      </c>
    </row>
    <row r="728" s="34">
      <c r="A728" s="40" t="inlineStr">
        <is>
          <t>150.01.05</t>
        </is>
      </c>
      <c r="B728" s="40" t="inlineStr">
        <is>
          <t>KIRTASİYE&amp;BASILI EVRAK</t>
        </is>
      </c>
      <c r="C728" s="40" t="inlineStr">
        <is>
          <t>TRY</t>
        </is>
      </c>
      <c r="E728" s="38" t="n">
        <v>224400.5</v>
      </c>
      <c r="F728" s="38" t="n">
        <v>0</v>
      </c>
      <c r="G728" s="38" t="n">
        <v>224400.5</v>
      </c>
      <c r="I728" s="38" t="n">
        <v>224400.5</v>
      </c>
      <c r="J728" s="38" t="n">
        <v>0</v>
      </c>
      <c r="K728" s="38" t="n">
        <v>224400.5</v>
      </c>
    </row>
    <row r="729" s="34">
      <c r="A729" s="40" t="inlineStr">
        <is>
          <t>150.01.05.0001</t>
        </is>
      </c>
      <c r="B729" s="40" t="inlineStr">
        <is>
          <t>Kırtasiye Malzemeleri</t>
        </is>
      </c>
      <c r="C729" s="40" t="inlineStr">
        <is>
          <t>TRY</t>
        </is>
      </c>
      <c r="D729" s="40" t="inlineStr">
        <is>
          <t>ROYAL ADAM EVE</t>
        </is>
      </c>
      <c r="E729" s="38" t="n">
        <v>87070</v>
      </c>
      <c r="F729" s="38" t="n">
        <v>0</v>
      </c>
      <c r="G729" s="38" t="n">
        <v>87070</v>
      </c>
      <c r="H729" s="40" t="inlineStr">
        <is>
          <t>Borç</t>
        </is>
      </c>
      <c r="I729" s="38" t="n">
        <v>87070</v>
      </c>
      <c r="J729" s="38" t="n">
        <v>0</v>
      </c>
      <c r="K729" s="38" t="n">
        <v>87070</v>
      </c>
      <c r="L729" s="40" t="inlineStr">
        <is>
          <t>Borç</t>
        </is>
      </c>
    </row>
    <row r="730" s="34">
      <c r="A730" s="40" t="inlineStr">
        <is>
          <t>150.01.05.0001</t>
        </is>
      </c>
      <c r="B730" s="40" t="inlineStr">
        <is>
          <t>Kırtasiye Malzemeleri</t>
        </is>
      </c>
      <c r="C730" s="40" t="inlineStr">
        <is>
          <t>TRY</t>
        </is>
      </c>
      <c r="D730" s="40" t="inlineStr">
        <is>
          <t>ROYAL ALHAMBRA</t>
        </is>
      </c>
      <c r="E730" s="38" t="n">
        <v>120</v>
      </c>
      <c r="F730" s="38" t="n">
        <v>0</v>
      </c>
      <c r="G730" s="38" t="n">
        <v>120</v>
      </c>
      <c r="H730" s="40" t="inlineStr">
        <is>
          <t>Borç</t>
        </is>
      </c>
      <c r="I730" s="38" t="n">
        <v>120</v>
      </c>
      <c r="J730" s="38" t="n">
        <v>0</v>
      </c>
      <c r="K730" s="38" t="n">
        <v>120</v>
      </c>
      <c r="L730" s="40" t="inlineStr">
        <is>
          <t>Borç</t>
        </is>
      </c>
    </row>
    <row r="731" s="34">
      <c r="A731" s="40" t="inlineStr">
        <is>
          <t>150.01.05.0001</t>
        </is>
      </c>
      <c r="B731" s="40" t="inlineStr">
        <is>
          <t>Kırtasiye Malzemeleri</t>
        </is>
      </c>
      <c r="C731" s="40" t="inlineStr">
        <is>
          <t>TRY</t>
        </is>
      </c>
      <c r="D731" s="40" t="inlineStr">
        <is>
          <t>ROYAL DRAGON</t>
        </is>
      </c>
      <c r="E731" s="38" t="n">
        <v>89700</v>
      </c>
      <c r="F731" s="38" t="n">
        <v>0</v>
      </c>
      <c r="G731" s="38" t="n">
        <v>89700</v>
      </c>
      <c r="H731" s="40" t="inlineStr">
        <is>
          <t>Borç</t>
        </is>
      </c>
      <c r="I731" s="38" t="n">
        <v>89700</v>
      </c>
      <c r="J731" s="38" t="n">
        <v>0</v>
      </c>
      <c r="K731" s="38" t="n">
        <v>89700</v>
      </c>
      <c r="L731" s="40" t="inlineStr">
        <is>
          <t>Borç</t>
        </is>
      </c>
    </row>
    <row r="732" s="34">
      <c r="A732" s="40" t="inlineStr">
        <is>
          <t>150.01.05.0001</t>
        </is>
      </c>
      <c r="B732" s="40" t="inlineStr">
        <is>
          <t>Kırtasiye Malzemeleri</t>
        </is>
      </c>
      <c r="C732" s="40" t="inlineStr">
        <is>
          <t>TRY</t>
        </is>
      </c>
      <c r="D732" s="40" t="inlineStr">
        <is>
          <t>ROYAL HOLIDAY</t>
        </is>
      </c>
      <c r="E732" s="38" t="n">
        <v>3994</v>
      </c>
      <c r="F732" s="38" t="n">
        <v>0</v>
      </c>
      <c r="G732" s="38" t="n">
        <v>3994</v>
      </c>
      <c r="H732" s="40" t="inlineStr">
        <is>
          <t>Borç</t>
        </is>
      </c>
      <c r="I732" s="38" t="n">
        <v>3994</v>
      </c>
      <c r="J732" s="38" t="n">
        <v>0</v>
      </c>
      <c r="K732" s="38" t="n">
        <v>3994</v>
      </c>
      <c r="L732" s="40" t="inlineStr">
        <is>
          <t>Borç</t>
        </is>
      </c>
    </row>
    <row r="733" s="34">
      <c r="A733" s="40" t="inlineStr">
        <is>
          <t>150.01.05.0001</t>
        </is>
      </c>
      <c r="B733" s="40" t="inlineStr">
        <is>
          <t>Kırtasiye Malzemeleri</t>
        </is>
      </c>
      <c r="C733" s="40" t="inlineStr">
        <is>
          <t>TRY</t>
        </is>
      </c>
      <c r="D733" s="40" t="inlineStr">
        <is>
          <t>ROYAL SEGINUS</t>
        </is>
      </c>
      <c r="E733" s="38" t="n">
        <v>551.5</v>
      </c>
      <c r="F733" s="38" t="n">
        <v>0</v>
      </c>
      <c r="G733" s="38" t="n">
        <v>551.5</v>
      </c>
      <c r="H733" s="40" t="inlineStr">
        <is>
          <t>Borç</t>
        </is>
      </c>
      <c r="I733" s="38" t="n">
        <v>551.5</v>
      </c>
      <c r="J733" s="38" t="n">
        <v>0</v>
      </c>
      <c r="K733" s="38" t="n">
        <v>551.5</v>
      </c>
      <c r="L733" s="40" t="inlineStr">
        <is>
          <t>Borç</t>
        </is>
      </c>
    </row>
    <row r="734" s="34">
      <c r="A734" s="40" t="inlineStr">
        <is>
          <t>150.01.05.0002</t>
        </is>
      </c>
      <c r="B734" s="40" t="inlineStr">
        <is>
          <t>Basılı Evrak Malzemeleri</t>
        </is>
      </c>
      <c r="C734" s="40" t="inlineStr">
        <is>
          <t>TRY</t>
        </is>
      </c>
      <c r="D734" s="40" t="inlineStr">
        <is>
          <t>ROYAL ADAM EVE</t>
        </is>
      </c>
      <c r="E734" s="38" t="n">
        <v>17170</v>
      </c>
      <c r="F734" s="38" t="n">
        <v>0</v>
      </c>
      <c r="G734" s="38" t="n">
        <v>17170</v>
      </c>
      <c r="H734" s="40" t="inlineStr">
        <is>
          <t>Borç</t>
        </is>
      </c>
      <c r="I734" s="38" t="n">
        <v>17170</v>
      </c>
      <c r="J734" s="38" t="n">
        <v>0</v>
      </c>
      <c r="K734" s="38" t="n">
        <v>17170</v>
      </c>
      <c r="L734" s="40" t="inlineStr">
        <is>
          <t>Borç</t>
        </is>
      </c>
    </row>
    <row r="735" s="34">
      <c r="A735" s="40" t="inlineStr">
        <is>
          <t>150.01.05.0002</t>
        </is>
      </c>
      <c r="B735" s="40" t="inlineStr">
        <is>
          <t>Basılı Evrak Malzemeleri</t>
        </is>
      </c>
      <c r="C735" s="40" t="inlineStr">
        <is>
          <t>TRY</t>
        </is>
      </c>
      <c r="D735" s="40" t="inlineStr">
        <is>
          <t>ROYAL ALHAMBRA</t>
        </is>
      </c>
      <c r="E735" s="38" t="n">
        <v>25795</v>
      </c>
      <c r="F735" s="38" t="n">
        <v>0</v>
      </c>
      <c r="G735" s="38" t="n">
        <v>25795</v>
      </c>
      <c r="H735" s="40" t="inlineStr">
        <is>
          <t>Borç</t>
        </is>
      </c>
      <c r="I735" s="38" t="n">
        <v>25795</v>
      </c>
      <c r="J735" s="38" t="n">
        <v>0</v>
      </c>
      <c r="K735" s="38" t="n">
        <v>25795</v>
      </c>
      <c r="L735" s="40" t="inlineStr">
        <is>
          <t>Borç</t>
        </is>
      </c>
    </row>
    <row r="736" s="34">
      <c r="A736" s="40" t="inlineStr">
        <is>
          <t>150.01.06</t>
        </is>
      </c>
      <c r="B736" s="40" t="inlineStr">
        <is>
          <t>TEKNİK&amp;BAHÇE</t>
        </is>
      </c>
      <c r="C736" s="40" t="inlineStr">
        <is>
          <t>TRY</t>
        </is>
      </c>
      <c r="E736" s="38" t="n">
        <v>2072421.74</v>
      </c>
      <c r="F736" s="38" t="n">
        <v>16500</v>
      </c>
      <c r="G736" s="38" t="n">
        <v>2055921.74</v>
      </c>
      <c r="I736" s="38" t="n">
        <v>2072421.74</v>
      </c>
      <c r="J736" s="38" t="n">
        <v>16500</v>
      </c>
      <c r="K736" s="38" t="n">
        <v>2055921.74</v>
      </c>
    </row>
    <row r="737" s="34">
      <c r="A737" s="40" t="inlineStr">
        <is>
          <t>150.01.06.0001</t>
        </is>
      </c>
      <c r="B737" s="40" t="inlineStr">
        <is>
          <t>Teknik Malzemeler&amp;Kimyasallar</t>
        </is>
      </c>
      <c r="C737" s="40" t="inlineStr">
        <is>
          <t>TRY</t>
        </is>
      </c>
      <c r="D737" s="40" t="inlineStr">
        <is>
          <t>ROYAL ADAM EVE</t>
        </is>
      </c>
      <c r="E737" s="38" t="n">
        <v>493111.71</v>
      </c>
      <c r="F737" s="38" t="n">
        <v>0</v>
      </c>
      <c r="G737" s="38" t="n">
        <v>493111.71</v>
      </c>
      <c r="H737" s="40" t="inlineStr">
        <is>
          <t>Borç</t>
        </is>
      </c>
      <c r="I737" s="38" t="n">
        <v>493111.71</v>
      </c>
      <c r="J737" s="38" t="n">
        <v>0</v>
      </c>
      <c r="K737" s="38" t="n">
        <v>493111.71</v>
      </c>
      <c r="L737" s="40" t="inlineStr">
        <is>
          <t>Borç</t>
        </is>
      </c>
    </row>
    <row r="738" s="34">
      <c r="A738" s="40" t="inlineStr">
        <is>
          <t>150.01.06.0001</t>
        </is>
      </c>
      <c r="B738" s="40" t="inlineStr">
        <is>
          <t>Teknik Malzemeler&amp;Kimyasallar</t>
        </is>
      </c>
      <c r="C738" s="40" t="inlineStr">
        <is>
          <t>TRY</t>
        </is>
      </c>
      <c r="D738" s="40" t="inlineStr">
        <is>
          <t>ROYAL ALHAMBRA</t>
        </is>
      </c>
      <c r="E738" s="38" t="n">
        <v>316391.75</v>
      </c>
      <c r="F738" s="38" t="n">
        <v>0</v>
      </c>
      <c r="G738" s="38" t="n">
        <v>316391.75</v>
      </c>
      <c r="H738" s="40" t="inlineStr">
        <is>
          <t>Borç</t>
        </is>
      </c>
      <c r="I738" s="38" t="n">
        <v>316391.75</v>
      </c>
      <c r="J738" s="38" t="n">
        <v>0</v>
      </c>
      <c r="K738" s="38" t="n">
        <v>316391.75</v>
      </c>
      <c r="L738" s="40" t="inlineStr">
        <is>
          <t>Borç</t>
        </is>
      </c>
    </row>
    <row r="739" s="34">
      <c r="A739" s="40" t="inlineStr">
        <is>
          <t>150.01.06.0001</t>
        </is>
      </c>
      <c r="B739" s="40" t="inlineStr">
        <is>
          <t>Teknik Malzemeler&amp;Kimyasallar</t>
        </is>
      </c>
      <c r="C739" s="40" t="inlineStr">
        <is>
          <t>TRY</t>
        </is>
      </c>
      <c r="D739" s="40" t="inlineStr">
        <is>
          <t>ROYAL DRAGON</t>
        </is>
      </c>
      <c r="E739" s="38" t="n">
        <v>205269.22</v>
      </c>
      <c r="F739" s="38" t="n">
        <v>0</v>
      </c>
      <c r="G739" s="38" t="n">
        <v>205269.22</v>
      </c>
      <c r="H739" s="40" t="inlineStr">
        <is>
          <t>Borç</t>
        </is>
      </c>
      <c r="I739" s="38" t="n">
        <v>205269.22</v>
      </c>
      <c r="J739" s="38" t="n">
        <v>0</v>
      </c>
      <c r="K739" s="38" t="n">
        <v>205269.22</v>
      </c>
      <c r="L739" s="40" t="inlineStr">
        <is>
          <t>Borç</t>
        </is>
      </c>
    </row>
    <row r="740" s="34">
      <c r="A740" s="40" t="inlineStr">
        <is>
          <t>150.01.06.0001</t>
        </is>
      </c>
      <c r="B740" s="40" t="inlineStr">
        <is>
          <t>Teknik Malzemeler&amp;Kimyasallar</t>
        </is>
      </c>
      <c r="C740" s="40" t="inlineStr">
        <is>
          <t>TRY</t>
        </is>
      </c>
      <c r="D740" s="40" t="inlineStr">
        <is>
          <t>ROYAL HOLIDAY</t>
        </is>
      </c>
      <c r="E740" s="38" t="n">
        <v>556897.21</v>
      </c>
      <c r="F740" s="38" t="n">
        <v>0</v>
      </c>
      <c r="G740" s="38" t="n">
        <v>556897.21</v>
      </c>
      <c r="H740" s="40" t="inlineStr">
        <is>
          <t>Borç</t>
        </is>
      </c>
      <c r="I740" s="38" t="n">
        <v>556897.21</v>
      </c>
      <c r="J740" s="38" t="n">
        <v>0</v>
      </c>
      <c r="K740" s="38" t="n">
        <v>556897.21</v>
      </c>
      <c r="L740" s="40" t="inlineStr">
        <is>
          <t>Borç</t>
        </is>
      </c>
    </row>
    <row r="741" s="34">
      <c r="A741" s="40" t="inlineStr">
        <is>
          <t>150.01.06.0001</t>
        </is>
      </c>
      <c r="B741" s="40" t="inlineStr">
        <is>
          <t>Teknik Malzemeler&amp;Kimyasallar</t>
        </is>
      </c>
      <c r="C741" s="40" t="inlineStr">
        <is>
          <t>TRY</t>
        </is>
      </c>
      <c r="D741" s="40" t="inlineStr">
        <is>
          <t>ROYAL SEGINUS</t>
        </is>
      </c>
      <c r="E741" s="38" t="n">
        <v>476613.67</v>
      </c>
      <c r="F741" s="38" t="n">
        <v>16500</v>
      </c>
      <c r="G741" s="38" t="n">
        <v>460113.67</v>
      </c>
      <c r="H741" s="40" t="inlineStr">
        <is>
          <t>Borç</t>
        </is>
      </c>
      <c r="I741" s="38" t="n">
        <v>476613.67</v>
      </c>
      <c r="J741" s="38" t="n">
        <v>16500</v>
      </c>
      <c r="K741" s="38" t="n">
        <v>460113.67</v>
      </c>
      <c r="L741" s="40" t="inlineStr">
        <is>
          <t>Borç</t>
        </is>
      </c>
    </row>
    <row r="742" s="34">
      <c r="A742" s="40" t="inlineStr">
        <is>
          <t>150.01.06.0002</t>
        </is>
      </c>
      <c r="B742" s="40" t="inlineStr">
        <is>
          <t>YakıTLar</t>
        </is>
      </c>
      <c r="C742" s="40" t="inlineStr">
        <is>
          <t>TRY</t>
        </is>
      </c>
      <c r="D742" s="40" t="inlineStr">
        <is>
          <t>ROYAL ADAM EVE</t>
        </is>
      </c>
      <c r="E742" s="38" t="n">
        <v>2320</v>
      </c>
      <c r="F742" s="38" t="n">
        <v>0</v>
      </c>
      <c r="G742" s="38" t="n">
        <v>2320</v>
      </c>
      <c r="H742" s="40" t="inlineStr">
        <is>
          <t>Borç</t>
        </is>
      </c>
      <c r="I742" s="38" t="n">
        <v>2320</v>
      </c>
      <c r="J742" s="38" t="n">
        <v>0</v>
      </c>
      <c r="K742" s="38" t="n">
        <v>2320</v>
      </c>
      <c r="L742" s="40" t="inlineStr">
        <is>
          <t>Borç</t>
        </is>
      </c>
    </row>
    <row r="743" s="34">
      <c r="A743" s="40" t="inlineStr">
        <is>
          <t>150.01.06.0002</t>
        </is>
      </c>
      <c r="B743" s="40" t="inlineStr">
        <is>
          <t>YakıTLar</t>
        </is>
      </c>
      <c r="C743" s="40" t="inlineStr">
        <is>
          <t>TRY</t>
        </is>
      </c>
      <c r="D743" s="40" t="inlineStr">
        <is>
          <t>ROYAL HOLIDAY</t>
        </is>
      </c>
      <c r="E743" s="38" t="n">
        <v>12218.18</v>
      </c>
      <c r="F743" s="38" t="n">
        <v>0</v>
      </c>
      <c r="G743" s="38" t="n">
        <v>12218.18</v>
      </c>
      <c r="H743" s="40" t="inlineStr">
        <is>
          <t>Borç</t>
        </is>
      </c>
      <c r="I743" s="38" t="n">
        <v>12218.18</v>
      </c>
      <c r="J743" s="38" t="n">
        <v>0</v>
      </c>
      <c r="K743" s="38" t="n">
        <v>12218.18</v>
      </c>
      <c r="L743" s="40" t="inlineStr">
        <is>
          <t>Borç</t>
        </is>
      </c>
    </row>
    <row r="744" s="34">
      <c r="A744" s="40" t="inlineStr">
        <is>
          <t>150.01.06.0004</t>
        </is>
      </c>
      <c r="B744" s="40" t="inlineStr">
        <is>
          <t>Bahçe Malzemeleri</t>
        </is>
      </c>
      <c r="C744" s="40" t="inlineStr">
        <is>
          <t>TRY</t>
        </is>
      </c>
      <c r="D744" s="40" t="inlineStr">
        <is>
          <t>ROYAL ADAM EVE</t>
        </is>
      </c>
      <c r="E744" s="38" t="n">
        <v>6000</v>
      </c>
      <c r="F744" s="38" t="n">
        <v>0</v>
      </c>
      <c r="G744" s="38" t="n">
        <v>6000</v>
      </c>
      <c r="H744" s="40" t="inlineStr">
        <is>
          <t>Borç</t>
        </is>
      </c>
      <c r="I744" s="38" t="n">
        <v>6000</v>
      </c>
      <c r="J744" s="38" t="n">
        <v>0</v>
      </c>
      <c r="K744" s="38" t="n">
        <v>6000</v>
      </c>
      <c r="L744" s="40" t="inlineStr">
        <is>
          <t>Borç</t>
        </is>
      </c>
    </row>
    <row r="745" s="34">
      <c r="A745" s="40" t="inlineStr">
        <is>
          <t>150.01.06.0004</t>
        </is>
      </c>
      <c r="B745" s="40" t="inlineStr">
        <is>
          <t>Bahçe Malzemeleri</t>
        </is>
      </c>
      <c r="C745" s="40" t="inlineStr">
        <is>
          <t>TRY</t>
        </is>
      </c>
      <c r="D745" s="40" t="inlineStr">
        <is>
          <t>ROYAL HOLIDAY</t>
        </is>
      </c>
      <c r="E745" s="38" t="n">
        <v>3600</v>
      </c>
      <c r="F745" s="38" t="n">
        <v>0</v>
      </c>
      <c r="G745" s="38" t="n">
        <v>3600</v>
      </c>
      <c r="H745" s="40" t="inlineStr">
        <is>
          <t>Borç</t>
        </is>
      </c>
      <c r="I745" s="38" t="n">
        <v>3600</v>
      </c>
      <c r="J745" s="38" t="n">
        <v>0</v>
      </c>
      <c r="K745" s="38" t="n">
        <v>3600</v>
      </c>
      <c r="L745" s="40" t="inlineStr">
        <is>
          <t>Borç</t>
        </is>
      </c>
    </row>
    <row r="746" s="34">
      <c r="A746" s="40" t="inlineStr">
        <is>
          <t>159</t>
        </is>
      </c>
      <c r="B746" s="40" t="inlineStr">
        <is>
          <t>VERİLEN SİPARİŞ AVANSLARI</t>
        </is>
      </c>
      <c r="C746" s="40" t="inlineStr">
        <is>
          <t>TRY</t>
        </is>
      </c>
      <c r="E746" s="38" t="n">
        <v>71305.22</v>
      </c>
      <c r="F746" s="38" t="n">
        <v>225921.23</v>
      </c>
      <c r="G746" s="38" t="n">
        <v>-154616.01</v>
      </c>
      <c r="I746" s="38" t="n">
        <v>0.01</v>
      </c>
      <c r="J746" s="38" t="n">
        <v>117395.92</v>
      </c>
      <c r="K746" s="38" t="n">
        <v>-117395.91</v>
      </c>
    </row>
    <row r="747" s="34">
      <c r="A747" s="40" t="inlineStr">
        <is>
          <t>159.01</t>
        </is>
      </c>
      <c r="B747" s="40" t="inlineStr">
        <is>
          <t>VERİLEN SİPARİŞ AVANSLARI</t>
        </is>
      </c>
      <c r="C747" s="40" t="inlineStr">
        <is>
          <t>TRY</t>
        </is>
      </c>
      <c r="E747" s="38" t="n">
        <v>71305.22</v>
      </c>
      <c r="F747" s="38" t="n">
        <v>225921.23</v>
      </c>
      <c r="G747" s="38" t="n">
        <v>-154616.01</v>
      </c>
      <c r="I747" s="38" t="n">
        <v>0.01</v>
      </c>
      <c r="J747" s="38" t="n">
        <v>117395.92</v>
      </c>
      <c r="K747" s="38" t="n">
        <v>-117395.91</v>
      </c>
    </row>
    <row r="748" s="34">
      <c r="A748" s="40" t="inlineStr">
        <is>
          <t>159.01.01</t>
        </is>
      </c>
      <c r="B748" s="40" t="inlineStr">
        <is>
          <t>VERİLEN SİPARİŞ AVANSLARI</t>
        </is>
      </c>
      <c r="C748" s="40" t="inlineStr">
        <is>
          <t>TRY</t>
        </is>
      </c>
      <c r="E748" s="38" t="n">
        <v>71305.22</v>
      </c>
      <c r="F748" s="38" t="n">
        <v>225921.23</v>
      </c>
      <c r="G748" s="38" t="n">
        <v>-154616.01</v>
      </c>
      <c r="I748" s="38" t="n">
        <v>0.01</v>
      </c>
      <c r="J748" s="38" t="n">
        <v>117395.92</v>
      </c>
      <c r="K748" s="38" t="n">
        <v>-117395.91</v>
      </c>
    </row>
    <row r="749" s="34">
      <c r="A749" s="40" t="inlineStr">
        <is>
          <t>159.01.01.B004</t>
        </is>
      </c>
      <c r="B749" s="40" t="inlineStr">
        <is>
          <t>Bunyamin Meydan - Alanya Global Teknik</t>
        </is>
      </c>
      <c r="C749" s="40" t="inlineStr">
        <is>
          <t>TRY</t>
        </is>
      </c>
      <c r="D749" s="40" t="inlineStr">
        <is>
          <t>ROYAL ALHAMBRA</t>
        </is>
      </c>
      <c r="E749" s="38" t="n">
        <v>0</v>
      </c>
      <c r="F749" s="38" t="n">
        <v>26147.07</v>
      </c>
      <c r="G749" s="38" t="n">
        <v>-26147.07</v>
      </c>
      <c r="H749" s="40" t="inlineStr">
        <is>
          <t>Alacak</t>
        </is>
      </c>
      <c r="I749" s="38" t="n">
        <v>0</v>
      </c>
      <c r="J749" s="38" t="n">
        <v>26147.07</v>
      </c>
      <c r="K749" s="38" t="n">
        <v>-26147.07</v>
      </c>
      <c r="L749" s="40" t="inlineStr">
        <is>
          <t>Alacak</t>
        </is>
      </c>
    </row>
    <row r="750" s="34">
      <c r="A750" s="40" t="inlineStr">
        <is>
          <t>159.01.01.C004</t>
        </is>
      </c>
      <c r="B750" s="40" t="inlineStr">
        <is>
          <t>Csk Emlak İnşaat Sanayi Ticaret Ltd.Şti.</t>
        </is>
      </c>
      <c r="C750" s="40" t="inlineStr">
        <is>
          <t>TRY</t>
        </is>
      </c>
      <c r="D750" s="40" t="inlineStr">
        <is>
          <t>SERTAŞ MERKEZ</t>
        </is>
      </c>
      <c r="E750" s="38" t="n">
        <v>0</v>
      </c>
      <c r="F750" s="38" t="n">
        <v>14399.39</v>
      </c>
      <c r="G750" s="38" t="n">
        <v>-14399.39</v>
      </c>
      <c r="H750" s="40" t="inlineStr">
        <is>
          <t>Alacak</t>
        </is>
      </c>
      <c r="I750" s="38" t="n">
        <v>0</v>
      </c>
      <c r="J750" s="38" t="n">
        <v>14399.39</v>
      </c>
      <c r="K750" s="38" t="n">
        <v>-14399.39</v>
      </c>
      <c r="L750" s="40" t="inlineStr">
        <is>
          <t>Alacak</t>
        </is>
      </c>
    </row>
    <row r="751" s="34">
      <c r="A751" s="40" t="inlineStr">
        <is>
          <t>159.01.01.D002</t>
        </is>
      </c>
      <c r="B751" s="40" t="inlineStr">
        <is>
          <t>Dam Alüminyum San.Tic.A.Ş./Euro</t>
        </is>
      </c>
      <c r="C751" s="40" t="inlineStr">
        <is>
          <t>TRY</t>
        </is>
      </c>
      <c r="D751" s="40" t="inlineStr">
        <is>
          <t>GİTAŞ MERKEZ</t>
        </is>
      </c>
      <c r="E751" s="38" t="n">
        <v>785.53</v>
      </c>
      <c r="F751" s="38" t="n">
        <v>0</v>
      </c>
      <c r="G751" s="38" t="n">
        <v>785.53</v>
      </c>
      <c r="H751" s="40" t="inlineStr">
        <is>
          <t>Borç</t>
        </is>
      </c>
      <c r="I751" s="38" t="n">
        <v>0</v>
      </c>
      <c r="J751" s="38" t="n">
        <v>0</v>
      </c>
      <c r="K751" s="38" t="n">
        <v>0</v>
      </c>
    </row>
    <row r="752" s="34">
      <c r="A752" s="40" t="inlineStr">
        <is>
          <t>159.01.01.D002</t>
        </is>
      </c>
      <c r="B752" s="40" t="inlineStr">
        <is>
          <t>Dam Alüminyum San.Tic.A.Ş./Euro</t>
        </is>
      </c>
      <c r="C752" s="40" t="inlineStr">
        <is>
          <t>TRY</t>
        </is>
      </c>
      <c r="D752" s="40" t="inlineStr">
        <is>
          <t>ROYAL ADAM EVE</t>
        </is>
      </c>
      <c r="E752" s="38" t="n">
        <v>0</v>
      </c>
      <c r="F752" s="38" t="n">
        <v>16703.23</v>
      </c>
      <c r="G752" s="38" t="n">
        <v>-16703.23</v>
      </c>
      <c r="H752" s="40" t="inlineStr">
        <is>
          <t>Alacak</t>
        </is>
      </c>
      <c r="I752" s="38" t="n">
        <v>0</v>
      </c>
      <c r="J752" s="38" t="n">
        <v>0</v>
      </c>
      <c r="K752" s="38" t="n">
        <v>0</v>
      </c>
    </row>
    <row r="753" s="34">
      <c r="A753" s="40" t="inlineStr">
        <is>
          <t>159.01.01.D002</t>
        </is>
      </c>
      <c r="B753" s="40" t="inlineStr">
        <is>
          <t>Dam Alüminyum San.Tic.A.Ş./Euro</t>
        </is>
      </c>
      <c r="C753" s="40" t="inlineStr">
        <is>
          <t>TRY</t>
        </is>
      </c>
      <c r="D753" s="40" t="inlineStr">
        <is>
          <t>ROYAL SEGINUS</t>
        </is>
      </c>
      <c r="E753" s="38" t="n">
        <v>70519.67999999999</v>
      </c>
      <c r="F753" s="38" t="n">
        <v>0</v>
      </c>
      <c r="G753" s="38" t="n">
        <v>70519.67999999999</v>
      </c>
      <c r="H753" s="40" t="inlineStr">
        <is>
          <t>Borç</t>
        </is>
      </c>
      <c r="I753" s="38" t="n">
        <v>0</v>
      </c>
      <c r="J753" s="38" t="n">
        <v>0</v>
      </c>
      <c r="K753" s="38" t="n">
        <v>0</v>
      </c>
    </row>
    <row r="754" s="34">
      <c r="A754" s="40" t="inlineStr">
        <is>
          <t>159.01.01.D002</t>
        </is>
      </c>
      <c r="B754" s="40" t="inlineStr">
        <is>
          <t>Dam Alüminyum San.Tic.A.Ş./Euro</t>
        </is>
      </c>
      <c r="C754" s="40" t="inlineStr">
        <is>
          <t>TRY</t>
        </is>
      </c>
      <c r="D754" s="40" t="inlineStr">
        <is>
          <t>SERTAŞ MERKEZ</t>
        </is>
      </c>
      <c r="E754" s="38" t="n">
        <v>0</v>
      </c>
      <c r="F754" s="38" t="n">
        <v>91822.08</v>
      </c>
      <c r="G754" s="38" t="n">
        <v>-91822.08</v>
      </c>
      <c r="H754" s="40" t="inlineStr">
        <is>
          <t>Alacak</t>
        </is>
      </c>
      <c r="I754" s="38" t="n">
        <v>0</v>
      </c>
      <c r="J754" s="38" t="n">
        <v>0</v>
      </c>
      <c r="K754" s="38" t="n">
        <v>0</v>
      </c>
    </row>
    <row r="755" s="34">
      <c r="A755" s="40" t="inlineStr">
        <is>
          <t>159.01.01.I001</t>
        </is>
      </c>
      <c r="B755" s="40" t="inlineStr">
        <is>
          <t>Ispaş Isparta Gıda Paz.Dağ.Tic.Ltd.Şti.</t>
        </is>
      </c>
      <c r="C755" s="40" t="inlineStr">
        <is>
          <t>TRY</t>
        </is>
      </c>
      <c r="D755" s="40" t="inlineStr">
        <is>
          <t>GİTAŞ MERKEZ</t>
        </is>
      </c>
      <c r="E755" s="38" t="n">
        <v>0.01</v>
      </c>
      <c r="F755" s="38" t="n">
        <v>0</v>
      </c>
      <c r="G755" s="38" t="n">
        <v>0.01</v>
      </c>
      <c r="H755" s="40" t="inlineStr">
        <is>
          <t>Borç</t>
        </is>
      </c>
      <c r="I755" s="38" t="n">
        <v>0.01</v>
      </c>
      <c r="J755" s="38" t="n">
        <v>0</v>
      </c>
      <c r="K755" s="38" t="n">
        <v>0.01</v>
      </c>
      <c r="L755" s="40" t="inlineStr">
        <is>
          <t>Borç</t>
        </is>
      </c>
    </row>
    <row r="756" s="34">
      <c r="A756" s="40" t="inlineStr">
        <is>
          <t>159.01.01.K005</t>
        </is>
      </c>
      <c r="B756" s="40" t="inlineStr">
        <is>
          <t>Kuzey Sigorta Ve Reasürans Bro</t>
        </is>
      </c>
      <c r="C756" s="40" t="inlineStr">
        <is>
          <t>TRY</t>
        </is>
      </c>
      <c r="D756" s="40" t="inlineStr">
        <is>
          <t>GİTAŞ MERKEZ</t>
        </is>
      </c>
      <c r="E756" s="38" t="n">
        <v>0</v>
      </c>
      <c r="F756" s="38" t="n">
        <v>13.31</v>
      </c>
      <c r="G756" s="38" t="n">
        <v>-13.31</v>
      </c>
      <c r="H756" s="40" t="inlineStr">
        <is>
          <t>Alacak</t>
        </is>
      </c>
      <c r="I756" s="38" t="n">
        <v>0</v>
      </c>
      <c r="J756" s="38" t="n">
        <v>13.31</v>
      </c>
      <c r="K756" s="38" t="n">
        <v>-13.31</v>
      </c>
      <c r="L756" s="40" t="inlineStr">
        <is>
          <t>Alacak</t>
        </is>
      </c>
    </row>
    <row r="757" s="34">
      <c r="A757" s="40" t="inlineStr">
        <is>
          <t>159.01.01.M007</t>
        </is>
      </c>
      <c r="B757" s="40" t="inlineStr">
        <is>
          <t>Mina Tarım A.Ş.</t>
        </is>
      </c>
      <c r="C757" s="40" t="inlineStr">
        <is>
          <t>TRY</t>
        </is>
      </c>
      <c r="D757" s="40" t="inlineStr">
        <is>
          <t>ROYAL ALHAMBRA</t>
        </is>
      </c>
      <c r="E757" s="38" t="n">
        <v>0</v>
      </c>
      <c r="F757" s="38" t="n">
        <v>76836.14999999999</v>
      </c>
      <c r="G757" s="38" t="n">
        <v>-76836.14999999999</v>
      </c>
      <c r="H757" s="40" t="inlineStr">
        <is>
          <t>Alacak</t>
        </is>
      </c>
      <c r="I757" s="38" t="n">
        <v>0</v>
      </c>
      <c r="J757" s="38" t="n">
        <v>76836.14999999999</v>
      </c>
      <c r="K757" s="38" t="n">
        <v>-76836.14999999999</v>
      </c>
      <c r="L757" s="40" t="inlineStr">
        <is>
          <t>Alacak</t>
        </is>
      </c>
    </row>
    <row r="758" s="34">
      <c r="A758" s="40" t="inlineStr">
        <is>
          <t>18</t>
        </is>
      </c>
      <c r="B758" s="40" t="inlineStr">
        <is>
          <t>GELECEK AYLAR GİDER/GELİR TAH.</t>
        </is>
      </c>
      <c r="C758" s="40" t="inlineStr">
        <is>
          <t>TRY</t>
        </is>
      </c>
      <c r="E758" s="38" t="n">
        <v>1064264548.96</v>
      </c>
      <c r="F758" s="38" t="n">
        <v>1003828596.79</v>
      </c>
      <c r="G758" s="38" t="n">
        <v>60435952.17</v>
      </c>
      <c r="I758" s="38" t="n">
        <v>1049482942.13</v>
      </c>
      <c r="J758" s="38" t="n">
        <v>956367466.37</v>
      </c>
      <c r="K758" s="38" t="n">
        <v>93115475.76000001</v>
      </c>
    </row>
    <row r="759" s="34">
      <c r="A759" s="40" t="inlineStr">
        <is>
          <t>180</t>
        </is>
      </c>
      <c r="B759" s="40" t="inlineStr">
        <is>
          <t>GELECEK AYLARA AİT GİDERLER</t>
        </is>
      </c>
      <c r="C759" s="40" t="inlineStr">
        <is>
          <t>TRY</t>
        </is>
      </c>
      <c r="E759" s="38" t="n">
        <v>5805300.84</v>
      </c>
      <c r="F759" s="38" t="n">
        <v>0</v>
      </c>
      <c r="G759" s="38" t="n">
        <v>5805300.84</v>
      </c>
      <c r="I759" s="38" t="n">
        <v>5805300.84</v>
      </c>
      <c r="J759" s="38" t="n">
        <v>0</v>
      </c>
      <c r="K759" s="38" t="n">
        <v>5805300.84</v>
      </c>
    </row>
    <row r="760" s="34">
      <c r="A760" s="40" t="inlineStr">
        <is>
          <t>180.01</t>
        </is>
      </c>
      <c r="B760" s="40" t="inlineStr">
        <is>
          <t>GELECEK AYLARA AİT GİDERLER</t>
        </is>
      </c>
      <c r="C760" s="40" t="inlineStr">
        <is>
          <t>TRY</t>
        </is>
      </c>
      <c r="E760" s="38" t="n">
        <v>5641.44</v>
      </c>
      <c r="F760" s="38" t="n">
        <v>0</v>
      </c>
      <c r="G760" s="38" t="n">
        <v>5641.44</v>
      </c>
      <c r="I760" s="38" t="n">
        <v>5641.44</v>
      </c>
      <c r="J760" s="38" t="n">
        <v>0</v>
      </c>
      <c r="K760" s="38" t="n">
        <v>5641.44</v>
      </c>
    </row>
    <row r="761" s="34">
      <c r="A761" s="40" t="inlineStr">
        <is>
          <t>180.01.02</t>
        </is>
      </c>
      <c r="B761" s="40" t="inlineStr">
        <is>
          <t>TAŞIT SİGORTA GİDERLERİ/BİNEK</t>
        </is>
      </c>
      <c r="C761" s="40" t="inlineStr">
        <is>
          <t>TRY</t>
        </is>
      </c>
      <c r="E761" s="38" t="n">
        <v>5641.44</v>
      </c>
      <c r="F761" s="38" t="n">
        <v>0</v>
      </c>
      <c r="G761" s="38" t="n">
        <v>5641.44</v>
      </c>
      <c r="I761" s="38" t="n">
        <v>5641.44</v>
      </c>
      <c r="J761" s="38" t="n">
        <v>0</v>
      </c>
      <c r="K761" s="38" t="n">
        <v>5641.44</v>
      </c>
    </row>
    <row r="762" s="34">
      <c r="A762" s="40" t="inlineStr">
        <is>
          <t>180.01.02.0007</t>
        </is>
      </c>
      <c r="B762" s="40" t="inlineStr">
        <is>
          <t>07. Ay Tasıt Sgrt.Plc.Gid. / Binek</t>
        </is>
      </c>
      <c r="C762" s="40" t="inlineStr">
        <is>
          <t>TRY</t>
        </is>
      </c>
      <c r="D762" s="40" t="inlineStr">
        <is>
          <t>GİTAŞ MERKEZ</t>
        </is>
      </c>
      <c r="E762" s="38" t="n">
        <v>940.24</v>
      </c>
      <c r="F762" s="38" t="n">
        <v>0</v>
      </c>
      <c r="G762" s="38" t="n">
        <v>940.24</v>
      </c>
      <c r="H762" s="40" t="inlineStr">
        <is>
          <t>Borç</t>
        </is>
      </c>
      <c r="I762" s="38" t="n">
        <v>940.24</v>
      </c>
      <c r="J762" s="38" t="n">
        <v>0</v>
      </c>
      <c r="K762" s="38" t="n">
        <v>940.24</v>
      </c>
      <c r="L762" s="40" t="inlineStr">
        <is>
          <t>Borç</t>
        </is>
      </c>
    </row>
    <row r="763" s="34">
      <c r="A763" s="40" t="inlineStr">
        <is>
          <t>180.01.02.0008</t>
        </is>
      </c>
      <c r="B763" s="40" t="inlineStr">
        <is>
          <t>08. Ay Tasıt Sgrt.Plc.Gid. / Binek</t>
        </is>
      </c>
      <c r="C763" s="40" t="inlineStr">
        <is>
          <t>TRY</t>
        </is>
      </c>
      <c r="D763" s="40" t="inlineStr">
        <is>
          <t>GİTAŞ MERKEZ</t>
        </is>
      </c>
      <c r="E763" s="38" t="n">
        <v>940.24</v>
      </c>
      <c r="F763" s="38" t="n">
        <v>0</v>
      </c>
      <c r="G763" s="38" t="n">
        <v>940.24</v>
      </c>
      <c r="H763" s="40" t="inlineStr">
        <is>
          <t>Borç</t>
        </is>
      </c>
      <c r="I763" s="38" t="n">
        <v>940.24</v>
      </c>
      <c r="J763" s="38" t="n">
        <v>0</v>
      </c>
      <c r="K763" s="38" t="n">
        <v>940.24</v>
      </c>
      <c r="L763" s="40" t="inlineStr">
        <is>
          <t>Borç</t>
        </is>
      </c>
    </row>
    <row r="764" s="34">
      <c r="A764" s="40" t="inlineStr">
        <is>
          <t>180.01.02.0009</t>
        </is>
      </c>
      <c r="B764" s="40" t="inlineStr">
        <is>
          <t>09. Ay Tasıt Sgrt.Plc.Gid. / Binek</t>
        </is>
      </c>
      <c r="C764" s="40" t="inlineStr">
        <is>
          <t>TRY</t>
        </is>
      </c>
      <c r="D764" s="40" t="inlineStr">
        <is>
          <t>GİTAŞ MERKEZ</t>
        </is>
      </c>
      <c r="E764" s="38" t="n">
        <v>940.24</v>
      </c>
      <c r="F764" s="38" t="n">
        <v>0</v>
      </c>
      <c r="G764" s="38" t="n">
        <v>940.24</v>
      </c>
      <c r="H764" s="40" t="inlineStr">
        <is>
          <t>Borç</t>
        </is>
      </c>
      <c r="I764" s="38" t="n">
        <v>940.24</v>
      </c>
      <c r="J764" s="38" t="n">
        <v>0</v>
      </c>
      <c r="K764" s="38" t="n">
        <v>940.24</v>
      </c>
      <c r="L764" s="40" t="inlineStr">
        <is>
          <t>Borç</t>
        </is>
      </c>
    </row>
    <row r="765" s="34">
      <c r="A765" s="40" t="inlineStr">
        <is>
          <t>180.01.02.0010</t>
        </is>
      </c>
      <c r="B765" s="40" t="inlineStr">
        <is>
          <t>10. Ay Tasıt Sgrt.Plc.Gid. / Binek</t>
        </is>
      </c>
      <c r="C765" s="40" t="inlineStr">
        <is>
          <t>TRY</t>
        </is>
      </c>
      <c r="D765" s="40" t="inlineStr">
        <is>
          <t>GİTAŞ MERKEZ</t>
        </is>
      </c>
      <c r="E765" s="38" t="n">
        <v>940.24</v>
      </c>
      <c r="F765" s="38" t="n">
        <v>0</v>
      </c>
      <c r="G765" s="38" t="n">
        <v>940.24</v>
      </c>
      <c r="H765" s="40" t="inlineStr">
        <is>
          <t>Borç</t>
        </is>
      </c>
      <c r="I765" s="38" t="n">
        <v>940.24</v>
      </c>
      <c r="J765" s="38" t="n">
        <v>0</v>
      </c>
      <c r="K765" s="38" t="n">
        <v>940.24</v>
      </c>
      <c r="L765" s="40" t="inlineStr">
        <is>
          <t>Borç</t>
        </is>
      </c>
    </row>
    <row r="766" s="34">
      <c r="A766" s="40" t="inlineStr">
        <is>
          <t>180.01.02.0011</t>
        </is>
      </c>
      <c r="B766" s="40" t="inlineStr">
        <is>
          <t>11. Ay Tasıt Sgrt.Plc.Gid. / Binek</t>
        </is>
      </c>
      <c r="C766" s="40" t="inlineStr">
        <is>
          <t>TRY</t>
        </is>
      </c>
      <c r="D766" s="40" t="inlineStr">
        <is>
          <t>GİTAŞ MERKEZ</t>
        </is>
      </c>
      <c r="E766" s="38" t="n">
        <v>940.24</v>
      </c>
      <c r="F766" s="38" t="n">
        <v>0</v>
      </c>
      <c r="G766" s="38" t="n">
        <v>940.24</v>
      </c>
      <c r="H766" s="40" t="inlineStr">
        <is>
          <t>Borç</t>
        </is>
      </c>
      <c r="I766" s="38" t="n">
        <v>940.24</v>
      </c>
      <c r="J766" s="38" t="n">
        <v>0</v>
      </c>
      <c r="K766" s="38" t="n">
        <v>940.24</v>
      </c>
      <c r="L766" s="40" t="inlineStr">
        <is>
          <t>Borç</t>
        </is>
      </c>
    </row>
    <row r="767" s="34">
      <c r="A767" s="40" t="inlineStr">
        <is>
          <t>180.01.02.0012</t>
        </is>
      </c>
      <c r="B767" s="40" t="inlineStr">
        <is>
          <t>12. Ay Tasıt Sgrt.Plc.Gid. / Binek</t>
        </is>
      </c>
      <c r="C767" s="40" t="inlineStr">
        <is>
          <t>TRY</t>
        </is>
      </c>
      <c r="D767" s="40" t="inlineStr">
        <is>
          <t>GİTAŞ MERKEZ</t>
        </is>
      </c>
      <c r="E767" s="38" t="n">
        <v>940.24</v>
      </c>
      <c r="F767" s="38" t="n">
        <v>0</v>
      </c>
      <c r="G767" s="38" t="n">
        <v>940.24</v>
      </c>
      <c r="H767" s="40" t="inlineStr">
        <is>
          <t>Borç</t>
        </is>
      </c>
      <c r="I767" s="38" t="n">
        <v>940.24</v>
      </c>
      <c r="J767" s="38" t="n">
        <v>0</v>
      </c>
      <c r="K767" s="38" t="n">
        <v>940.24</v>
      </c>
      <c r="L767" s="40" t="inlineStr">
        <is>
          <t>Borç</t>
        </is>
      </c>
    </row>
    <row r="768" s="34">
      <c r="A768" s="40" t="inlineStr">
        <is>
          <t>180.02</t>
        </is>
      </c>
      <c r="B768" s="40" t="inlineStr">
        <is>
          <t>LISANS VE TELIF HAKKI</t>
        </is>
      </c>
      <c r="C768" s="40" t="inlineStr">
        <is>
          <t>TRY</t>
        </is>
      </c>
      <c r="E768" s="38" t="n">
        <v>5799659.4</v>
      </c>
      <c r="F768" s="38" t="n">
        <v>0</v>
      </c>
      <c r="G768" s="38" t="n">
        <v>5799659.4</v>
      </c>
      <c r="I768" s="38" t="n">
        <v>5799659.4</v>
      </c>
      <c r="J768" s="38" t="n">
        <v>0</v>
      </c>
      <c r="K768" s="38" t="n">
        <v>5799659.4</v>
      </c>
    </row>
    <row r="769" s="34">
      <c r="A769" s="40" t="inlineStr">
        <is>
          <t>180.02.02</t>
        </is>
      </c>
      <c r="B769" s="40" t="inlineStr">
        <is>
          <t>ÜST HAKKI</t>
        </is>
      </c>
      <c r="C769" s="40" t="inlineStr">
        <is>
          <t>TRY</t>
        </is>
      </c>
      <c r="E769" s="38" t="n">
        <v>5799659.4</v>
      </c>
      <c r="F769" s="38" t="n">
        <v>0</v>
      </c>
      <c r="G769" s="38" t="n">
        <v>5799659.4</v>
      </c>
      <c r="I769" s="38" t="n">
        <v>5799659.4</v>
      </c>
      <c r="J769" s="38" t="n">
        <v>0</v>
      </c>
      <c r="K769" s="38" t="n">
        <v>5799659.4</v>
      </c>
    </row>
    <row r="770" s="34">
      <c r="A770" s="40" t="inlineStr">
        <is>
          <t>180.02.02.0007</t>
        </is>
      </c>
      <c r="B770" s="40" t="inlineStr">
        <is>
          <t>07. Ay Üst Hakkı</t>
        </is>
      </c>
      <c r="C770" s="40" t="inlineStr">
        <is>
          <t>TRY</t>
        </is>
      </c>
      <c r="D770" s="40" t="inlineStr">
        <is>
          <t>ROYAL ADAM EVE</t>
        </is>
      </c>
      <c r="E770" s="38" t="n">
        <v>977116.53</v>
      </c>
      <c r="F770" s="38" t="n">
        <v>0</v>
      </c>
      <c r="G770" s="38" t="n">
        <v>977116.53</v>
      </c>
      <c r="H770" s="40" t="inlineStr">
        <is>
          <t>Borç</t>
        </is>
      </c>
      <c r="I770" s="38" t="n">
        <v>977116.53</v>
      </c>
      <c r="J770" s="38" t="n">
        <v>0</v>
      </c>
      <c r="K770" s="38" t="n">
        <v>977116.53</v>
      </c>
      <c r="L770" s="40" t="inlineStr">
        <is>
          <t>Borç</t>
        </is>
      </c>
    </row>
    <row r="771" s="34">
      <c r="A771" s="40" t="inlineStr">
        <is>
          <t>180.02.02.0008</t>
        </is>
      </c>
      <c r="B771" s="40" t="inlineStr">
        <is>
          <t>08. Ay Üst Hakkı</t>
        </is>
      </c>
      <c r="C771" s="40" t="inlineStr">
        <is>
          <t>TRY</t>
        </is>
      </c>
      <c r="D771" s="40" t="inlineStr">
        <is>
          <t>ROYAL ADAM EVE</t>
        </is>
      </c>
      <c r="E771" s="38" t="n">
        <v>977116.53</v>
      </c>
      <c r="F771" s="38" t="n">
        <v>0</v>
      </c>
      <c r="G771" s="38" t="n">
        <v>977116.53</v>
      </c>
      <c r="H771" s="40" t="inlineStr">
        <is>
          <t>Borç</t>
        </is>
      </c>
      <c r="I771" s="38" t="n">
        <v>977116.53</v>
      </c>
      <c r="J771" s="38" t="n">
        <v>0</v>
      </c>
      <c r="K771" s="38" t="n">
        <v>977116.53</v>
      </c>
      <c r="L771" s="40" t="inlineStr">
        <is>
          <t>Borç</t>
        </is>
      </c>
    </row>
    <row r="772" s="34">
      <c r="A772" s="40" t="inlineStr">
        <is>
          <t>180.02.02.0009</t>
        </is>
      </c>
      <c r="B772" s="40" t="inlineStr">
        <is>
          <t>09. Ay Üst Hakkı</t>
        </is>
      </c>
      <c r="C772" s="40" t="inlineStr">
        <is>
          <t>TRY</t>
        </is>
      </c>
      <c r="D772" s="40" t="inlineStr">
        <is>
          <t>ROYAL ADAM EVE</t>
        </is>
      </c>
      <c r="E772" s="38" t="n">
        <v>945596.64</v>
      </c>
      <c r="F772" s="38" t="n">
        <v>0</v>
      </c>
      <c r="G772" s="38" t="n">
        <v>945596.64</v>
      </c>
      <c r="H772" s="40" t="inlineStr">
        <is>
          <t>Borç</t>
        </is>
      </c>
      <c r="I772" s="38" t="n">
        <v>945596.64</v>
      </c>
      <c r="J772" s="38" t="n">
        <v>0</v>
      </c>
      <c r="K772" s="38" t="n">
        <v>945596.64</v>
      </c>
      <c r="L772" s="40" t="inlineStr">
        <is>
          <t>Borç</t>
        </is>
      </c>
    </row>
    <row r="773" s="34">
      <c r="A773" s="40" t="inlineStr">
        <is>
          <t>180.02.02.0010</t>
        </is>
      </c>
      <c r="B773" s="40" t="inlineStr">
        <is>
          <t>10. Ay Üst Hakkı</t>
        </is>
      </c>
      <c r="C773" s="40" t="inlineStr">
        <is>
          <t>TRY</t>
        </is>
      </c>
      <c r="D773" s="40" t="inlineStr">
        <is>
          <t>ROYAL ADAM EVE</t>
        </is>
      </c>
      <c r="E773" s="38" t="n">
        <v>977116.53</v>
      </c>
      <c r="F773" s="38" t="n">
        <v>0</v>
      </c>
      <c r="G773" s="38" t="n">
        <v>977116.53</v>
      </c>
      <c r="H773" s="40" t="inlineStr">
        <is>
          <t>Borç</t>
        </is>
      </c>
      <c r="I773" s="38" t="n">
        <v>977116.53</v>
      </c>
      <c r="J773" s="38" t="n">
        <v>0</v>
      </c>
      <c r="K773" s="38" t="n">
        <v>977116.53</v>
      </c>
      <c r="L773" s="40" t="inlineStr">
        <is>
          <t>Borç</t>
        </is>
      </c>
    </row>
    <row r="774" s="34">
      <c r="A774" s="40" t="inlineStr">
        <is>
          <t>180.02.02.0011</t>
        </is>
      </c>
      <c r="B774" s="40" t="inlineStr">
        <is>
          <t>11. Ay Üst Hakkı</t>
        </is>
      </c>
      <c r="C774" s="40" t="inlineStr">
        <is>
          <t>TRY</t>
        </is>
      </c>
      <c r="D774" s="40" t="inlineStr">
        <is>
          <t>ROYAL ADAM EVE</t>
        </is>
      </c>
      <c r="E774" s="38" t="n">
        <v>945596.64</v>
      </c>
      <c r="F774" s="38" t="n">
        <v>0</v>
      </c>
      <c r="G774" s="38" t="n">
        <v>945596.64</v>
      </c>
      <c r="H774" s="40" t="inlineStr">
        <is>
          <t>Borç</t>
        </is>
      </c>
      <c r="I774" s="38" t="n">
        <v>945596.64</v>
      </c>
      <c r="J774" s="38" t="n">
        <v>0</v>
      </c>
      <c r="K774" s="38" t="n">
        <v>945596.64</v>
      </c>
      <c r="L774" s="40" t="inlineStr">
        <is>
          <t>Borç</t>
        </is>
      </c>
    </row>
    <row r="775" s="34">
      <c r="A775" s="40" t="inlineStr">
        <is>
          <t>180.02.02.0012</t>
        </is>
      </c>
      <c r="B775" s="40" t="inlineStr">
        <is>
          <t>12. Ay Üst Hakkı</t>
        </is>
      </c>
      <c r="C775" s="40" t="inlineStr">
        <is>
          <t>TRY</t>
        </is>
      </c>
      <c r="D775" s="40" t="inlineStr">
        <is>
          <t>ROYAL ADAM EVE</t>
        </is>
      </c>
      <c r="E775" s="38" t="n">
        <v>977116.53</v>
      </c>
      <c r="F775" s="38" t="n">
        <v>0</v>
      </c>
      <c r="G775" s="38" t="n">
        <v>977116.53</v>
      </c>
      <c r="H775" s="40" t="inlineStr">
        <is>
          <t>Borç</t>
        </is>
      </c>
      <c r="I775" s="38" t="n">
        <v>977116.53</v>
      </c>
      <c r="J775" s="38" t="n">
        <v>0</v>
      </c>
      <c r="K775" s="38" t="n">
        <v>977116.53</v>
      </c>
      <c r="L775" s="40" t="inlineStr">
        <is>
          <t>Borç</t>
        </is>
      </c>
    </row>
    <row r="776" s="34">
      <c r="A776" s="40" t="inlineStr">
        <is>
          <t>181</t>
        </is>
      </c>
      <c r="B776" s="40" t="inlineStr">
        <is>
          <t>GELİR TAHAKKUKLARI</t>
        </is>
      </c>
      <c r="C776" s="40" t="inlineStr">
        <is>
          <t>TRY</t>
        </is>
      </c>
      <c r="E776" s="38" t="n">
        <v>524944728.49</v>
      </c>
      <c r="F776" s="38" t="n">
        <v>534119479.11</v>
      </c>
      <c r="G776" s="38" t="n">
        <v>-9174750.619999999</v>
      </c>
      <c r="I776" s="38" t="n">
        <v>524944728.49</v>
      </c>
      <c r="J776" s="38" t="n">
        <v>519237919.38</v>
      </c>
      <c r="K776" s="38" t="n">
        <v>5706809.11</v>
      </c>
    </row>
    <row r="777" s="34">
      <c r="A777" s="40" t="inlineStr">
        <is>
          <t>181.01</t>
        </is>
      </c>
      <c r="B777" s="40" t="inlineStr">
        <is>
          <t>GELİR TAHAKKUKLARI</t>
        </is>
      </c>
      <c r="C777" s="40" t="inlineStr">
        <is>
          <t>TRY</t>
        </is>
      </c>
      <c r="E777" s="38" t="n">
        <v>524944728.49</v>
      </c>
      <c r="F777" s="38" t="n">
        <v>534119479.11</v>
      </c>
      <c r="G777" s="38" t="n">
        <v>-9174750.619999999</v>
      </c>
      <c r="I777" s="38" t="n">
        <v>524944728.49</v>
      </c>
      <c r="J777" s="38" t="n">
        <v>519237919.38</v>
      </c>
      <c r="K777" s="38" t="n">
        <v>5706809.11</v>
      </c>
    </row>
    <row r="778" s="34">
      <c r="A778" s="40" t="inlineStr">
        <is>
          <t>181.01.01</t>
        </is>
      </c>
      <c r="B778" s="40" t="inlineStr">
        <is>
          <t>GELİR TAHAKKUKLARI</t>
        </is>
      </c>
      <c r="C778" s="40" t="inlineStr">
        <is>
          <t>TRY</t>
        </is>
      </c>
      <c r="E778" s="38" t="n">
        <v>524944728.49</v>
      </c>
      <c r="F778" s="38" t="n">
        <v>534119479.11</v>
      </c>
      <c r="G778" s="38" t="n">
        <v>-9174750.619999999</v>
      </c>
      <c r="I778" s="38" t="n">
        <v>524944728.49</v>
      </c>
      <c r="J778" s="38" t="n">
        <v>519237919.38</v>
      </c>
      <c r="K778" s="38" t="n">
        <v>5706809.11</v>
      </c>
    </row>
    <row r="779" s="34">
      <c r="A779" s="40" t="inlineStr">
        <is>
          <t>181.01.01.0001</t>
        </is>
      </c>
      <c r="B779" s="40" t="inlineStr">
        <is>
          <t>Resepsiyon Tahakkukları</t>
        </is>
      </c>
      <c r="C779" s="40" t="inlineStr">
        <is>
          <t>TRY</t>
        </is>
      </c>
      <c r="D779" s="40" t="inlineStr">
        <is>
          <t>ROYAL ADAM EVE</t>
        </is>
      </c>
      <c r="E779" s="38" t="n">
        <v>69145961.06</v>
      </c>
      <c r="F779" s="38" t="n">
        <v>67891278.79000001</v>
      </c>
      <c r="G779" s="38" t="n">
        <v>1254682.27</v>
      </c>
      <c r="H779" s="40" t="inlineStr">
        <is>
          <t>Borç</t>
        </is>
      </c>
      <c r="I779" s="38" t="n">
        <v>69145961.06</v>
      </c>
      <c r="J779" s="38" t="n">
        <v>65591250.36</v>
      </c>
      <c r="K779" s="38" t="n">
        <v>3554710.7</v>
      </c>
      <c r="L779" s="40" t="inlineStr">
        <is>
          <t>Borç</t>
        </is>
      </c>
    </row>
    <row r="780" s="34">
      <c r="A780" s="40" t="inlineStr">
        <is>
          <t>181.01.01.0001</t>
        </is>
      </c>
      <c r="B780" s="40" t="inlineStr">
        <is>
          <t>Resepsiyon Tahakkukları</t>
        </is>
      </c>
      <c r="C780" s="40" t="inlineStr">
        <is>
          <t>TRY</t>
        </is>
      </c>
      <c r="D780" s="40" t="inlineStr">
        <is>
          <t>ROYAL ALHAMBRA</t>
        </is>
      </c>
      <c r="E780" s="38" t="n">
        <v>85924649.98999999</v>
      </c>
      <c r="F780" s="38" t="n">
        <v>77186033.3</v>
      </c>
      <c r="G780" s="38" t="n">
        <v>8738616.689999999</v>
      </c>
      <c r="H780" s="40" t="inlineStr">
        <is>
          <t>Borç</t>
        </is>
      </c>
      <c r="I780" s="38" t="n">
        <v>85924649.98999999</v>
      </c>
      <c r="J780" s="38" t="n">
        <v>75746111.91</v>
      </c>
      <c r="K780" s="38" t="n">
        <v>10178538.08</v>
      </c>
      <c r="L780" s="40" t="inlineStr">
        <is>
          <t>Borç</t>
        </is>
      </c>
    </row>
    <row r="781" s="34">
      <c r="A781" s="40" t="inlineStr">
        <is>
          <t>181.01.01.0001</t>
        </is>
      </c>
      <c r="B781" s="40" t="inlineStr">
        <is>
          <t>Resepsiyon Tahakkukları</t>
        </is>
      </c>
      <c r="C781" s="40" t="inlineStr">
        <is>
          <t>TRY</t>
        </is>
      </c>
      <c r="D781" s="40" t="inlineStr">
        <is>
          <t>ROYAL DRAGON</t>
        </is>
      </c>
      <c r="E781" s="38" t="n">
        <v>83819233.20999999</v>
      </c>
      <c r="F781" s="38" t="n">
        <v>89179647.40000001</v>
      </c>
      <c r="G781" s="38" t="n">
        <v>-5360414.19</v>
      </c>
      <c r="H781" s="40" t="inlineStr">
        <is>
          <t>Alacak</t>
        </is>
      </c>
      <c r="I781" s="38" t="n">
        <v>83819233.20999999</v>
      </c>
      <c r="J781" s="38" t="n">
        <v>87077866.90000001</v>
      </c>
      <c r="K781" s="38" t="n">
        <v>-3258633.69</v>
      </c>
      <c r="L781" s="40" t="inlineStr">
        <is>
          <t>Alacak</t>
        </is>
      </c>
    </row>
    <row r="782" s="34">
      <c r="A782" s="40" t="inlineStr">
        <is>
          <t>181.01.01.0001</t>
        </is>
      </c>
      <c r="B782" s="40" t="inlineStr">
        <is>
          <t>Resepsiyon Tahakkukları</t>
        </is>
      </c>
      <c r="C782" s="40" t="inlineStr">
        <is>
          <t>TRY</t>
        </is>
      </c>
      <c r="D782" s="40" t="inlineStr">
        <is>
          <t>ROYAL HOLIDAY</t>
        </is>
      </c>
      <c r="E782" s="38" t="n">
        <v>138921131.59</v>
      </c>
      <c r="F782" s="38" t="n">
        <v>138087118.1</v>
      </c>
      <c r="G782" s="38" t="n">
        <v>834013.49</v>
      </c>
      <c r="H782" s="40" t="inlineStr">
        <is>
          <t>Borç</t>
        </is>
      </c>
      <c r="I782" s="38" t="n">
        <v>138921131.59</v>
      </c>
      <c r="J782" s="38" t="n">
        <v>135571251.55</v>
      </c>
      <c r="K782" s="38" t="n">
        <v>3349880.04</v>
      </c>
      <c r="L782" s="40" t="inlineStr">
        <is>
          <t>Borç</t>
        </is>
      </c>
    </row>
    <row r="783" s="34">
      <c r="A783" s="40" t="inlineStr">
        <is>
          <t>181.01.01.0001</t>
        </is>
      </c>
      <c r="B783" s="40" t="inlineStr">
        <is>
          <t>Resepsiyon Tahakkukları</t>
        </is>
      </c>
      <c r="C783" s="40" t="inlineStr">
        <is>
          <t>TRY</t>
        </is>
      </c>
      <c r="D783" s="40" t="inlineStr">
        <is>
          <t>ROYAL SEGINUS</t>
        </is>
      </c>
      <c r="E783" s="38" t="n">
        <v>147133752.64</v>
      </c>
      <c r="F783" s="38" t="n">
        <v>161775401.52</v>
      </c>
      <c r="G783" s="38" t="n">
        <v>-14641648.88</v>
      </c>
      <c r="H783" s="40" t="inlineStr">
        <is>
          <t>Alacak</t>
        </is>
      </c>
      <c r="I783" s="38" t="n">
        <v>147133752.64</v>
      </c>
      <c r="J783" s="38" t="n">
        <v>155251438.66</v>
      </c>
      <c r="K783" s="38" t="n">
        <v>-8117686.02</v>
      </c>
      <c r="L783" s="40" t="inlineStr">
        <is>
          <t>Alacak</t>
        </is>
      </c>
    </row>
    <row r="784" s="34">
      <c r="A784" s="40" t="inlineStr">
        <is>
          <t>182</t>
        </is>
      </c>
      <c r="B784" s="40" t="inlineStr">
        <is>
          <t>KONTROL HESABI</t>
        </is>
      </c>
      <c r="C784" s="40" t="inlineStr">
        <is>
          <t>TRY</t>
        </is>
      </c>
      <c r="E784" s="38" t="n">
        <v>533514519.63</v>
      </c>
      <c r="F784" s="38" t="n">
        <v>469709117.68</v>
      </c>
      <c r="G784" s="38" t="n">
        <v>63805401.95</v>
      </c>
      <c r="I784" s="38" t="n">
        <v>518732912.8</v>
      </c>
      <c r="J784" s="38" t="n">
        <v>437129546.99</v>
      </c>
      <c r="K784" s="38" t="n">
        <v>81603365.81</v>
      </c>
    </row>
    <row r="785" s="34">
      <c r="A785" s="40" t="inlineStr">
        <is>
          <t>182.01</t>
        </is>
      </c>
      <c r="B785" s="40" t="inlineStr">
        <is>
          <t>HOTEL  KONTROL HESABI</t>
        </is>
      </c>
      <c r="C785" s="40" t="inlineStr">
        <is>
          <t>TRY</t>
        </is>
      </c>
      <c r="E785" s="38" t="n">
        <v>533514519.63</v>
      </c>
      <c r="F785" s="38" t="n">
        <v>469709117.68</v>
      </c>
      <c r="G785" s="38" t="n">
        <v>63805401.95</v>
      </c>
      <c r="I785" s="38" t="n">
        <v>518732912.8</v>
      </c>
      <c r="J785" s="38" t="n">
        <v>437129546.99</v>
      </c>
      <c r="K785" s="38" t="n">
        <v>81603365.81</v>
      </c>
    </row>
    <row r="786" s="34">
      <c r="A786" s="40" t="inlineStr">
        <is>
          <t>182.01.01</t>
        </is>
      </c>
      <c r="B786" s="40" t="inlineStr">
        <is>
          <t>ONBÜRO KONTROL HESABI</t>
        </is>
      </c>
      <c r="C786" s="40" t="inlineStr">
        <is>
          <t>TRY</t>
        </is>
      </c>
      <c r="E786" s="38" t="n">
        <v>533514519.63</v>
      </c>
      <c r="F786" s="38" t="n">
        <v>469709117.68</v>
      </c>
      <c r="G786" s="38" t="n">
        <v>63805401.95</v>
      </c>
      <c r="I786" s="38" t="n">
        <v>518732912.8</v>
      </c>
      <c r="J786" s="38" t="n">
        <v>437129546.99</v>
      </c>
      <c r="K786" s="38" t="n">
        <v>81603365.81</v>
      </c>
    </row>
    <row r="787" s="34">
      <c r="A787" s="40" t="inlineStr">
        <is>
          <t>182.01.01.0002</t>
        </is>
      </c>
      <c r="B787" s="40" t="inlineStr">
        <is>
          <t>On Odeme Visa Ve Havale Kontrol Hesabı</t>
        </is>
      </c>
      <c r="C787" s="40" t="inlineStr">
        <is>
          <t>TRY</t>
        </is>
      </c>
      <c r="D787" s="40" t="inlineStr">
        <is>
          <t>ROYAL ADAM EVE</t>
        </is>
      </c>
      <c r="E787" s="38" t="n">
        <v>5027746.77</v>
      </c>
      <c r="F787" s="38" t="n">
        <v>5000828.13</v>
      </c>
      <c r="G787" s="38" t="n">
        <v>26918.64</v>
      </c>
      <c r="H787" s="40" t="inlineStr">
        <is>
          <t>Borç</t>
        </is>
      </c>
      <c r="I787" s="38" t="n">
        <v>4933638.62</v>
      </c>
      <c r="J787" s="38" t="n">
        <v>4867426.25</v>
      </c>
      <c r="K787" s="38" t="n">
        <v>66212.37</v>
      </c>
      <c r="L787" s="40" t="inlineStr">
        <is>
          <t>Borç</t>
        </is>
      </c>
    </row>
    <row r="788" s="34">
      <c r="A788" s="40" t="inlineStr">
        <is>
          <t>182.01.01.0002</t>
        </is>
      </c>
      <c r="B788" s="40" t="inlineStr">
        <is>
          <t>On Odeme Visa Ve Havale Kontrol Hesabı</t>
        </is>
      </c>
      <c r="C788" s="40" t="inlineStr">
        <is>
          <t>TRY</t>
        </is>
      </c>
      <c r="D788" s="40" t="inlineStr">
        <is>
          <t>ROYAL ALHAMBRA</t>
        </is>
      </c>
      <c r="E788" s="38" t="n">
        <v>984988.38</v>
      </c>
      <c r="F788" s="38" t="n">
        <v>984988.38</v>
      </c>
      <c r="G788" s="38" t="n">
        <v>0</v>
      </c>
      <c r="I788" s="38" t="n">
        <v>391998.7</v>
      </c>
      <c r="J788" s="38" t="n">
        <v>376535.57</v>
      </c>
      <c r="K788" s="38" t="n">
        <v>15463.13</v>
      </c>
      <c r="L788" s="40" t="inlineStr">
        <is>
          <t>Borç</t>
        </is>
      </c>
    </row>
    <row r="789" s="34">
      <c r="A789" s="40" t="inlineStr">
        <is>
          <t>182.01.01.0002</t>
        </is>
      </c>
      <c r="B789" s="40" t="inlineStr">
        <is>
          <t>On Odeme Visa Ve Havale Kontrol Hesabı</t>
        </is>
      </c>
      <c r="C789" s="40" t="inlineStr">
        <is>
          <t>TRY</t>
        </is>
      </c>
      <c r="D789" s="40" t="inlineStr">
        <is>
          <t>ROYAL DRAGON</t>
        </is>
      </c>
      <c r="E789" s="38" t="n">
        <v>1242922.54</v>
      </c>
      <c r="F789" s="38" t="n">
        <v>1070025.57</v>
      </c>
      <c r="G789" s="38" t="n">
        <v>172896.97</v>
      </c>
      <c r="H789" s="40" t="inlineStr">
        <is>
          <t>Borç</t>
        </is>
      </c>
      <c r="I789" s="38" t="n">
        <v>483697.87</v>
      </c>
      <c r="J789" s="38" t="n">
        <v>366021.25</v>
      </c>
      <c r="K789" s="38" t="n">
        <v>117676.62</v>
      </c>
      <c r="L789" s="40" t="inlineStr">
        <is>
          <t>Borç</t>
        </is>
      </c>
    </row>
    <row r="790" s="34">
      <c r="A790" s="40" t="inlineStr">
        <is>
          <t>182.01.01.0002</t>
        </is>
      </c>
      <c r="B790" s="40" t="inlineStr">
        <is>
          <t>On Odeme Visa Ve Havale Kontrol Hesabı</t>
        </is>
      </c>
      <c r="C790" s="40" t="inlineStr">
        <is>
          <t>TRY</t>
        </is>
      </c>
      <c r="D790" s="40" t="inlineStr">
        <is>
          <t>ROYAL HOLIDAY</t>
        </is>
      </c>
      <c r="E790" s="38" t="n">
        <v>1614868.11</v>
      </c>
      <c r="F790" s="38" t="n">
        <v>2049090.14</v>
      </c>
      <c r="G790" s="38" t="n">
        <v>-434222.03</v>
      </c>
      <c r="H790" s="40" t="inlineStr">
        <is>
          <t>Alacak</t>
        </is>
      </c>
      <c r="I790" s="38" t="n">
        <v>1438284.78</v>
      </c>
      <c r="J790" s="38" t="n">
        <v>379309.91</v>
      </c>
      <c r="K790" s="38" t="n">
        <v>1058974.87</v>
      </c>
      <c r="L790" s="40" t="inlineStr">
        <is>
          <t>Borç</t>
        </is>
      </c>
    </row>
    <row r="791" s="34">
      <c r="A791" s="40" t="inlineStr">
        <is>
          <t>182.01.01.0002</t>
        </is>
      </c>
      <c r="B791" s="40" t="inlineStr">
        <is>
          <t>On Odeme Visa Ve Havale Kontrol Hesabı</t>
        </is>
      </c>
      <c r="C791" s="40" t="inlineStr">
        <is>
          <t>TRY</t>
        </is>
      </c>
      <c r="D791" s="40" t="inlineStr">
        <is>
          <t>ROYAL SEGINUS</t>
        </is>
      </c>
      <c r="E791" s="38" t="n">
        <v>3602260.55</v>
      </c>
      <c r="F791" s="38" t="n">
        <v>3602260.55</v>
      </c>
      <c r="G791" s="38" t="n">
        <v>0</v>
      </c>
      <c r="I791" s="38" t="n">
        <v>2847640.55</v>
      </c>
      <c r="J791" s="38" t="n">
        <v>1731291.6</v>
      </c>
      <c r="K791" s="38" t="n">
        <v>1116348.95</v>
      </c>
      <c r="L791" s="40" t="inlineStr">
        <is>
          <t>Borç</t>
        </is>
      </c>
    </row>
    <row r="792" s="34">
      <c r="A792" s="40" t="inlineStr">
        <is>
          <t>182.01.01.0003</t>
        </is>
      </c>
      <c r="B792" s="40" t="inlineStr">
        <is>
          <t>C/L Kontrol Hesabı</t>
        </is>
      </c>
      <c r="C792" s="40" t="inlineStr">
        <is>
          <t>TRY</t>
        </is>
      </c>
      <c r="D792" s="40" t="inlineStr">
        <is>
          <t>ROYAL ADAM EVE</t>
        </is>
      </c>
      <c r="E792" s="38" t="n">
        <v>49681888.81</v>
      </c>
      <c r="F792" s="38" t="n">
        <v>44834698.6</v>
      </c>
      <c r="G792" s="38" t="n">
        <v>4847190.21</v>
      </c>
      <c r="H792" s="40" t="inlineStr">
        <is>
          <t>Borç</t>
        </is>
      </c>
      <c r="I792" s="38" t="n">
        <v>49681888.81</v>
      </c>
      <c r="J792" s="38" t="n">
        <v>44834698.6</v>
      </c>
      <c r="K792" s="38" t="n">
        <v>4847190.21</v>
      </c>
      <c r="L792" s="40" t="inlineStr">
        <is>
          <t>Borç</t>
        </is>
      </c>
    </row>
    <row r="793" s="34">
      <c r="A793" s="40" t="inlineStr">
        <is>
          <t>182.01.01.0003</t>
        </is>
      </c>
      <c r="B793" s="40" t="inlineStr">
        <is>
          <t>C/L Kontrol Hesabı</t>
        </is>
      </c>
      <c r="C793" s="40" t="inlineStr">
        <is>
          <t>TRY</t>
        </is>
      </c>
      <c r="D793" s="40" t="inlineStr">
        <is>
          <t>ROYAL ALHAMBRA</t>
        </is>
      </c>
      <c r="E793" s="38" t="n">
        <v>73841541</v>
      </c>
      <c r="F793" s="38" t="n">
        <v>68120447.83</v>
      </c>
      <c r="G793" s="38" t="n">
        <v>5721093.17</v>
      </c>
      <c r="H793" s="40" t="inlineStr">
        <is>
          <t>Borç</t>
        </is>
      </c>
      <c r="I793" s="38" t="n">
        <v>73841541</v>
      </c>
      <c r="J793" s="38" t="n">
        <v>62597209.95</v>
      </c>
      <c r="K793" s="38" t="n">
        <v>11244331.05</v>
      </c>
      <c r="L793" s="40" t="inlineStr">
        <is>
          <t>Borç</t>
        </is>
      </c>
    </row>
    <row r="794" s="34">
      <c r="A794" s="40" t="inlineStr">
        <is>
          <t>182.01.01.0003</t>
        </is>
      </c>
      <c r="B794" s="40" t="inlineStr">
        <is>
          <t>C/L Kontrol Hesabı</t>
        </is>
      </c>
      <c r="C794" s="40" t="inlineStr">
        <is>
          <t>TRY</t>
        </is>
      </c>
      <c r="D794" s="40" t="inlineStr">
        <is>
          <t>ROYAL DRAGON</t>
        </is>
      </c>
      <c r="E794" s="38" t="n">
        <v>85289250.41</v>
      </c>
      <c r="F794" s="38" t="n">
        <v>76422233.92</v>
      </c>
      <c r="G794" s="38" t="n">
        <v>8867016.49</v>
      </c>
      <c r="H794" s="40" t="inlineStr">
        <is>
          <t>Borç</t>
        </is>
      </c>
      <c r="I794" s="38" t="n">
        <v>85289250.41</v>
      </c>
      <c r="J794" s="38" t="n">
        <v>76422233.92</v>
      </c>
      <c r="K794" s="38" t="n">
        <v>8867016.49</v>
      </c>
      <c r="L794" s="40" t="inlineStr">
        <is>
          <t>Borç</t>
        </is>
      </c>
    </row>
    <row r="795" s="34">
      <c r="A795" s="40" t="inlineStr">
        <is>
          <t>182.01.01.0003</t>
        </is>
      </c>
      <c r="B795" s="40" t="inlineStr">
        <is>
          <t>C/L Kontrol Hesabı</t>
        </is>
      </c>
      <c r="C795" s="40" t="inlineStr">
        <is>
          <t>TRY</t>
        </is>
      </c>
      <c r="D795" s="40" t="inlineStr">
        <is>
          <t>ROYAL HOLIDAY</t>
        </is>
      </c>
      <c r="E795" s="38" t="n">
        <v>126791303.97</v>
      </c>
      <c r="F795" s="38" t="n">
        <v>120783719.08</v>
      </c>
      <c r="G795" s="38" t="n">
        <v>6007584.89</v>
      </c>
      <c r="H795" s="40" t="inlineStr">
        <is>
          <t>Borç</t>
        </is>
      </c>
      <c r="I795" s="38" t="n">
        <v>126791303.97</v>
      </c>
      <c r="J795" s="38" t="n">
        <v>120783719.08</v>
      </c>
      <c r="K795" s="38" t="n">
        <v>6007584.89</v>
      </c>
      <c r="L795" s="40" t="inlineStr">
        <is>
          <t>Borç</t>
        </is>
      </c>
    </row>
    <row r="796" s="34">
      <c r="A796" s="40" t="inlineStr">
        <is>
          <t>182.01.01.0003</t>
        </is>
      </c>
      <c r="B796" s="40" t="inlineStr">
        <is>
          <t>C/L Kontrol Hesabı</t>
        </is>
      </c>
      <c r="C796" s="40" t="inlineStr">
        <is>
          <t>TRY</t>
        </is>
      </c>
      <c r="D796" s="40" t="inlineStr">
        <is>
          <t>ROYAL SEGINUS</t>
        </is>
      </c>
      <c r="E796" s="38" t="n">
        <v>143386173.6</v>
      </c>
      <c r="F796" s="38" t="n">
        <v>103816526.17</v>
      </c>
      <c r="G796" s="38" t="n">
        <v>39569647.43</v>
      </c>
      <c r="H796" s="40" t="inlineStr">
        <is>
          <t>Borç</t>
        </is>
      </c>
      <c r="I796" s="38" t="n">
        <v>143386173.6</v>
      </c>
      <c r="J796" s="38" t="n">
        <v>103816526.17</v>
      </c>
      <c r="K796" s="38" t="n">
        <v>39569647.43</v>
      </c>
      <c r="L796" s="40" t="inlineStr">
        <is>
          <t>Borç</t>
        </is>
      </c>
    </row>
    <row r="797" s="34">
      <c r="A797" s="40" t="inlineStr">
        <is>
          <t>182.01.01.0004</t>
        </is>
      </c>
      <c r="B797" s="40" t="inlineStr">
        <is>
          <t>Geçici C/L Hesabı</t>
        </is>
      </c>
      <c r="C797" s="40" t="inlineStr">
        <is>
          <t>TRY</t>
        </is>
      </c>
      <c r="D797" s="40" t="inlineStr">
        <is>
          <t>ROYAL ALHAMBRA</t>
        </is>
      </c>
      <c r="E797" s="38" t="n">
        <v>85900.50999999999</v>
      </c>
      <c r="F797" s="38" t="n">
        <v>85900.50999999999</v>
      </c>
      <c r="G797" s="38" t="n">
        <v>0</v>
      </c>
      <c r="I797" s="38" t="n">
        <v>85900.50999999999</v>
      </c>
      <c r="J797" s="38" t="n">
        <v>85900.50999999999</v>
      </c>
      <c r="K797" s="38" t="n">
        <v>0</v>
      </c>
    </row>
    <row r="798" s="34">
      <c r="A798" s="40" t="inlineStr">
        <is>
          <t>182.01.01.0004</t>
        </is>
      </c>
      <c r="B798" s="40" t="inlineStr">
        <is>
          <t>Geçici C/L Hesabı</t>
        </is>
      </c>
      <c r="C798" s="40" t="inlineStr">
        <is>
          <t>TRY</t>
        </is>
      </c>
      <c r="D798" s="40" t="inlineStr">
        <is>
          <t>ROYAL HOLIDAY</t>
        </is>
      </c>
      <c r="E798" s="38" t="n">
        <v>19581.78</v>
      </c>
      <c r="F798" s="38" t="n">
        <v>0</v>
      </c>
      <c r="G798" s="38" t="n">
        <v>19581.78</v>
      </c>
      <c r="H798" s="40" t="inlineStr">
        <is>
          <t>Borç</t>
        </is>
      </c>
      <c r="I798" s="38" t="n">
        <v>19581.78</v>
      </c>
      <c r="J798" s="38" t="n">
        <v>0</v>
      </c>
      <c r="K798" s="38" t="n">
        <v>19581.78</v>
      </c>
      <c r="L798" s="40" t="inlineStr">
        <is>
          <t>Borç</t>
        </is>
      </c>
    </row>
    <row r="799" s="34">
      <c r="A799" s="40" t="inlineStr">
        <is>
          <t>182.01.01.0006</t>
        </is>
      </c>
      <c r="B799" s="40" t="inlineStr">
        <is>
          <t>Kredi Kartları Hesabı</t>
        </is>
      </c>
      <c r="C799" s="40" t="inlineStr">
        <is>
          <t>TRY</t>
        </is>
      </c>
      <c r="D799" s="40" t="inlineStr">
        <is>
          <t>ROYAL ADAM EVE</t>
        </is>
      </c>
      <c r="E799" s="38" t="n">
        <v>8319407.21</v>
      </c>
      <c r="F799" s="38" t="n">
        <v>8319407.2</v>
      </c>
      <c r="G799" s="38" t="n">
        <v>0.01</v>
      </c>
      <c r="H799" s="40" t="inlineStr">
        <is>
          <t>Borç</t>
        </is>
      </c>
      <c r="I799" s="38" t="n">
        <v>7343294.27</v>
      </c>
      <c r="J799" s="38" t="n">
        <v>6032021.07</v>
      </c>
      <c r="K799" s="38" t="n">
        <v>1311273.2</v>
      </c>
      <c r="L799" s="40" t="inlineStr">
        <is>
          <t>Borç</t>
        </is>
      </c>
    </row>
    <row r="800" s="34">
      <c r="A800" s="40" t="inlineStr">
        <is>
          <t>182.01.01.0006</t>
        </is>
      </c>
      <c r="B800" s="40" t="inlineStr">
        <is>
          <t>Kredi Kartları Hesabı</t>
        </is>
      </c>
      <c r="C800" s="40" t="inlineStr">
        <is>
          <t>TRY</t>
        </is>
      </c>
      <c r="D800" s="40" t="inlineStr">
        <is>
          <t>ROYAL ALHAMBRA</t>
        </is>
      </c>
      <c r="E800" s="38" t="n">
        <v>1964818.36</v>
      </c>
      <c r="F800" s="38" t="n">
        <v>1964818.34</v>
      </c>
      <c r="G800" s="38" t="n">
        <v>0.02</v>
      </c>
      <c r="H800" s="40" t="inlineStr">
        <is>
          <t>Borç</t>
        </is>
      </c>
      <c r="I800" s="38" t="n">
        <v>1445710.53</v>
      </c>
      <c r="J800" s="38" t="n">
        <v>1049661.77</v>
      </c>
      <c r="K800" s="38" t="n">
        <v>396048.76</v>
      </c>
      <c r="L800" s="40" t="inlineStr">
        <is>
          <t>Borç</t>
        </is>
      </c>
    </row>
    <row r="801" s="34">
      <c r="A801" s="40" t="inlineStr">
        <is>
          <t>182.01.01.0006</t>
        </is>
      </c>
      <c r="B801" s="40" t="inlineStr">
        <is>
          <t>Kredi Kartları Hesabı</t>
        </is>
      </c>
      <c r="C801" s="40" t="inlineStr">
        <is>
          <t>TRY</t>
        </is>
      </c>
      <c r="D801" s="40" t="inlineStr">
        <is>
          <t>ROYAL DRAGON</t>
        </is>
      </c>
      <c r="E801" s="38" t="n">
        <v>1736095.41</v>
      </c>
      <c r="F801" s="38" t="n">
        <v>1720828.55</v>
      </c>
      <c r="G801" s="38" t="n">
        <v>15266.86</v>
      </c>
      <c r="H801" s="40" t="inlineStr">
        <is>
          <t>Borç</t>
        </is>
      </c>
      <c r="I801" s="38" t="n">
        <v>1107423.26</v>
      </c>
      <c r="J801" s="38" t="n">
        <v>532144.24</v>
      </c>
      <c r="K801" s="38" t="n">
        <v>575279.02</v>
      </c>
      <c r="L801" s="40" t="inlineStr">
        <is>
          <t>Borç</t>
        </is>
      </c>
    </row>
    <row r="802" s="34">
      <c r="A802" s="40" t="inlineStr">
        <is>
          <t>182.01.01.0006</t>
        </is>
      </c>
      <c r="B802" s="40" t="inlineStr">
        <is>
          <t>Kredi Kartları Hesabı</t>
        </is>
      </c>
      <c r="C802" s="40" t="inlineStr">
        <is>
          <t>TRY</t>
        </is>
      </c>
      <c r="D802" s="40" t="inlineStr">
        <is>
          <t>ROYAL HOLIDAY</t>
        </is>
      </c>
      <c r="E802" s="38" t="n">
        <v>6774566.62</v>
      </c>
      <c r="F802" s="38" t="n">
        <v>7848013.8</v>
      </c>
      <c r="G802" s="38" t="n">
        <v>-1073447.18</v>
      </c>
      <c r="H802" s="40" t="inlineStr">
        <is>
          <t>Alacak</t>
        </is>
      </c>
      <c r="I802" s="38" t="n">
        <v>5234665.91</v>
      </c>
      <c r="J802" s="38" t="n">
        <v>2225861.94</v>
      </c>
      <c r="K802" s="38" t="n">
        <v>3008803.97</v>
      </c>
      <c r="L802" s="40" t="inlineStr">
        <is>
          <t>Borç</t>
        </is>
      </c>
    </row>
    <row r="803" s="34">
      <c r="A803" s="40" t="inlineStr">
        <is>
          <t>182.01.01.0006</t>
        </is>
      </c>
      <c r="B803" s="40" t="inlineStr">
        <is>
          <t>Kredi Kartları Hesabı</t>
        </is>
      </c>
      <c r="C803" s="40" t="inlineStr">
        <is>
          <t>TRY</t>
        </is>
      </c>
      <c r="D803" s="40" t="inlineStr">
        <is>
          <t>ROYAL SEGINUS</t>
        </is>
      </c>
      <c r="E803" s="38" t="n">
        <v>11263266.69</v>
      </c>
      <c r="F803" s="38" t="n">
        <v>11139985.19</v>
      </c>
      <c r="G803" s="38" t="n">
        <v>123281.5</v>
      </c>
      <c r="H803" s="40" t="inlineStr">
        <is>
          <t>Borç</t>
        </is>
      </c>
      <c r="I803" s="38" t="n">
        <v>6187595.36</v>
      </c>
      <c r="J803" s="38" t="n">
        <v>2862609.19</v>
      </c>
      <c r="K803" s="38" t="n">
        <v>3324986.17</v>
      </c>
      <c r="L803" s="40" t="inlineStr">
        <is>
          <t>Borç</t>
        </is>
      </c>
    </row>
    <row r="804" s="34">
      <c r="A804" s="40" t="inlineStr">
        <is>
          <t>182.01.01.0007</t>
        </is>
      </c>
      <c r="B804" s="40" t="inlineStr">
        <is>
          <t>Nakit Hesabı</t>
        </is>
      </c>
      <c r="C804" s="40" t="inlineStr">
        <is>
          <t>TRY</t>
        </is>
      </c>
      <c r="D804" s="40" t="inlineStr">
        <is>
          <t>ROYAL ADAM EVE</t>
        </is>
      </c>
      <c r="E804" s="38" t="n">
        <v>4325220.42</v>
      </c>
      <c r="F804" s="38" t="n">
        <v>4325220.43</v>
      </c>
      <c r="G804" s="38" t="n">
        <v>-0.01</v>
      </c>
      <c r="H804" s="40" t="inlineStr">
        <is>
          <t>Alacak</t>
        </is>
      </c>
      <c r="I804" s="38" t="n">
        <v>3095413.2</v>
      </c>
      <c r="J804" s="38" t="n">
        <v>2868363.83</v>
      </c>
      <c r="K804" s="38" t="n">
        <v>227049.37</v>
      </c>
      <c r="L804" s="40" t="inlineStr">
        <is>
          <t>Borç</t>
        </is>
      </c>
    </row>
    <row r="805" s="34">
      <c r="A805" s="40" t="inlineStr">
        <is>
          <t>182.01.01.0007</t>
        </is>
      </c>
      <c r="B805" s="40" t="inlineStr">
        <is>
          <t>Nakit Hesabı</t>
        </is>
      </c>
      <c r="C805" s="40" t="inlineStr">
        <is>
          <t>TRY</t>
        </is>
      </c>
      <c r="D805" s="40" t="inlineStr">
        <is>
          <t>ROYAL ALHAMBRA</t>
        </is>
      </c>
      <c r="E805" s="38" t="n">
        <v>480586.42</v>
      </c>
      <c r="F805" s="38" t="n">
        <v>480586.44</v>
      </c>
      <c r="G805" s="38" t="n">
        <v>-0.02</v>
      </c>
      <c r="H805" s="40" t="inlineStr">
        <is>
          <t>Alacak</t>
        </is>
      </c>
      <c r="I805" s="38" t="n">
        <v>152762.54</v>
      </c>
      <c r="J805" s="38" t="n">
        <v>50570.07</v>
      </c>
      <c r="K805" s="38" t="n">
        <v>102192.47</v>
      </c>
      <c r="L805" s="40" t="inlineStr">
        <is>
          <t>Borç</t>
        </is>
      </c>
    </row>
    <row r="806" s="34">
      <c r="A806" s="40" t="inlineStr">
        <is>
          <t>182.01.01.0007</t>
        </is>
      </c>
      <c r="B806" s="40" t="inlineStr">
        <is>
          <t>Nakit Hesabı</t>
        </is>
      </c>
      <c r="C806" s="40" t="inlineStr">
        <is>
          <t>TRY</t>
        </is>
      </c>
      <c r="D806" s="40" t="inlineStr">
        <is>
          <t>ROYAL DRAGON</t>
        </is>
      </c>
      <c r="E806" s="38" t="n">
        <v>911379.1800000001</v>
      </c>
      <c r="F806" s="38" t="n">
        <v>901183.92</v>
      </c>
      <c r="G806" s="38" t="n">
        <v>10195.26</v>
      </c>
      <c r="H806" s="40" t="inlineStr">
        <is>
          <t>Borç</t>
        </is>
      </c>
      <c r="I806" s="38" t="n">
        <v>197495.5</v>
      </c>
      <c r="J806" s="38" t="n">
        <v>734542.74</v>
      </c>
      <c r="K806" s="38" t="n">
        <v>-537047.24</v>
      </c>
      <c r="L806" s="40" t="inlineStr">
        <is>
          <t>Alacak</t>
        </is>
      </c>
    </row>
    <row r="807" s="34">
      <c r="A807" s="40" t="inlineStr">
        <is>
          <t>182.01.01.0007</t>
        </is>
      </c>
      <c r="B807" s="40" t="inlineStr">
        <is>
          <t>Nakit Hesabı</t>
        </is>
      </c>
      <c r="C807" s="40" t="inlineStr">
        <is>
          <t>TRY</t>
        </is>
      </c>
      <c r="D807" s="40" t="inlineStr">
        <is>
          <t>ROYAL HOLIDAY</t>
        </is>
      </c>
      <c r="E807" s="38" t="n">
        <v>2657587.9</v>
      </c>
      <c r="F807" s="38" t="n">
        <v>2725189.91</v>
      </c>
      <c r="G807" s="38" t="n">
        <v>-67602.00999999999</v>
      </c>
      <c r="H807" s="40" t="inlineStr">
        <is>
          <t>Alacak</t>
        </is>
      </c>
      <c r="I807" s="38" t="n">
        <v>1958158.1</v>
      </c>
      <c r="J807" s="38" t="n">
        <v>2053195.4</v>
      </c>
      <c r="K807" s="38" t="n">
        <v>-95037.3</v>
      </c>
      <c r="L807" s="40" t="inlineStr">
        <is>
          <t>Alacak</t>
        </is>
      </c>
    </row>
    <row r="808" s="34">
      <c r="A808" s="40" t="inlineStr">
        <is>
          <t>182.01.01.0007</t>
        </is>
      </c>
      <c r="B808" s="40" t="inlineStr">
        <is>
          <t>Nakit Hesabı</t>
        </is>
      </c>
      <c r="C808" s="40" t="inlineStr">
        <is>
          <t>TRY</t>
        </is>
      </c>
      <c r="D808" s="40" t="inlineStr">
        <is>
          <t>ROYAL SEGINUS</t>
        </is>
      </c>
      <c r="E808" s="38" t="n">
        <v>3513164.99</v>
      </c>
      <c r="F808" s="38" t="n">
        <v>3513165.02</v>
      </c>
      <c r="G808" s="38" t="n">
        <v>-0.03</v>
      </c>
      <c r="H808" s="40" t="inlineStr">
        <is>
          <t>Alacak</t>
        </is>
      </c>
      <c r="I808" s="38" t="n">
        <v>2819493.53</v>
      </c>
      <c r="J808" s="38" t="n">
        <v>2459703.93</v>
      </c>
      <c r="K808" s="38" t="n">
        <v>359789.6</v>
      </c>
      <c r="L808" s="40" t="inlineStr">
        <is>
          <t>Borç</t>
        </is>
      </c>
    </row>
    <row r="809" s="34">
      <c r="A809" s="40" t="inlineStr">
        <is>
          <t>19</t>
        </is>
      </c>
      <c r="B809" s="40" t="inlineStr">
        <is>
          <t>DİĞER DÖNEN VARLIKLAR</t>
        </is>
      </c>
      <c r="C809" s="40" t="inlineStr">
        <is>
          <t>TRY</t>
        </is>
      </c>
      <c r="E809" s="38" t="n">
        <v>6037581.45</v>
      </c>
      <c r="F809" s="38" t="n">
        <v>67275.32000000001</v>
      </c>
      <c r="G809" s="38" t="n">
        <v>5970306.13</v>
      </c>
      <c r="I809" s="38" t="n">
        <v>5934127.63</v>
      </c>
      <c r="J809" s="38" t="n">
        <v>67275.32000000001</v>
      </c>
      <c r="K809" s="38" t="n">
        <v>5866852.31</v>
      </c>
    </row>
    <row r="810" s="34">
      <c r="A810" s="40" t="inlineStr">
        <is>
          <t>191</t>
        </is>
      </c>
      <c r="B810" s="40" t="inlineStr">
        <is>
          <t>INDIRILECEK KDV</t>
        </is>
      </c>
      <c r="C810" s="40" t="inlineStr">
        <is>
          <t>TRY</t>
        </is>
      </c>
      <c r="E810" s="38" t="n">
        <v>5952427.68</v>
      </c>
      <c r="F810" s="38" t="n">
        <v>1534.67</v>
      </c>
      <c r="G810" s="38" t="n">
        <v>5950893.01</v>
      </c>
      <c r="I810" s="38" t="n">
        <v>5848973.86</v>
      </c>
      <c r="J810" s="38" t="n">
        <v>1534.67</v>
      </c>
      <c r="K810" s="38" t="n">
        <v>5847439.19</v>
      </c>
    </row>
    <row r="811" s="34">
      <c r="A811" s="40" t="inlineStr">
        <is>
          <t>191.01</t>
        </is>
      </c>
      <c r="B811" s="40" t="inlineStr">
        <is>
          <t>INDIRILECEK KDV</t>
        </is>
      </c>
      <c r="C811" s="40" t="inlineStr">
        <is>
          <t>TRY</t>
        </is>
      </c>
      <c r="E811" s="38" t="n">
        <v>5952427.68</v>
      </c>
      <c r="F811" s="38" t="n">
        <v>1534.67</v>
      </c>
      <c r="G811" s="38" t="n">
        <v>5950893.01</v>
      </c>
      <c r="I811" s="38" t="n">
        <v>5848973.86</v>
      </c>
      <c r="J811" s="38" t="n">
        <v>1534.67</v>
      </c>
      <c r="K811" s="38" t="n">
        <v>5847439.19</v>
      </c>
    </row>
    <row r="812" s="34">
      <c r="A812" s="40" t="inlineStr">
        <is>
          <t>191.01.01</t>
        </is>
      </c>
      <c r="B812" s="40" t="inlineStr">
        <is>
          <t>INDIRILECEK KDV</t>
        </is>
      </c>
      <c r="C812" s="40" t="inlineStr">
        <is>
          <t>TRY</t>
        </is>
      </c>
      <c r="E812" s="38" t="n">
        <v>5586925.8</v>
      </c>
      <c r="F812" s="38" t="n">
        <v>556</v>
      </c>
      <c r="G812" s="38" t="n">
        <v>5586369.8</v>
      </c>
      <c r="I812" s="38" t="n">
        <v>5483471.98</v>
      </c>
      <c r="J812" s="38" t="n">
        <v>556</v>
      </c>
      <c r="K812" s="38" t="n">
        <v>5482915.98</v>
      </c>
    </row>
    <row r="813" s="34">
      <c r="A813" s="40" t="inlineStr">
        <is>
          <t>191.01.01.0001</t>
        </is>
      </c>
      <c r="B813" s="40" t="inlineStr">
        <is>
          <t>Indirilecek Kdv % 1</t>
        </is>
      </c>
      <c r="C813" s="40" t="inlineStr">
        <is>
          <t>TRY</t>
        </is>
      </c>
      <c r="D813" s="40" t="inlineStr">
        <is>
          <t>ROYAL ADAM EVE</t>
        </is>
      </c>
      <c r="E813" s="38" t="n">
        <v>37445.11</v>
      </c>
      <c r="F813" s="38" t="n">
        <v>0</v>
      </c>
      <c r="G813" s="38" t="n">
        <v>37445.11</v>
      </c>
      <c r="H813" s="40" t="inlineStr">
        <is>
          <t>Borç</t>
        </is>
      </c>
      <c r="I813" s="38" t="n">
        <v>37445.11</v>
      </c>
      <c r="J813" s="38" t="n">
        <v>0</v>
      </c>
      <c r="K813" s="38" t="n">
        <v>37445.11</v>
      </c>
      <c r="L813" s="40" t="inlineStr">
        <is>
          <t>Borç</t>
        </is>
      </c>
    </row>
    <row r="814" s="34">
      <c r="A814" s="40" t="inlineStr">
        <is>
          <t>191.01.01.0001</t>
        </is>
      </c>
      <c r="B814" s="40" t="inlineStr">
        <is>
          <t>Indirilecek Kdv % 1</t>
        </is>
      </c>
      <c r="C814" s="40" t="inlineStr">
        <is>
          <t>TRY</t>
        </is>
      </c>
      <c r="D814" s="40" t="inlineStr">
        <is>
          <t>ROYAL ALHAMBRA</t>
        </is>
      </c>
      <c r="E814" s="38" t="n">
        <v>110873.98</v>
      </c>
      <c r="F814" s="38" t="n">
        <v>0</v>
      </c>
      <c r="G814" s="38" t="n">
        <v>110873.98</v>
      </c>
      <c r="H814" s="40" t="inlineStr">
        <is>
          <t>Borç</t>
        </is>
      </c>
      <c r="I814" s="38" t="n">
        <v>110873.98</v>
      </c>
      <c r="J814" s="38" t="n">
        <v>0</v>
      </c>
      <c r="K814" s="38" t="n">
        <v>110873.98</v>
      </c>
      <c r="L814" s="40" t="inlineStr">
        <is>
          <t>Borç</t>
        </is>
      </c>
    </row>
    <row r="815" s="34">
      <c r="A815" s="40" t="inlineStr">
        <is>
          <t>191.01.01.0001</t>
        </is>
      </c>
      <c r="B815" s="40" t="inlineStr">
        <is>
          <t>Indirilecek Kdv % 1</t>
        </is>
      </c>
      <c r="C815" s="40" t="inlineStr">
        <is>
          <t>TRY</t>
        </is>
      </c>
      <c r="D815" s="40" t="inlineStr">
        <is>
          <t>ROYAL DRAGON</t>
        </is>
      </c>
      <c r="E815" s="38" t="n">
        <v>71515.14999999999</v>
      </c>
      <c r="F815" s="38" t="n">
        <v>0</v>
      </c>
      <c r="G815" s="38" t="n">
        <v>71515.14999999999</v>
      </c>
      <c r="H815" s="40" t="inlineStr">
        <is>
          <t>Borç</t>
        </is>
      </c>
      <c r="I815" s="38" t="n">
        <v>71515.14999999999</v>
      </c>
      <c r="J815" s="38" t="n">
        <v>0</v>
      </c>
      <c r="K815" s="38" t="n">
        <v>71515.14999999999</v>
      </c>
      <c r="L815" s="40" t="inlineStr">
        <is>
          <t>Borç</t>
        </is>
      </c>
    </row>
    <row r="816" s="34">
      <c r="A816" s="40" t="inlineStr">
        <is>
          <t>191.01.01.0001</t>
        </is>
      </c>
      <c r="B816" s="40" t="inlineStr">
        <is>
          <t>Indirilecek Kdv % 1</t>
        </is>
      </c>
      <c r="C816" s="40" t="inlineStr">
        <is>
          <t>TRY</t>
        </is>
      </c>
      <c r="D816" s="40" t="inlineStr">
        <is>
          <t>ROYAL HOLIDAY</t>
        </is>
      </c>
      <c r="E816" s="38" t="n">
        <v>124847.74</v>
      </c>
      <c r="F816" s="38" t="n">
        <v>0</v>
      </c>
      <c r="G816" s="38" t="n">
        <v>124847.74</v>
      </c>
      <c r="H816" s="40" t="inlineStr">
        <is>
          <t>Borç</t>
        </is>
      </c>
      <c r="I816" s="38" t="n">
        <v>124847.74</v>
      </c>
      <c r="J816" s="38" t="n">
        <v>0</v>
      </c>
      <c r="K816" s="38" t="n">
        <v>124847.74</v>
      </c>
      <c r="L816" s="40" t="inlineStr">
        <is>
          <t>Borç</t>
        </is>
      </c>
    </row>
    <row r="817" s="34">
      <c r="A817" s="40" t="inlineStr">
        <is>
          <t>191.01.01.0001</t>
        </is>
      </c>
      <c r="B817" s="40" t="inlineStr">
        <is>
          <t>Indirilecek Kdv % 1</t>
        </is>
      </c>
      <c r="C817" s="40" t="inlineStr">
        <is>
          <t>TRY</t>
        </is>
      </c>
      <c r="D817" s="40" t="inlineStr">
        <is>
          <t>ROYAL SEGINUS</t>
        </is>
      </c>
      <c r="E817" s="38" t="n">
        <v>124761.64</v>
      </c>
      <c r="F817" s="38" t="n">
        <v>0</v>
      </c>
      <c r="G817" s="38" t="n">
        <v>124761.64</v>
      </c>
      <c r="H817" s="40" t="inlineStr">
        <is>
          <t>Borç</t>
        </is>
      </c>
      <c r="I817" s="38" t="n">
        <v>124761.64</v>
      </c>
      <c r="J817" s="38" t="n">
        <v>0</v>
      </c>
      <c r="K817" s="38" t="n">
        <v>124761.64</v>
      </c>
      <c r="L817" s="40" t="inlineStr">
        <is>
          <t>Borç</t>
        </is>
      </c>
    </row>
    <row r="818" s="34">
      <c r="A818" s="40" t="inlineStr">
        <is>
          <t>191.01.01.0002</t>
        </is>
      </c>
      <c r="B818" s="40" t="inlineStr">
        <is>
          <t>Indirilecek Kdv % 10</t>
        </is>
      </c>
      <c r="C818" s="40" t="inlineStr">
        <is>
          <t>TRY</t>
        </is>
      </c>
      <c r="D818" s="40" t="inlineStr">
        <is>
          <t>ROYAL ADAM EVE</t>
        </is>
      </c>
      <c r="E818" s="38" t="n">
        <v>96020.75999999999</v>
      </c>
      <c r="F818" s="38" t="n">
        <v>0</v>
      </c>
      <c r="G818" s="38" t="n">
        <v>96020.75999999999</v>
      </c>
      <c r="H818" s="40" t="inlineStr">
        <is>
          <t>Borç</t>
        </is>
      </c>
      <c r="I818" s="38" t="n">
        <v>96020.75999999999</v>
      </c>
      <c r="J818" s="38" t="n">
        <v>0</v>
      </c>
      <c r="K818" s="38" t="n">
        <v>96020.75999999999</v>
      </c>
      <c r="L818" s="40" t="inlineStr">
        <is>
          <t>Borç</t>
        </is>
      </c>
    </row>
    <row r="819" s="34">
      <c r="A819" s="40" t="inlineStr">
        <is>
          <t>191.01.01.0002</t>
        </is>
      </c>
      <c r="B819" s="40" t="inlineStr">
        <is>
          <t>Indirilecek Kdv % 10</t>
        </is>
      </c>
      <c r="C819" s="40" t="inlineStr">
        <is>
          <t>TRY</t>
        </is>
      </c>
      <c r="D819" s="40" t="inlineStr">
        <is>
          <t>ROYAL ALHAMBRA</t>
        </is>
      </c>
      <c r="E819" s="38" t="n">
        <v>177008.15</v>
      </c>
      <c r="F819" s="38" t="n">
        <v>0</v>
      </c>
      <c r="G819" s="38" t="n">
        <v>177008.15</v>
      </c>
      <c r="H819" s="40" t="inlineStr">
        <is>
          <t>Borç</t>
        </is>
      </c>
      <c r="I819" s="38" t="n">
        <v>177008.15</v>
      </c>
      <c r="J819" s="38" t="n">
        <v>0</v>
      </c>
      <c r="K819" s="38" t="n">
        <v>177008.15</v>
      </c>
      <c r="L819" s="40" t="inlineStr">
        <is>
          <t>Borç</t>
        </is>
      </c>
    </row>
    <row r="820" s="34">
      <c r="A820" s="40" t="inlineStr">
        <is>
          <t>191.01.01.0002</t>
        </is>
      </c>
      <c r="B820" s="40" t="inlineStr">
        <is>
          <t>Indirilecek Kdv % 10</t>
        </is>
      </c>
      <c r="C820" s="40" t="inlineStr">
        <is>
          <t>TRY</t>
        </is>
      </c>
      <c r="D820" s="40" t="inlineStr">
        <is>
          <t>ROYAL DRAGON</t>
        </is>
      </c>
      <c r="E820" s="38" t="n">
        <v>154137.7</v>
      </c>
      <c r="F820" s="38" t="n">
        <v>0</v>
      </c>
      <c r="G820" s="38" t="n">
        <v>154137.7</v>
      </c>
      <c r="H820" s="40" t="inlineStr">
        <is>
          <t>Borç</t>
        </is>
      </c>
      <c r="I820" s="38" t="n">
        <v>154137.7</v>
      </c>
      <c r="J820" s="38" t="n">
        <v>0</v>
      </c>
      <c r="K820" s="38" t="n">
        <v>154137.7</v>
      </c>
      <c r="L820" s="40" t="inlineStr">
        <is>
          <t>Borç</t>
        </is>
      </c>
    </row>
    <row r="821" s="34">
      <c r="A821" s="40" t="inlineStr">
        <is>
          <t>191.01.01.0002</t>
        </is>
      </c>
      <c r="B821" s="40" t="inlineStr">
        <is>
          <t>Indirilecek Kdv % 10</t>
        </is>
      </c>
      <c r="C821" s="40" t="inlineStr">
        <is>
          <t>TRY</t>
        </is>
      </c>
      <c r="D821" s="40" t="inlineStr">
        <is>
          <t>ROYAL HOLIDAY</t>
        </is>
      </c>
      <c r="E821" s="38" t="n">
        <v>239106.51</v>
      </c>
      <c r="F821" s="38" t="n">
        <v>0</v>
      </c>
      <c r="G821" s="38" t="n">
        <v>239106.51</v>
      </c>
      <c r="H821" s="40" t="inlineStr">
        <is>
          <t>Borç</t>
        </is>
      </c>
      <c r="I821" s="38" t="n">
        <v>239106.51</v>
      </c>
      <c r="J821" s="38" t="n">
        <v>0</v>
      </c>
      <c r="K821" s="38" t="n">
        <v>239106.51</v>
      </c>
      <c r="L821" s="40" t="inlineStr">
        <is>
          <t>Borç</t>
        </is>
      </c>
    </row>
    <row r="822" s="34">
      <c r="A822" s="40" t="inlineStr">
        <is>
          <t>191.01.01.0002</t>
        </is>
      </c>
      <c r="B822" s="40" t="inlineStr">
        <is>
          <t>Indirilecek Kdv % 10</t>
        </is>
      </c>
      <c r="C822" s="40" t="inlineStr">
        <is>
          <t>TRY</t>
        </is>
      </c>
      <c r="D822" s="40" t="inlineStr">
        <is>
          <t>ROYAL SEGINUS</t>
        </is>
      </c>
      <c r="E822" s="38" t="n">
        <v>134008.33</v>
      </c>
      <c r="F822" s="38" t="n">
        <v>0</v>
      </c>
      <c r="G822" s="38" t="n">
        <v>134008.33</v>
      </c>
      <c r="H822" s="40" t="inlineStr">
        <is>
          <t>Borç</t>
        </is>
      </c>
      <c r="I822" s="38" t="n">
        <v>134008.33</v>
      </c>
      <c r="J822" s="38" t="n">
        <v>0</v>
      </c>
      <c r="K822" s="38" t="n">
        <v>134008.33</v>
      </c>
      <c r="L822" s="40" t="inlineStr">
        <is>
          <t>Borç</t>
        </is>
      </c>
    </row>
    <row r="823" s="34">
      <c r="A823" s="40" t="inlineStr">
        <is>
          <t>191.01.01.0002</t>
        </is>
      </c>
      <c r="B823" s="40" t="inlineStr">
        <is>
          <t>Indirilecek Kdv % 10</t>
        </is>
      </c>
      <c r="C823" s="40" t="inlineStr">
        <is>
          <t>TRY</t>
        </is>
      </c>
      <c r="D823" s="40" t="inlineStr">
        <is>
          <t>SERTAŞ MERKEZ</t>
        </is>
      </c>
      <c r="E823" s="38" t="n">
        <v>47.28</v>
      </c>
      <c r="F823" s="38" t="n">
        <v>0</v>
      </c>
      <c r="G823" s="38" t="n">
        <v>47.28</v>
      </c>
      <c r="H823" s="40" t="inlineStr">
        <is>
          <t>Borç</t>
        </is>
      </c>
      <c r="I823" s="38" t="n">
        <v>47.28</v>
      </c>
      <c r="J823" s="38" t="n">
        <v>0</v>
      </c>
      <c r="K823" s="38" t="n">
        <v>47.28</v>
      </c>
      <c r="L823" s="40" t="inlineStr">
        <is>
          <t>Borç</t>
        </is>
      </c>
    </row>
    <row r="824" s="34">
      <c r="A824" s="40" t="inlineStr">
        <is>
          <t>191.01.01.0003</t>
        </is>
      </c>
      <c r="B824" s="40" t="inlineStr">
        <is>
          <t>Indirilecek Kdv % 20</t>
        </is>
      </c>
      <c r="C824" s="40" t="inlineStr">
        <is>
          <t>TRY</t>
        </is>
      </c>
      <c r="D824" s="40" t="inlineStr">
        <is>
          <t>GİTAŞ MERKEZ</t>
        </is>
      </c>
      <c r="E824" s="38" t="n">
        <v>20000</v>
      </c>
      <c r="F824" s="38" t="n">
        <v>0</v>
      </c>
      <c r="G824" s="38" t="n">
        <v>20000</v>
      </c>
      <c r="H824" s="40" t="inlineStr">
        <is>
          <t>Borç</t>
        </is>
      </c>
      <c r="I824" s="38" t="n">
        <v>20000</v>
      </c>
      <c r="J824" s="38" t="n">
        <v>0</v>
      </c>
      <c r="K824" s="38" t="n">
        <v>20000</v>
      </c>
      <c r="L824" s="40" t="inlineStr">
        <is>
          <t>Borç</t>
        </is>
      </c>
    </row>
    <row r="825" s="34">
      <c r="A825" s="40" t="inlineStr">
        <is>
          <t>191.01.01.0003</t>
        </is>
      </c>
      <c r="B825" s="40" t="inlineStr">
        <is>
          <t>Indirilecek Kdv % 20</t>
        </is>
      </c>
      <c r="C825" s="40" t="inlineStr">
        <is>
          <t>TRY</t>
        </is>
      </c>
      <c r="D825" s="40" t="inlineStr">
        <is>
          <t>ROYAL ADAM EVE</t>
        </is>
      </c>
      <c r="E825" s="38" t="n">
        <v>1094711.91</v>
      </c>
      <c r="F825" s="38" t="n">
        <v>0</v>
      </c>
      <c r="G825" s="38" t="n">
        <v>1094711.91</v>
      </c>
      <c r="H825" s="40" t="inlineStr">
        <is>
          <t>Borç</t>
        </is>
      </c>
      <c r="I825" s="38" t="n">
        <v>992491.9399999999</v>
      </c>
      <c r="J825" s="38" t="n">
        <v>0</v>
      </c>
      <c r="K825" s="38" t="n">
        <v>992491.9399999999</v>
      </c>
      <c r="L825" s="40" t="inlineStr">
        <is>
          <t>Borç</t>
        </is>
      </c>
    </row>
    <row r="826" s="34">
      <c r="A826" s="40" t="inlineStr">
        <is>
          <t>191.01.01.0003</t>
        </is>
      </c>
      <c r="B826" s="40" t="inlineStr">
        <is>
          <t>Indirilecek Kdv % 20</t>
        </is>
      </c>
      <c r="C826" s="40" t="inlineStr">
        <is>
          <t>TRY</t>
        </is>
      </c>
      <c r="D826" s="40" t="inlineStr">
        <is>
          <t>ROYAL ALHAMBRA</t>
        </is>
      </c>
      <c r="E826" s="38" t="n">
        <v>784639.95</v>
      </c>
      <c r="F826" s="38" t="n">
        <v>0</v>
      </c>
      <c r="G826" s="38" t="n">
        <v>784639.95</v>
      </c>
      <c r="H826" s="40" t="inlineStr">
        <is>
          <t>Borç</t>
        </is>
      </c>
      <c r="I826" s="38" t="n">
        <v>784639.95</v>
      </c>
      <c r="J826" s="38" t="n">
        <v>0</v>
      </c>
      <c r="K826" s="38" t="n">
        <v>784639.95</v>
      </c>
      <c r="L826" s="40" t="inlineStr">
        <is>
          <t>Borç</t>
        </is>
      </c>
    </row>
    <row r="827" s="34">
      <c r="A827" s="40" t="inlineStr">
        <is>
          <t>191.01.01.0003</t>
        </is>
      </c>
      <c r="B827" s="40" t="inlineStr">
        <is>
          <t>Indirilecek Kdv % 20</t>
        </is>
      </c>
      <c r="C827" s="40" t="inlineStr">
        <is>
          <t>TRY</t>
        </is>
      </c>
      <c r="D827" s="40" t="inlineStr">
        <is>
          <t>ROYAL DRAGON</t>
        </is>
      </c>
      <c r="E827" s="38" t="n">
        <v>569956.52</v>
      </c>
      <c r="F827" s="38" t="n">
        <v>0</v>
      </c>
      <c r="G827" s="38" t="n">
        <v>569956.52</v>
      </c>
      <c r="H827" s="40" t="inlineStr">
        <is>
          <t>Borç</t>
        </is>
      </c>
      <c r="I827" s="38" t="n">
        <v>569956.52</v>
      </c>
      <c r="J827" s="38" t="n">
        <v>0</v>
      </c>
      <c r="K827" s="38" t="n">
        <v>569956.52</v>
      </c>
      <c r="L827" s="40" t="inlineStr">
        <is>
          <t>Borç</t>
        </is>
      </c>
    </row>
    <row r="828" s="34">
      <c r="A828" s="40" t="inlineStr">
        <is>
          <t>191.01.01.0003</t>
        </is>
      </c>
      <c r="B828" s="40" t="inlineStr">
        <is>
          <t>Indirilecek Kdv % 20</t>
        </is>
      </c>
      <c r="C828" s="40" t="inlineStr">
        <is>
          <t>TRY</t>
        </is>
      </c>
      <c r="D828" s="40" t="inlineStr">
        <is>
          <t>ROYAL HOLIDAY</t>
        </is>
      </c>
      <c r="E828" s="38" t="n">
        <v>893859.64</v>
      </c>
      <c r="F828" s="38" t="n">
        <v>556</v>
      </c>
      <c r="G828" s="38" t="n">
        <v>893303.64</v>
      </c>
      <c r="H828" s="40" t="inlineStr">
        <is>
          <t>Borç</t>
        </is>
      </c>
      <c r="I828" s="38" t="n">
        <v>892852.95</v>
      </c>
      <c r="J828" s="38" t="n">
        <v>556</v>
      </c>
      <c r="K828" s="38" t="n">
        <v>892296.95</v>
      </c>
      <c r="L828" s="40" t="inlineStr">
        <is>
          <t>Borç</t>
        </is>
      </c>
    </row>
    <row r="829" s="34">
      <c r="A829" s="40" t="inlineStr">
        <is>
          <t>191.01.01.0003</t>
        </is>
      </c>
      <c r="B829" s="40" t="inlineStr">
        <is>
          <t>Indirilecek Kdv % 20</t>
        </is>
      </c>
      <c r="C829" s="40" t="inlineStr">
        <is>
          <t>TRY</t>
        </is>
      </c>
      <c r="D829" s="40" t="inlineStr">
        <is>
          <t>ROYAL SEGINUS</t>
        </is>
      </c>
      <c r="E829" s="38" t="n">
        <v>805003.99</v>
      </c>
      <c r="F829" s="38" t="n">
        <v>0</v>
      </c>
      <c r="G829" s="38" t="n">
        <v>805003.99</v>
      </c>
      <c r="H829" s="40" t="inlineStr">
        <is>
          <t>Borç</t>
        </is>
      </c>
      <c r="I829" s="38" t="n">
        <v>804776.83</v>
      </c>
      <c r="J829" s="38" t="n">
        <v>0</v>
      </c>
      <c r="K829" s="38" t="n">
        <v>804776.83</v>
      </c>
      <c r="L829" s="40" t="inlineStr">
        <is>
          <t>Borç</t>
        </is>
      </c>
    </row>
    <row r="830" s="34">
      <c r="A830" s="40" t="inlineStr">
        <is>
          <t>191.01.01.0003</t>
        </is>
      </c>
      <c r="B830" s="40" t="inlineStr">
        <is>
          <t>Indirilecek Kdv % 20</t>
        </is>
      </c>
      <c r="C830" s="40" t="inlineStr">
        <is>
          <t>TRY</t>
        </is>
      </c>
      <c r="D830" s="40" t="inlineStr">
        <is>
          <t>SERTAŞ MERKEZ</t>
        </is>
      </c>
      <c r="E830" s="38" t="n">
        <v>56594.1</v>
      </c>
      <c r="F830" s="38" t="n">
        <v>0</v>
      </c>
      <c r="G830" s="38" t="n">
        <v>56594.1</v>
      </c>
      <c r="H830" s="40" t="inlineStr">
        <is>
          <t>Borç</t>
        </is>
      </c>
      <c r="I830" s="38" t="n">
        <v>56594.1</v>
      </c>
      <c r="J830" s="38" t="n">
        <v>0</v>
      </c>
      <c r="K830" s="38" t="n">
        <v>56594.1</v>
      </c>
      <c r="L830" s="40" t="inlineStr">
        <is>
          <t>Borç</t>
        </is>
      </c>
    </row>
    <row r="831" s="34">
      <c r="A831" s="40" t="inlineStr">
        <is>
          <t>191.01.01.0003</t>
        </is>
      </c>
      <c r="B831" s="40" t="inlineStr">
        <is>
          <t>Indirilecek Kdv % 20</t>
        </is>
      </c>
      <c r="C831" s="40" t="inlineStr">
        <is>
          <t>TRY</t>
        </is>
      </c>
      <c r="D831" s="40" t="inlineStr">
        <is>
          <t>STONE ÇARŞI</t>
        </is>
      </c>
      <c r="E831" s="38" t="n">
        <v>2259.84</v>
      </c>
      <c r="F831" s="38" t="n">
        <v>0</v>
      </c>
      <c r="G831" s="38" t="n">
        <v>2259.84</v>
      </c>
      <c r="H831" s="40" t="inlineStr">
        <is>
          <t>Borç</t>
        </is>
      </c>
      <c r="I831" s="38" t="n">
        <v>2259.84</v>
      </c>
      <c r="J831" s="38" t="n">
        <v>0</v>
      </c>
      <c r="K831" s="38" t="n">
        <v>2259.84</v>
      </c>
      <c r="L831" s="40" t="inlineStr">
        <is>
          <t>Borç</t>
        </is>
      </c>
    </row>
    <row r="832" s="34">
      <c r="A832" s="40" t="inlineStr">
        <is>
          <t>191.01.01.0006</t>
        </is>
      </c>
      <c r="B832" s="40" t="inlineStr">
        <is>
          <t>Tevkifatlı Indirilecek Kdv % 20</t>
        </is>
      </c>
      <c r="C832" s="40" t="inlineStr">
        <is>
          <t>TRY</t>
        </is>
      </c>
      <c r="D832" s="40" t="inlineStr">
        <is>
          <t>ROYAL ADAM EVE</t>
        </is>
      </c>
      <c r="E832" s="38" t="n">
        <v>48687.5</v>
      </c>
      <c r="F832" s="38" t="n">
        <v>0</v>
      </c>
      <c r="G832" s="38" t="n">
        <v>48687.5</v>
      </c>
      <c r="H832" s="40" t="inlineStr">
        <is>
          <t>Borç</t>
        </is>
      </c>
      <c r="I832" s="38" t="n">
        <v>48687.5</v>
      </c>
      <c r="J832" s="38" t="n">
        <v>0</v>
      </c>
      <c r="K832" s="38" t="n">
        <v>48687.5</v>
      </c>
      <c r="L832" s="40" t="inlineStr">
        <is>
          <t>Borç</t>
        </is>
      </c>
    </row>
    <row r="833" s="34">
      <c r="A833" s="40" t="inlineStr">
        <is>
          <t>191.01.01.0006</t>
        </is>
      </c>
      <c r="B833" s="40" t="inlineStr">
        <is>
          <t>Tevkifatlı Indirilecek Kdv % 20</t>
        </is>
      </c>
      <c r="C833" s="40" t="inlineStr">
        <is>
          <t>TRY</t>
        </is>
      </c>
      <c r="D833" s="40" t="inlineStr">
        <is>
          <t>ROYAL DRAGON</t>
        </is>
      </c>
      <c r="E833" s="38" t="n">
        <v>19915</v>
      </c>
      <c r="F833" s="38" t="n">
        <v>0</v>
      </c>
      <c r="G833" s="38" t="n">
        <v>19915</v>
      </c>
      <c r="H833" s="40" t="inlineStr">
        <is>
          <t>Borç</t>
        </is>
      </c>
      <c r="I833" s="38" t="n">
        <v>19915</v>
      </c>
      <c r="J833" s="38" t="n">
        <v>0</v>
      </c>
      <c r="K833" s="38" t="n">
        <v>19915</v>
      </c>
      <c r="L833" s="40" t="inlineStr">
        <is>
          <t>Borç</t>
        </is>
      </c>
    </row>
    <row r="834" s="34">
      <c r="A834" s="40" t="inlineStr">
        <is>
          <t>191.01.01.0006</t>
        </is>
      </c>
      <c r="B834" s="40" t="inlineStr">
        <is>
          <t>Tevkifatlı Indirilecek Kdv % 20</t>
        </is>
      </c>
      <c r="C834" s="40" t="inlineStr">
        <is>
          <t>TRY</t>
        </is>
      </c>
      <c r="D834" s="40" t="inlineStr">
        <is>
          <t>ROYAL SEGINUS</t>
        </is>
      </c>
      <c r="E834" s="38" t="n">
        <v>21525</v>
      </c>
      <c r="F834" s="38" t="n">
        <v>0</v>
      </c>
      <c r="G834" s="38" t="n">
        <v>21525</v>
      </c>
      <c r="H834" s="40" t="inlineStr">
        <is>
          <t>Borç</t>
        </is>
      </c>
      <c r="I834" s="38" t="n">
        <v>21525</v>
      </c>
      <c r="J834" s="38" t="n">
        <v>0</v>
      </c>
      <c r="K834" s="38" t="n">
        <v>21525</v>
      </c>
      <c r="L834" s="40" t="inlineStr">
        <is>
          <t>Borç</t>
        </is>
      </c>
    </row>
    <row r="835" s="34">
      <c r="A835" s="40" t="inlineStr">
        <is>
          <t>191.01.02</t>
        </is>
      </c>
      <c r="B835" s="40" t="inlineStr">
        <is>
          <t>SATISLARDAN IADE</t>
        </is>
      </c>
      <c r="C835" s="40" t="inlineStr">
        <is>
          <t>TRY</t>
        </is>
      </c>
      <c r="E835" s="38" t="n">
        <v>365501.88</v>
      </c>
      <c r="F835" s="38" t="n">
        <v>978.67</v>
      </c>
      <c r="G835" s="38" t="n">
        <v>364523.21</v>
      </c>
      <c r="I835" s="38" t="n">
        <v>365501.88</v>
      </c>
      <c r="J835" s="38" t="n">
        <v>978.67</v>
      </c>
      <c r="K835" s="38" t="n">
        <v>364523.21</v>
      </c>
    </row>
    <row r="836" s="34">
      <c r="A836" s="40" t="inlineStr">
        <is>
          <t>191.01.02.0002</t>
        </is>
      </c>
      <c r="B836" s="40" t="inlineStr">
        <is>
          <t>Satislardan Iade Kdv %10</t>
        </is>
      </c>
      <c r="C836" s="40" t="inlineStr">
        <is>
          <t>TRY</t>
        </is>
      </c>
      <c r="D836" s="40" t="inlineStr">
        <is>
          <t>ROYAL ADAM EVE</t>
        </is>
      </c>
      <c r="E836" s="38" t="n">
        <v>205598.05</v>
      </c>
      <c r="F836" s="38" t="n">
        <v>0</v>
      </c>
      <c r="G836" s="38" t="n">
        <v>205598.05</v>
      </c>
      <c r="H836" s="40" t="inlineStr">
        <is>
          <t>Borç</t>
        </is>
      </c>
      <c r="I836" s="38" t="n">
        <v>205598.05</v>
      </c>
      <c r="J836" s="38" t="n">
        <v>0</v>
      </c>
      <c r="K836" s="38" t="n">
        <v>205598.05</v>
      </c>
      <c r="L836" s="40" t="inlineStr">
        <is>
          <t>Borç</t>
        </is>
      </c>
    </row>
    <row r="837" s="34">
      <c r="A837" s="40" t="inlineStr">
        <is>
          <t>191.01.02.0002</t>
        </is>
      </c>
      <c r="B837" s="40" t="inlineStr">
        <is>
          <t>Satislardan Iade Kdv %10</t>
        </is>
      </c>
      <c r="C837" s="40" t="inlineStr">
        <is>
          <t>TRY</t>
        </is>
      </c>
      <c r="D837" s="40" t="inlineStr">
        <is>
          <t>ROYAL ALHAMBRA</t>
        </is>
      </c>
      <c r="E837" s="38" t="n">
        <v>910.28</v>
      </c>
      <c r="F837" s="38" t="n">
        <v>0</v>
      </c>
      <c r="G837" s="38" t="n">
        <v>910.28</v>
      </c>
      <c r="H837" s="40" t="inlineStr">
        <is>
          <t>Borç</t>
        </is>
      </c>
      <c r="I837" s="38" t="n">
        <v>910.28</v>
      </c>
      <c r="J837" s="38" t="n">
        <v>0</v>
      </c>
      <c r="K837" s="38" t="n">
        <v>910.28</v>
      </c>
      <c r="L837" s="40" t="inlineStr">
        <is>
          <t>Borç</t>
        </is>
      </c>
    </row>
    <row r="838" s="34">
      <c r="A838" s="40" t="inlineStr">
        <is>
          <t>191.01.02.0002</t>
        </is>
      </c>
      <c r="B838" s="40" t="inlineStr">
        <is>
          <t>Satislardan Iade Kdv %10</t>
        </is>
      </c>
      <c r="C838" s="40" t="inlineStr">
        <is>
          <t>TRY</t>
        </is>
      </c>
      <c r="D838" s="40" t="inlineStr">
        <is>
          <t>ROYAL DRAGON</t>
        </is>
      </c>
      <c r="E838" s="38" t="n">
        <v>54325.17</v>
      </c>
      <c r="F838" s="38" t="n">
        <v>0</v>
      </c>
      <c r="G838" s="38" t="n">
        <v>54325.17</v>
      </c>
      <c r="H838" s="40" t="inlineStr">
        <is>
          <t>Borç</t>
        </is>
      </c>
      <c r="I838" s="38" t="n">
        <v>54325.17</v>
      </c>
      <c r="J838" s="38" t="n">
        <v>0</v>
      </c>
      <c r="K838" s="38" t="n">
        <v>54325.17</v>
      </c>
      <c r="L838" s="40" t="inlineStr">
        <is>
          <t>Borç</t>
        </is>
      </c>
    </row>
    <row r="839" s="34">
      <c r="A839" s="40" t="inlineStr">
        <is>
          <t>191.01.02.0002</t>
        </is>
      </c>
      <c r="B839" s="40" t="inlineStr">
        <is>
          <t>Satislardan Iade Kdv %10</t>
        </is>
      </c>
      <c r="C839" s="40" t="inlineStr">
        <is>
          <t>TRY</t>
        </is>
      </c>
      <c r="D839" s="40" t="inlineStr">
        <is>
          <t>ROYAL SEGINUS</t>
        </is>
      </c>
      <c r="E839" s="38" t="n">
        <v>45720.09</v>
      </c>
      <c r="F839" s="38" t="n">
        <v>978.67</v>
      </c>
      <c r="G839" s="38" t="n">
        <v>44741.42</v>
      </c>
      <c r="H839" s="40" t="inlineStr">
        <is>
          <t>Borç</t>
        </is>
      </c>
      <c r="I839" s="38" t="n">
        <v>45720.09</v>
      </c>
      <c r="J839" s="38" t="n">
        <v>978.67</v>
      </c>
      <c r="K839" s="38" t="n">
        <v>44741.42</v>
      </c>
      <c r="L839" s="40" t="inlineStr">
        <is>
          <t>Borç</t>
        </is>
      </c>
    </row>
    <row r="840" s="34">
      <c r="A840" s="40" t="inlineStr">
        <is>
          <t>191.01.02.0003</t>
        </is>
      </c>
      <c r="B840" s="40" t="inlineStr">
        <is>
          <t>Satislardan Iade Kdv %20</t>
        </is>
      </c>
      <c r="C840" s="40" t="inlineStr">
        <is>
          <t>TRY</t>
        </is>
      </c>
      <c r="D840" s="40" t="inlineStr">
        <is>
          <t>ROYAL ADAM EVE</t>
        </is>
      </c>
      <c r="E840" s="38" t="n">
        <v>32626.64</v>
      </c>
      <c r="F840" s="38" t="n">
        <v>0</v>
      </c>
      <c r="G840" s="38" t="n">
        <v>32626.64</v>
      </c>
      <c r="H840" s="40" t="inlineStr">
        <is>
          <t>Borç</t>
        </is>
      </c>
      <c r="I840" s="38" t="n">
        <v>32626.64</v>
      </c>
      <c r="J840" s="38" t="n">
        <v>0</v>
      </c>
      <c r="K840" s="38" t="n">
        <v>32626.64</v>
      </c>
      <c r="L840" s="40" t="inlineStr">
        <is>
          <t>Borç</t>
        </is>
      </c>
    </row>
    <row r="841" s="34">
      <c r="A841" s="40" t="inlineStr">
        <is>
          <t>191.01.02.0003</t>
        </is>
      </c>
      <c r="B841" s="40" t="inlineStr">
        <is>
          <t>Satislardan Iade Kdv %20</t>
        </is>
      </c>
      <c r="C841" s="40" t="inlineStr">
        <is>
          <t>TRY</t>
        </is>
      </c>
      <c r="D841" s="40" t="inlineStr">
        <is>
          <t>ROYAL ALHAMBRA</t>
        </is>
      </c>
      <c r="E841" s="38" t="n">
        <v>26321.65</v>
      </c>
      <c r="F841" s="38" t="n">
        <v>0</v>
      </c>
      <c r="G841" s="38" t="n">
        <v>26321.65</v>
      </c>
      <c r="H841" s="40" t="inlineStr">
        <is>
          <t>Borç</t>
        </is>
      </c>
      <c r="I841" s="38" t="n">
        <v>26321.65</v>
      </c>
      <c r="J841" s="38" t="n">
        <v>0</v>
      </c>
      <c r="K841" s="38" t="n">
        <v>26321.65</v>
      </c>
      <c r="L841" s="40" t="inlineStr">
        <is>
          <t>Borç</t>
        </is>
      </c>
    </row>
    <row r="842" s="34">
      <c r="A842" s="40" t="inlineStr">
        <is>
          <t>193</t>
        </is>
      </c>
      <c r="B842" s="40" t="inlineStr">
        <is>
          <t>PEŞİN ÖDENEN VERGİ VE FONLAR</t>
        </is>
      </c>
      <c r="C842" s="40" t="inlineStr">
        <is>
          <t>TRY</t>
        </is>
      </c>
      <c r="E842" s="38" t="n">
        <v>40153.77</v>
      </c>
      <c r="F842" s="38" t="n">
        <v>0</v>
      </c>
      <c r="G842" s="38" t="n">
        <v>40153.77</v>
      </c>
      <c r="I842" s="38" t="n">
        <v>40153.77</v>
      </c>
      <c r="J842" s="38" t="n">
        <v>0</v>
      </c>
      <c r="K842" s="38" t="n">
        <v>40153.77</v>
      </c>
    </row>
    <row r="843" s="34">
      <c r="A843" s="40" t="inlineStr">
        <is>
          <t>193.01</t>
        </is>
      </c>
      <c r="B843" s="40" t="inlineStr">
        <is>
          <t>PEŞİN ÖDENEN VERGİ VE FONLAR</t>
        </is>
      </c>
      <c r="C843" s="40" t="inlineStr">
        <is>
          <t>TRY</t>
        </is>
      </c>
      <c r="E843" s="38" t="n">
        <v>40153.77</v>
      </c>
      <c r="F843" s="38" t="n">
        <v>0</v>
      </c>
      <c r="G843" s="38" t="n">
        <v>40153.77</v>
      </c>
      <c r="I843" s="38" t="n">
        <v>40153.77</v>
      </c>
      <c r="J843" s="38" t="n">
        <v>0</v>
      </c>
      <c r="K843" s="38" t="n">
        <v>40153.77</v>
      </c>
    </row>
    <row r="844" s="34">
      <c r="A844" s="40" t="inlineStr">
        <is>
          <t>193.01.01</t>
        </is>
      </c>
      <c r="B844" s="40" t="inlineStr">
        <is>
          <t>PEŞİN ÖDENEN VERGİ VE FONLAR</t>
        </is>
      </c>
      <c r="C844" s="40" t="inlineStr">
        <is>
          <t>TRY</t>
        </is>
      </c>
      <c r="E844" s="38" t="n">
        <v>40153.77</v>
      </c>
      <c r="F844" s="38" t="n">
        <v>0</v>
      </c>
      <c r="G844" s="38" t="n">
        <v>40153.77</v>
      </c>
      <c r="I844" s="38" t="n">
        <v>40153.77</v>
      </c>
      <c r="J844" s="38" t="n">
        <v>0</v>
      </c>
      <c r="K844" s="38" t="n">
        <v>40153.77</v>
      </c>
    </row>
    <row r="845" s="34">
      <c r="A845" s="40" t="inlineStr">
        <is>
          <t>193.01.01.0004</t>
        </is>
      </c>
      <c r="B845" s="40" t="inlineStr">
        <is>
          <t>TL Vakıfbank Stopaj</t>
        </is>
      </c>
      <c r="C845" s="40" t="inlineStr">
        <is>
          <t>TRY</t>
        </is>
      </c>
      <c r="D845" s="40" t="inlineStr">
        <is>
          <t>GİTAŞ MERKEZ</t>
        </is>
      </c>
      <c r="E845" s="38" t="n">
        <v>5643.78</v>
      </c>
      <c r="F845" s="38" t="n">
        <v>0</v>
      </c>
      <c r="G845" s="38" t="n">
        <v>5643.78</v>
      </c>
      <c r="H845" s="40" t="inlineStr">
        <is>
          <t>Borç</t>
        </is>
      </c>
      <c r="I845" s="38" t="n">
        <v>5643.78</v>
      </c>
      <c r="J845" s="38" t="n">
        <v>0</v>
      </c>
      <c r="K845" s="38" t="n">
        <v>5643.78</v>
      </c>
      <c r="L845" s="40" t="inlineStr">
        <is>
          <t>Borç</t>
        </is>
      </c>
    </row>
    <row r="846" s="34">
      <c r="A846" s="40" t="inlineStr">
        <is>
          <t>193.01.01.0004</t>
        </is>
      </c>
      <c r="B846" s="40" t="inlineStr">
        <is>
          <t>TL Vakıfbank Stopaj</t>
        </is>
      </c>
      <c r="C846" s="40" t="inlineStr">
        <is>
          <t>TRY</t>
        </is>
      </c>
      <c r="D846" s="40" t="inlineStr">
        <is>
          <t>ROYAL ADAM EVE</t>
        </is>
      </c>
      <c r="E846" s="38" t="n">
        <v>1627.84</v>
      </c>
      <c r="F846" s="38" t="n">
        <v>0</v>
      </c>
      <c r="G846" s="38" t="n">
        <v>1627.84</v>
      </c>
      <c r="H846" s="40" t="inlineStr">
        <is>
          <t>Borç</t>
        </is>
      </c>
      <c r="I846" s="38" t="n">
        <v>1627.84</v>
      </c>
      <c r="J846" s="38" t="n">
        <v>0</v>
      </c>
      <c r="K846" s="38" t="n">
        <v>1627.84</v>
      </c>
      <c r="L846" s="40" t="inlineStr">
        <is>
          <t>Borç</t>
        </is>
      </c>
    </row>
    <row r="847" s="34">
      <c r="A847" s="40" t="inlineStr">
        <is>
          <t>193.01.01.0008</t>
        </is>
      </c>
      <c r="B847" s="40" t="inlineStr">
        <is>
          <t>Faiz Gelir Vergisi Stpj(Vakıfbank TL)</t>
        </is>
      </c>
      <c r="C847" s="40" t="inlineStr">
        <is>
          <t>TRY</t>
        </is>
      </c>
      <c r="D847" s="40" t="inlineStr">
        <is>
          <t>GİTAŞ MERKEZ</t>
        </is>
      </c>
      <c r="E847" s="38" t="n">
        <v>8456.74</v>
      </c>
      <c r="F847" s="38" t="n">
        <v>0</v>
      </c>
      <c r="G847" s="38" t="n">
        <v>8456.74</v>
      </c>
      <c r="H847" s="40" t="inlineStr">
        <is>
          <t>Borç</t>
        </is>
      </c>
      <c r="I847" s="38" t="n">
        <v>8456.74</v>
      </c>
      <c r="J847" s="38" t="n">
        <v>0</v>
      </c>
      <c r="K847" s="38" t="n">
        <v>8456.74</v>
      </c>
      <c r="L847" s="40" t="inlineStr">
        <is>
          <t>Borç</t>
        </is>
      </c>
    </row>
    <row r="848" s="34">
      <c r="A848" s="40" t="inlineStr">
        <is>
          <t>193.01.01.0008</t>
        </is>
      </c>
      <c r="B848" s="40" t="inlineStr">
        <is>
          <t>Faiz Gelir Vergisi Stpj(Vakıfbank TL)</t>
        </is>
      </c>
      <c r="C848" s="40" t="inlineStr">
        <is>
          <t>TRY</t>
        </is>
      </c>
      <c r="D848" s="40" t="inlineStr">
        <is>
          <t>ROYAL ADAM EVE</t>
        </is>
      </c>
      <c r="E848" s="38" t="n">
        <v>1449.79</v>
      </c>
      <c r="F848" s="38" t="n">
        <v>0</v>
      </c>
      <c r="G848" s="38" t="n">
        <v>1449.79</v>
      </c>
      <c r="H848" s="40" t="inlineStr">
        <is>
          <t>Borç</t>
        </is>
      </c>
      <c r="I848" s="38" t="n">
        <v>1449.79</v>
      </c>
      <c r="J848" s="38" t="n">
        <v>0</v>
      </c>
      <c r="K848" s="38" t="n">
        <v>1449.79</v>
      </c>
      <c r="L848" s="40" t="inlineStr">
        <is>
          <t>Borç</t>
        </is>
      </c>
    </row>
    <row r="849" s="34">
      <c r="A849" s="40" t="inlineStr">
        <is>
          <t>193.01.01.0008</t>
        </is>
      </c>
      <c r="B849" s="40" t="inlineStr">
        <is>
          <t>Faiz Gelir Vergisi Stpj(Vakıfbank TL)</t>
        </is>
      </c>
      <c r="C849" s="40" t="inlineStr">
        <is>
          <t>TRY</t>
        </is>
      </c>
      <c r="D849" s="40" t="inlineStr">
        <is>
          <t>SERTAŞ MERKEZ</t>
        </is>
      </c>
      <c r="E849" s="38" t="n">
        <v>20996.44</v>
      </c>
      <c r="F849" s="38" t="n">
        <v>0</v>
      </c>
      <c r="G849" s="38" t="n">
        <v>20996.44</v>
      </c>
      <c r="H849" s="40" t="inlineStr">
        <is>
          <t>Borç</t>
        </is>
      </c>
      <c r="I849" s="38" t="n">
        <v>20996.44</v>
      </c>
      <c r="J849" s="38" t="n">
        <v>0</v>
      </c>
      <c r="K849" s="38" t="n">
        <v>20996.44</v>
      </c>
      <c r="L849" s="40" t="inlineStr">
        <is>
          <t>Borç</t>
        </is>
      </c>
    </row>
    <row r="850" s="34">
      <c r="A850" s="40" t="inlineStr">
        <is>
          <t>193.01.01.0010</t>
        </is>
      </c>
      <c r="B850" s="40" t="inlineStr">
        <is>
          <t>Faiz Gelir Vergisi Stpj(Yapıkredi TL)</t>
        </is>
      </c>
      <c r="C850" s="40" t="inlineStr">
        <is>
          <t>TRY</t>
        </is>
      </c>
      <c r="D850" s="40" t="inlineStr">
        <is>
          <t>SERTAŞ MERKEZ</t>
        </is>
      </c>
      <c r="E850" s="38" t="n">
        <v>1979.18</v>
      </c>
      <c r="F850" s="38" t="n">
        <v>0</v>
      </c>
      <c r="G850" s="38" t="n">
        <v>1979.18</v>
      </c>
      <c r="H850" s="40" t="inlineStr">
        <is>
          <t>Borç</t>
        </is>
      </c>
      <c r="I850" s="38" t="n">
        <v>1979.18</v>
      </c>
      <c r="J850" s="38" t="n">
        <v>0</v>
      </c>
      <c r="K850" s="38" t="n">
        <v>1979.18</v>
      </c>
      <c r="L850" s="40" t="inlineStr">
        <is>
          <t>Borç</t>
        </is>
      </c>
    </row>
    <row r="851" s="34">
      <c r="A851" s="40" t="inlineStr">
        <is>
          <t>195</t>
        </is>
      </c>
      <c r="B851" s="40" t="inlineStr">
        <is>
          <t>İŞ AVANSLARI</t>
        </is>
      </c>
      <c r="C851" s="40" t="inlineStr">
        <is>
          <t>TRY</t>
        </is>
      </c>
      <c r="E851" s="38" t="n">
        <v>45000</v>
      </c>
      <c r="F851" s="38" t="n">
        <v>65740.64999999999</v>
      </c>
      <c r="G851" s="38" t="n">
        <v>-20740.65</v>
      </c>
      <c r="I851" s="38" t="n">
        <v>45000</v>
      </c>
      <c r="J851" s="38" t="n">
        <v>65740.64999999999</v>
      </c>
      <c r="K851" s="38" t="n">
        <v>-20740.65</v>
      </c>
    </row>
    <row r="852" s="34">
      <c r="A852" s="40" t="inlineStr">
        <is>
          <t>195.01</t>
        </is>
      </c>
      <c r="B852" s="40" t="inlineStr">
        <is>
          <t>İŞ AVANSLARI</t>
        </is>
      </c>
      <c r="C852" s="40" t="inlineStr">
        <is>
          <t>TRY</t>
        </is>
      </c>
      <c r="E852" s="38" t="n">
        <v>45000</v>
      </c>
      <c r="F852" s="38" t="n">
        <v>65740.64999999999</v>
      </c>
      <c r="G852" s="38" t="n">
        <v>-20740.65</v>
      </c>
      <c r="I852" s="38" t="n">
        <v>45000</v>
      </c>
      <c r="J852" s="38" t="n">
        <v>65740.64999999999</v>
      </c>
      <c r="K852" s="38" t="n">
        <v>-20740.65</v>
      </c>
    </row>
    <row r="853" s="34">
      <c r="A853" s="40" t="inlineStr">
        <is>
          <t>195.01.01</t>
        </is>
      </c>
      <c r="B853" s="40" t="inlineStr">
        <is>
          <t>İŞ AVANSLARI</t>
        </is>
      </c>
      <c r="C853" s="40" t="inlineStr">
        <is>
          <t>TRY</t>
        </is>
      </c>
      <c r="E853" s="38" t="n">
        <v>45000</v>
      </c>
      <c r="F853" s="38" t="n">
        <v>65740.64999999999</v>
      </c>
      <c r="G853" s="38" t="n">
        <v>-20740.65</v>
      </c>
      <c r="I853" s="38" t="n">
        <v>45000</v>
      </c>
      <c r="J853" s="38" t="n">
        <v>65740.64999999999</v>
      </c>
      <c r="K853" s="38" t="n">
        <v>-20740.65</v>
      </c>
    </row>
    <row r="854" s="34">
      <c r="A854" s="40" t="inlineStr">
        <is>
          <t>195.01.01.0002</t>
        </is>
      </c>
      <c r="B854" s="40" t="inlineStr">
        <is>
          <t>Melike Özkaya</t>
        </is>
      </c>
      <c r="C854" s="40" t="inlineStr">
        <is>
          <t>TRY</t>
        </is>
      </c>
      <c r="D854" s="40" t="inlineStr">
        <is>
          <t>GİTAŞ MERKEZ</t>
        </is>
      </c>
      <c r="E854" s="38" t="n">
        <v>5000</v>
      </c>
      <c r="F854" s="38" t="n">
        <v>9638.32</v>
      </c>
      <c r="G854" s="38" t="n">
        <v>-4638.32</v>
      </c>
      <c r="H854" s="40" t="inlineStr">
        <is>
          <t>Alacak</t>
        </is>
      </c>
      <c r="I854" s="38" t="n">
        <v>5000</v>
      </c>
      <c r="J854" s="38" t="n">
        <v>9638.32</v>
      </c>
      <c r="K854" s="38" t="n">
        <v>-4638.32</v>
      </c>
      <c r="L854" s="40" t="inlineStr">
        <is>
          <t>Alacak</t>
        </is>
      </c>
    </row>
    <row r="855" s="34">
      <c r="A855" s="40" t="inlineStr">
        <is>
          <t>195.01.01.0002</t>
        </is>
      </c>
      <c r="B855" s="40" t="inlineStr">
        <is>
          <t>Melike Özkaya</t>
        </is>
      </c>
      <c r="C855" s="40" t="inlineStr">
        <is>
          <t>TRY</t>
        </is>
      </c>
      <c r="D855" s="40" t="inlineStr">
        <is>
          <t>ROYAL ADAM EVE</t>
        </is>
      </c>
      <c r="E855" s="38" t="n">
        <v>5000</v>
      </c>
      <c r="F855" s="38" t="n">
        <v>0</v>
      </c>
      <c r="G855" s="38" t="n">
        <v>5000</v>
      </c>
      <c r="H855" s="40" t="inlineStr">
        <is>
          <t>Borç</t>
        </is>
      </c>
      <c r="I855" s="38" t="n">
        <v>5000</v>
      </c>
      <c r="J855" s="38" t="n">
        <v>0</v>
      </c>
      <c r="K855" s="38" t="n">
        <v>5000</v>
      </c>
      <c r="L855" s="40" t="inlineStr">
        <is>
          <t>Borç</t>
        </is>
      </c>
    </row>
    <row r="856" s="34">
      <c r="A856" s="40" t="inlineStr">
        <is>
          <t>195.01.01.0002</t>
        </is>
      </c>
      <c r="B856" s="40" t="inlineStr">
        <is>
          <t>Melike Özkaya</t>
        </is>
      </c>
      <c r="C856" s="40" t="inlineStr">
        <is>
          <t>TRY</t>
        </is>
      </c>
      <c r="D856" s="40" t="inlineStr">
        <is>
          <t>SERTAŞ MERKEZ</t>
        </is>
      </c>
      <c r="E856" s="38" t="n">
        <v>5000</v>
      </c>
      <c r="F856" s="38" t="n">
        <v>7455</v>
      </c>
      <c r="G856" s="38" t="n">
        <v>-2455</v>
      </c>
      <c r="H856" s="40" t="inlineStr">
        <is>
          <t>Alacak</t>
        </is>
      </c>
      <c r="I856" s="38" t="n">
        <v>5000</v>
      </c>
      <c r="J856" s="38" t="n">
        <v>7455</v>
      </c>
      <c r="K856" s="38" t="n">
        <v>-2455</v>
      </c>
      <c r="L856" s="40" t="inlineStr">
        <is>
          <t>Alacak</t>
        </is>
      </c>
    </row>
    <row r="857" s="34">
      <c r="A857" s="40" t="inlineStr">
        <is>
          <t>195.01.01.0003</t>
        </is>
      </c>
      <c r="B857" s="40" t="inlineStr">
        <is>
          <t>Nimet Küçükavcı</t>
        </is>
      </c>
      <c r="C857" s="40" t="inlineStr">
        <is>
          <t>TRY</t>
        </is>
      </c>
      <c r="D857" s="40" t="inlineStr">
        <is>
          <t>GİTAŞ MERKEZ</t>
        </is>
      </c>
      <c r="E857" s="38" t="n">
        <v>0</v>
      </c>
      <c r="F857" s="38" t="n">
        <v>7280.1</v>
      </c>
      <c r="G857" s="38" t="n">
        <v>-7280.1</v>
      </c>
      <c r="H857" s="40" t="inlineStr">
        <is>
          <t>Alacak</t>
        </is>
      </c>
      <c r="I857" s="38" t="n">
        <v>0</v>
      </c>
      <c r="J857" s="38" t="n">
        <v>7280.1</v>
      </c>
      <c r="K857" s="38" t="n">
        <v>-7280.1</v>
      </c>
      <c r="L857" s="40" t="inlineStr">
        <is>
          <t>Alacak</t>
        </is>
      </c>
    </row>
    <row r="858" s="34">
      <c r="A858" s="40" t="inlineStr">
        <is>
          <t>195.01.01.0003</t>
        </is>
      </c>
      <c r="B858" s="40" t="inlineStr">
        <is>
          <t>Nimet Küçükavcı</t>
        </is>
      </c>
      <c r="C858" s="40" t="inlineStr">
        <is>
          <t>TRY</t>
        </is>
      </c>
      <c r="D858" s="40" t="inlineStr">
        <is>
          <t>ROYAL ADAM EVE</t>
        </is>
      </c>
      <c r="E858" s="38" t="n">
        <v>0</v>
      </c>
      <c r="F858" s="38" t="n">
        <v>568</v>
      </c>
      <c r="G858" s="38" t="n">
        <v>-568</v>
      </c>
      <c r="H858" s="40" t="inlineStr">
        <is>
          <t>Alacak</t>
        </is>
      </c>
      <c r="I858" s="38" t="n">
        <v>0</v>
      </c>
      <c r="J858" s="38" t="n">
        <v>568</v>
      </c>
      <c r="K858" s="38" t="n">
        <v>-568</v>
      </c>
      <c r="L858" s="40" t="inlineStr">
        <is>
          <t>Alacak</t>
        </is>
      </c>
    </row>
    <row r="859" s="34">
      <c r="A859" s="40" t="inlineStr">
        <is>
          <t>195.01.01.0003</t>
        </is>
      </c>
      <c r="B859" s="40" t="inlineStr">
        <is>
          <t>Nimet Küçükavcı</t>
        </is>
      </c>
      <c r="C859" s="40" t="inlineStr">
        <is>
          <t>TRY</t>
        </is>
      </c>
      <c r="D859" s="40" t="inlineStr">
        <is>
          <t>SERTAŞ MERKEZ</t>
        </is>
      </c>
      <c r="E859" s="38" t="n">
        <v>0</v>
      </c>
      <c r="F859" s="38" t="n">
        <v>1768</v>
      </c>
      <c r="G859" s="38" t="n">
        <v>-1768</v>
      </c>
      <c r="H859" s="40" t="inlineStr">
        <is>
          <t>Alacak</t>
        </is>
      </c>
      <c r="I859" s="38" t="n">
        <v>0</v>
      </c>
      <c r="J859" s="38" t="n">
        <v>1768</v>
      </c>
      <c r="K859" s="38" t="n">
        <v>-1768</v>
      </c>
      <c r="L859" s="40" t="inlineStr">
        <is>
          <t>Alacak</t>
        </is>
      </c>
    </row>
    <row r="860" s="34">
      <c r="A860" s="40" t="inlineStr">
        <is>
          <t>195.01.01.0004</t>
        </is>
      </c>
      <c r="B860" s="40" t="inlineStr">
        <is>
          <t>Leylanur Kaymakoğlu</t>
        </is>
      </c>
      <c r="C860" s="40" t="inlineStr">
        <is>
          <t>TRY</t>
        </is>
      </c>
      <c r="D860" s="40" t="inlineStr">
        <is>
          <t>GİTAŞ MERKEZ</t>
        </is>
      </c>
      <c r="E860" s="38" t="n">
        <v>10000</v>
      </c>
      <c r="F860" s="38" t="n">
        <v>14661.53</v>
      </c>
      <c r="G860" s="38" t="n">
        <v>-4661.53</v>
      </c>
      <c r="H860" s="40" t="inlineStr">
        <is>
          <t>Alacak</t>
        </is>
      </c>
      <c r="I860" s="38" t="n">
        <v>10000</v>
      </c>
      <c r="J860" s="38" t="n">
        <v>14661.53</v>
      </c>
      <c r="K860" s="38" t="n">
        <v>-4661.53</v>
      </c>
      <c r="L860" s="40" t="inlineStr">
        <is>
          <t>Alacak</t>
        </is>
      </c>
    </row>
    <row r="861" s="34">
      <c r="A861" s="40" t="inlineStr">
        <is>
          <t>195.01.01.0004</t>
        </is>
      </c>
      <c r="B861" s="40" t="inlineStr">
        <is>
          <t>Leylanur Kaymakoğlu</t>
        </is>
      </c>
      <c r="C861" s="40" t="inlineStr">
        <is>
          <t>TRY</t>
        </is>
      </c>
      <c r="D861" s="40" t="inlineStr">
        <is>
          <t>ROYAL ADAM EVE</t>
        </is>
      </c>
      <c r="E861" s="38" t="n">
        <v>10000</v>
      </c>
      <c r="F861" s="38" t="n">
        <v>5232.69</v>
      </c>
      <c r="G861" s="38" t="n">
        <v>4767.31</v>
      </c>
      <c r="H861" s="40" t="inlineStr">
        <is>
          <t>Borç</t>
        </is>
      </c>
      <c r="I861" s="38" t="n">
        <v>10000</v>
      </c>
      <c r="J861" s="38" t="n">
        <v>5232.69</v>
      </c>
      <c r="K861" s="38" t="n">
        <v>4767.31</v>
      </c>
      <c r="L861" s="40" t="inlineStr">
        <is>
          <t>Borç</t>
        </is>
      </c>
    </row>
    <row r="862" s="34">
      <c r="A862" s="40" t="inlineStr">
        <is>
          <t>195.01.01.0004</t>
        </is>
      </c>
      <c r="B862" s="40" t="inlineStr">
        <is>
          <t>Leylanur Kaymakoğlu</t>
        </is>
      </c>
      <c r="C862" s="40" t="inlineStr">
        <is>
          <t>TRY</t>
        </is>
      </c>
      <c r="D862" s="40" t="inlineStr">
        <is>
          <t>SERTAŞ MERKEZ</t>
        </is>
      </c>
      <c r="E862" s="38" t="n">
        <v>10000</v>
      </c>
      <c r="F862" s="38" t="n">
        <v>19137.01</v>
      </c>
      <c r="G862" s="38" t="n">
        <v>-9137.01</v>
      </c>
      <c r="H862" s="40" t="inlineStr">
        <is>
          <t>Alacak</t>
        </is>
      </c>
      <c r="I862" s="38" t="n">
        <v>10000</v>
      </c>
      <c r="J862" s="38" t="n">
        <v>19137.01</v>
      </c>
      <c r="K862" s="38" t="n">
        <v>-9137.01</v>
      </c>
      <c r="L862" s="40" t="inlineStr">
        <is>
          <t>Alacak</t>
        </is>
      </c>
    </row>
    <row r="863" s="34">
      <c r="A863" s="40" t="inlineStr">
        <is>
          <t>2</t>
        </is>
      </c>
      <c r="B863" s="40" t="inlineStr">
        <is>
          <t>DURAN VARLIKLAR</t>
        </is>
      </c>
      <c r="C863" s="40" t="inlineStr">
        <is>
          <t>TRY</t>
        </is>
      </c>
      <c r="E863" s="38" t="n">
        <v>7675807.41</v>
      </c>
      <c r="F863" s="38" t="n">
        <v>408050.04</v>
      </c>
      <c r="G863" s="38" t="n">
        <v>7267757.37</v>
      </c>
      <c r="I863" s="38" t="n">
        <v>7675807.41</v>
      </c>
      <c r="J863" s="38" t="n">
        <v>9561.85</v>
      </c>
      <c r="K863" s="38" t="n">
        <v>7666245.56</v>
      </c>
    </row>
    <row r="864" s="34">
      <c r="A864" s="40" t="inlineStr">
        <is>
          <t>25</t>
        </is>
      </c>
      <c r="B864" s="40" t="inlineStr">
        <is>
          <t>MADDİ DURAN VARLIKLAR</t>
        </is>
      </c>
      <c r="C864" s="40" t="inlineStr">
        <is>
          <t>TRY</t>
        </is>
      </c>
      <c r="E864" s="38" t="n">
        <v>2343956.12</v>
      </c>
      <c r="F864" s="38" t="n">
        <v>408050.04</v>
      </c>
      <c r="G864" s="38" t="n">
        <v>1935906.08</v>
      </c>
      <c r="I864" s="38" t="n">
        <v>2343956.12</v>
      </c>
      <c r="J864" s="38" t="n">
        <v>9561.85</v>
      </c>
      <c r="K864" s="38" t="n">
        <v>2334394.27</v>
      </c>
    </row>
    <row r="865" s="34">
      <c r="A865" s="40" t="inlineStr">
        <is>
          <t>252</t>
        </is>
      </c>
      <c r="B865" s="40" t="inlineStr">
        <is>
          <t>BİNALAR HESABI</t>
        </is>
      </c>
      <c r="C865" s="40" t="inlineStr">
        <is>
          <t>TRY</t>
        </is>
      </c>
      <c r="E865" s="38" t="n">
        <v>102140</v>
      </c>
      <c r="F865" s="38" t="n">
        <v>0</v>
      </c>
      <c r="G865" s="38" t="n">
        <v>102140</v>
      </c>
      <c r="I865" s="38" t="n">
        <v>102140</v>
      </c>
      <c r="J865" s="38" t="n">
        <v>0</v>
      </c>
      <c r="K865" s="38" t="n">
        <v>102140</v>
      </c>
    </row>
    <row r="866" s="34">
      <c r="A866" s="40" t="inlineStr">
        <is>
          <t>252.01</t>
        </is>
      </c>
      <c r="B866" s="40" t="inlineStr">
        <is>
          <t>BİNALAR HESABI</t>
        </is>
      </c>
      <c r="C866" s="40" t="inlineStr">
        <is>
          <t>TRY</t>
        </is>
      </c>
      <c r="E866" s="38" t="n">
        <v>102140</v>
      </c>
      <c r="F866" s="38" t="n">
        <v>0</v>
      </c>
      <c r="G866" s="38" t="n">
        <v>102140</v>
      </c>
      <c r="I866" s="38" t="n">
        <v>102140</v>
      </c>
      <c r="J866" s="38" t="n">
        <v>0</v>
      </c>
      <c r="K866" s="38" t="n">
        <v>102140</v>
      </c>
    </row>
    <row r="867" s="34">
      <c r="A867" s="40" t="inlineStr">
        <is>
          <t>252.01.01</t>
        </is>
      </c>
      <c r="B867" s="40" t="inlineStr">
        <is>
          <t>BİNALAR HESABI</t>
        </is>
      </c>
      <c r="C867" s="40" t="inlineStr">
        <is>
          <t>TRY</t>
        </is>
      </c>
      <c r="E867" s="38" t="n">
        <v>102140</v>
      </c>
      <c r="F867" s="38" t="n">
        <v>0</v>
      </c>
      <c r="G867" s="38" t="n">
        <v>102140</v>
      </c>
      <c r="I867" s="38" t="n">
        <v>102140</v>
      </c>
      <c r="J867" s="38" t="n">
        <v>0</v>
      </c>
      <c r="K867" s="38" t="n">
        <v>102140</v>
      </c>
    </row>
    <row r="868" s="34">
      <c r="A868" s="40" t="inlineStr">
        <is>
          <t>252.01.01.0001</t>
        </is>
      </c>
      <c r="B868" s="40" t="inlineStr">
        <is>
          <t>Otel Binası</t>
        </is>
      </c>
      <c r="C868" s="40" t="inlineStr">
        <is>
          <t>TRY</t>
        </is>
      </c>
      <c r="D868" s="40" t="inlineStr">
        <is>
          <t>ROYAL DRAGON</t>
        </is>
      </c>
      <c r="E868" s="38" t="n">
        <v>102140</v>
      </c>
      <c r="F868" s="38" t="n">
        <v>0</v>
      </c>
      <c r="G868" s="38" t="n">
        <v>102140</v>
      </c>
      <c r="H868" s="40" t="inlineStr">
        <is>
          <t>Borç</t>
        </is>
      </c>
      <c r="I868" s="38" t="n">
        <v>102140</v>
      </c>
      <c r="J868" s="38" t="n">
        <v>0</v>
      </c>
      <c r="K868" s="38" t="n">
        <v>102140</v>
      </c>
      <c r="L868" s="40" t="inlineStr">
        <is>
          <t>Borç</t>
        </is>
      </c>
    </row>
    <row r="869" s="34">
      <c r="A869" s="40" t="inlineStr">
        <is>
          <t>255</t>
        </is>
      </c>
      <c r="B869" s="40" t="inlineStr">
        <is>
          <t>DEMİRBAŞLAR</t>
        </is>
      </c>
      <c r="C869" s="40" t="inlineStr">
        <is>
          <t>TRY</t>
        </is>
      </c>
      <c r="E869" s="38" t="n">
        <v>1885589.91</v>
      </c>
      <c r="F869" s="38" t="n">
        <v>408050.04</v>
      </c>
      <c r="G869" s="38" t="n">
        <v>1477539.87</v>
      </c>
      <c r="I869" s="38" t="n">
        <v>1885589.91</v>
      </c>
      <c r="J869" s="38" t="n">
        <v>9561.85</v>
      </c>
      <c r="K869" s="38" t="n">
        <v>1876028.06</v>
      </c>
    </row>
    <row r="870" s="34">
      <c r="A870" s="40" t="inlineStr">
        <is>
          <t>255.01</t>
        </is>
      </c>
      <c r="B870" s="40" t="inlineStr">
        <is>
          <t>DEMİRBAŞLAR</t>
        </is>
      </c>
      <c r="C870" s="40" t="inlineStr">
        <is>
          <t>TRY</t>
        </is>
      </c>
      <c r="E870" s="38" t="n">
        <v>1885589.91</v>
      </c>
      <c r="F870" s="38" t="n">
        <v>408050.04</v>
      </c>
      <c r="G870" s="38" t="n">
        <v>1477539.87</v>
      </c>
      <c r="I870" s="38" t="n">
        <v>1885589.91</v>
      </c>
      <c r="J870" s="38" t="n">
        <v>9561.85</v>
      </c>
      <c r="K870" s="38" t="n">
        <v>1876028.06</v>
      </c>
    </row>
    <row r="871" s="34">
      <c r="A871" s="40" t="inlineStr">
        <is>
          <t>255.01.01</t>
        </is>
      </c>
      <c r="B871" s="40" t="inlineStr">
        <is>
          <t>DEMİRBAŞLAR/OTEL</t>
        </is>
      </c>
      <c r="C871" s="40" t="inlineStr">
        <is>
          <t>TRY</t>
        </is>
      </c>
      <c r="E871" s="38" t="n">
        <v>1885589.91</v>
      </c>
      <c r="F871" s="38" t="n">
        <v>408050.04</v>
      </c>
      <c r="G871" s="38" t="n">
        <v>1477539.87</v>
      </c>
      <c r="I871" s="38" t="n">
        <v>1885589.91</v>
      </c>
      <c r="J871" s="38" t="n">
        <v>9561.85</v>
      </c>
      <c r="K871" s="38" t="n">
        <v>1876028.06</v>
      </c>
    </row>
    <row r="872" s="34">
      <c r="A872" s="40" t="inlineStr">
        <is>
          <t>255.01.01.0001</t>
        </is>
      </c>
      <c r="B872" s="40" t="inlineStr">
        <is>
          <t>Mutfak Demirbaşları</t>
        </is>
      </c>
      <c r="C872" s="40" t="inlineStr">
        <is>
          <t>TRY</t>
        </is>
      </c>
      <c r="D872" s="40" t="inlineStr">
        <is>
          <t>ROYAL ADAM EVE</t>
        </is>
      </c>
      <c r="E872" s="38" t="n">
        <v>49479.56</v>
      </c>
      <c r="F872" s="38" t="n">
        <v>0</v>
      </c>
      <c r="G872" s="38" t="n">
        <v>49479.56</v>
      </c>
      <c r="H872" s="40" t="inlineStr">
        <is>
          <t>Borç</t>
        </is>
      </c>
      <c r="I872" s="38" t="n">
        <v>49479.56</v>
      </c>
      <c r="J872" s="38" t="n">
        <v>0</v>
      </c>
      <c r="K872" s="38" t="n">
        <v>49479.56</v>
      </c>
      <c r="L872" s="40" t="inlineStr">
        <is>
          <t>Borç</t>
        </is>
      </c>
    </row>
    <row r="873" s="34">
      <c r="A873" s="40" t="inlineStr">
        <is>
          <t>255.01.01.0001</t>
        </is>
      </c>
      <c r="B873" s="40" t="inlineStr">
        <is>
          <t>Mutfak Demirbaşları</t>
        </is>
      </c>
      <c r="C873" s="40" t="inlineStr">
        <is>
          <t>TRY</t>
        </is>
      </c>
      <c r="D873" s="40" t="inlineStr">
        <is>
          <t>ROYAL ALHAMBRA</t>
        </is>
      </c>
      <c r="E873" s="38" t="n">
        <v>8292.33</v>
      </c>
      <c r="F873" s="38" t="n">
        <v>0</v>
      </c>
      <c r="G873" s="38" t="n">
        <v>8292.33</v>
      </c>
      <c r="H873" s="40" t="inlineStr">
        <is>
          <t>Borç</t>
        </is>
      </c>
      <c r="I873" s="38" t="n">
        <v>8292.33</v>
      </c>
      <c r="J873" s="38" t="n">
        <v>0</v>
      </c>
      <c r="K873" s="38" t="n">
        <v>8292.33</v>
      </c>
      <c r="L873" s="40" t="inlineStr">
        <is>
          <t>Borç</t>
        </is>
      </c>
    </row>
    <row r="874" s="34">
      <c r="A874" s="40" t="inlineStr">
        <is>
          <t>255.01.01.0001</t>
        </is>
      </c>
      <c r="B874" s="40" t="inlineStr">
        <is>
          <t>Mutfak Demirbaşları</t>
        </is>
      </c>
      <c r="C874" s="40" t="inlineStr">
        <is>
          <t>TRY</t>
        </is>
      </c>
      <c r="D874" s="40" t="inlineStr">
        <is>
          <t>ROYAL DRAGON</t>
        </is>
      </c>
      <c r="E874" s="38" t="n">
        <v>11746.38</v>
      </c>
      <c r="F874" s="38" t="n">
        <v>0</v>
      </c>
      <c r="G874" s="38" t="n">
        <v>11746.38</v>
      </c>
      <c r="H874" s="40" t="inlineStr">
        <is>
          <t>Borç</t>
        </is>
      </c>
      <c r="I874" s="38" t="n">
        <v>11746.38</v>
      </c>
      <c r="J874" s="38" t="n">
        <v>0</v>
      </c>
      <c r="K874" s="38" t="n">
        <v>11746.38</v>
      </c>
      <c r="L874" s="40" t="inlineStr">
        <is>
          <t>Borç</t>
        </is>
      </c>
    </row>
    <row r="875" s="34">
      <c r="A875" s="40" t="inlineStr">
        <is>
          <t>255.01.01.0001</t>
        </is>
      </c>
      <c r="B875" s="40" t="inlineStr">
        <is>
          <t>Mutfak Demirbaşları</t>
        </is>
      </c>
      <c r="C875" s="40" t="inlineStr">
        <is>
          <t>TRY</t>
        </is>
      </c>
      <c r="D875" s="40" t="inlineStr">
        <is>
          <t>ROYAL HOLIDAY</t>
        </is>
      </c>
      <c r="E875" s="38" t="n">
        <v>15317.65</v>
      </c>
      <c r="F875" s="38" t="n">
        <v>0</v>
      </c>
      <c r="G875" s="38" t="n">
        <v>15317.65</v>
      </c>
      <c r="H875" s="40" t="inlineStr">
        <is>
          <t>Borç</t>
        </is>
      </c>
      <c r="I875" s="38" t="n">
        <v>15317.65</v>
      </c>
      <c r="J875" s="38" t="n">
        <v>0</v>
      </c>
      <c r="K875" s="38" t="n">
        <v>15317.65</v>
      </c>
      <c r="L875" s="40" t="inlineStr">
        <is>
          <t>Borç</t>
        </is>
      </c>
    </row>
    <row r="876" s="34">
      <c r="A876" s="40" t="inlineStr">
        <is>
          <t>255.01.01.0001</t>
        </is>
      </c>
      <c r="B876" s="40" t="inlineStr">
        <is>
          <t>Mutfak Demirbaşları</t>
        </is>
      </c>
      <c r="C876" s="40" t="inlineStr">
        <is>
          <t>TRY</t>
        </is>
      </c>
      <c r="D876" s="40" t="inlineStr">
        <is>
          <t>ROYAL SEGINUS</t>
        </is>
      </c>
      <c r="E876" s="38" t="n">
        <v>63118.3</v>
      </c>
      <c r="F876" s="38" t="n">
        <v>0</v>
      </c>
      <c r="G876" s="38" t="n">
        <v>63118.3</v>
      </c>
      <c r="H876" s="40" t="inlineStr">
        <is>
          <t>Borç</t>
        </is>
      </c>
      <c r="I876" s="38" t="n">
        <v>63118.3</v>
      </c>
      <c r="J876" s="38" t="n">
        <v>0</v>
      </c>
      <c r="K876" s="38" t="n">
        <v>63118.3</v>
      </c>
      <c r="L876" s="40" t="inlineStr">
        <is>
          <t>Borç</t>
        </is>
      </c>
    </row>
    <row r="877" s="34">
      <c r="A877" s="40" t="inlineStr">
        <is>
          <t>255.01.01.0002</t>
        </is>
      </c>
      <c r="B877" s="40" t="inlineStr">
        <is>
          <t>F&amp;B Demirbaşları</t>
        </is>
      </c>
      <c r="C877" s="40" t="inlineStr">
        <is>
          <t>TRY</t>
        </is>
      </c>
      <c r="D877" s="40" t="inlineStr">
        <is>
          <t>ROYAL ADAM EVE</t>
        </is>
      </c>
      <c r="E877" s="38" t="n">
        <v>19881.69</v>
      </c>
      <c r="F877" s="38" t="n">
        <v>0</v>
      </c>
      <c r="G877" s="38" t="n">
        <v>19881.69</v>
      </c>
      <c r="H877" s="40" t="inlineStr">
        <is>
          <t>Borç</t>
        </is>
      </c>
      <c r="I877" s="38" t="n">
        <v>19881.69</v>
      </c>
      <c r="J877" s="38" t="n">
        <v>0</v>
      </c>
      <c r="K877" s="38" t="n">
        <v>19881.69</v>
      </c>
      <c r="L877" s="40" t="inlineStr">
        <is>
          <t>Borç</t>
        </is>
      </c>
    </row>
    <row r="878" s="34">
      <c r="A878" s="40" t="inlineStr">
        <is>
          <t>255.01.01.0002</t>
        </is>
      </c>
      <c r="B878" s="40" t="inlineStr">
        <is>
          <t>F&amp;B Demirbaşları</t>
        </is>
      </c>
      <c r="C878" s="40" t="inlineStr">
        <is>
          <t>TRY</t>
        </is>
      </c>
      <c r="D878" s="40" t="inlineStr">
        <is>
          <t>ROYAL ALHAMBRA</t>
        </is>
      </c>
      <c r="E878" s="38" t="n">
        <v>62077.68</v>
      </c>
      <c r="F878" s="38" t="n">
        <v>0</v>
      </c>
      <c r="G878" s="38" t="n">
        <v>62077.68</v>
      </c>
      <c r="H878" s="40" t="inlineStr">
        <is>
          <t>Borç</t>
        </is>
      </c>
      <c r="I878" s="38" t="n">
        <v>62077.68</v>
      </c>
      <c r="J878" s="38" t="n">
        <v>0</v>
      </c>
      <c r="K878" s="38" t="n">
        <v>62077.68</v>
      </c>
      <c r="L878" s="40" t="inlineStr">
        <is>
          <t>Borç</t>
        </is>
      </c>
    </row>
    <row r="879" s="34">
      <c r="A879" s="40" t="inlineStr">
        <is>
          <t>255.01.01.0002</t>
        </is>
      </c>
      <c r="B879" s="40" t="inlineStr">
        <is>
          <t>F&amp;B Demirbaşları</t>
        </is>
      </c>
      <c r="C879" s="40" t="inlineStr">
        <is>
          <t>TRY</t>
        </is>
      </c>
      <c r="D879" s="40" t="inlineStr">
        <is>
          <t>ROYAL DRAGON</t>
        </is>
      </c>
      <c r="E879" s="38" t="n">
        <v>17341.76</v>
      </c>
      <c r="F879" s="38" t="n">
        <v>0</v>
      </c>
      <c r="G879" s="38" t="n">
        <v>17341.76</v>
      </c>
      <c r="H879" s="40" t="inlineStr">
        <is>
          <t>Borç</t>
        </is>
      </c>
      <c r="I879" s="38" t="n">
        <v>17341.76</v>
      </c>
      <c r="J879" s="38" t="n">
        <v>0</v>
      </c>
      <c r="K879" s="38" t="n">
        <v>17341.76</v>
      </c>
      <c r="L879" s="40" t="inlineStr">
        <is>
          <t>Borç</t>
        </is>
      </c>
    </row>
    <row r="880" s="34">
      <c r="A880" s="40" t="inlineStr">
        <is>
          <t>255.01.01.0002</t>
        </is>
      </c>
      <c r="B880" s="40" t="inlineStr">
        <is>
          <t>F&amp;B Demirbaşları</t>
        </is>
      </c>
      <c r="C880" s="40" t="inlineStr">
        <is>
          <t>TRY</t>
        </is>
      </c>
      <c r="D880" s="40" t="inlineStr">
        <is>
          <t>ROYAL HOLIDAY</t>
        </is>
      </c>
      <c r="E880" s="38" t="n">
        <v>5928</v>
      </c>
      <c r="F880" s="38" t="n">
        <v>0</v>
      </c>
      <c r="G880" s="38" t="n">
        <v>5928</v>
      </c>
      <c r="H880" s="40" t="inlineStr">
        <is>
          <t>Borç</t>
        </is>
      </c>
      <c r="I880" s="38" t="n">
        <v>5928</v>
      </c>
      <c r="J880" s="38" t="n">
        <v>0</v>
      </c>
      <c r="K880" s="38" t="n">
        <v>5928</v>
      </c>
      <c r="L880" s="40" t="inlineStr">
        <is>
          <t>Borç</t>
        </is>
      </c>
    </row>
    <row r="881" s="34">
      <c r="A881" s="40" t="inlineStr">
        <is>
          <t>255.01.01.0002</t>
        </is>
      </c>
      <c r="B881" s="40" t="inlineStr">
        <is>
          <t>F&amp;B Demirbaşları</t>
        </is>
      </c>
      <c r="C881" s="40" t="inlineStr">
        <is>
          <t>TRY</t>
        </is>
      </c>
      <c r="D881" s="40" t="inlineStr">
        <is>
          <t>ROYAL SEGINUS</t>
        </is>
      </c>
      <c r="E881" s="38" t="n">
        <v>20569.36</v>
      </c>
      <c r="F881" s="38" t="n">
        <v>0</v>
      </c>
      <c r="G881" s="38" t="n">
        <v>20569.36</v>
      </c>
      <c r="H881" s="40" t="inlineStr">
        <is>
          <t>Borç</t>
        </is>
      </c>
      <c r="I881" s="38" t="n">
        <v>20569.36</v>
      </c>
      <c r="J881" s="38" t="n">
        <v>0</v>
      </c>
      <c r="K881" s="38" t="n">
        <v>20569.36</v>
      </c>
      <c r="L881" s="40" t="inlineStr">
        <is>
          <t>Borç</t>
        </is>
      </c>
    </row>
    <row r="882" s="34">
      <c r="A882" s="40" t="inlineStr">
        <is>
          <t>255.01.01.0006</t>
        </is>
      </c>
      <c r="B882" s="40" t="inlineStr">
        <is>
          <t>Oda Demirbaşları</t>
        </is>
      </c>
      <c r="C882" s="40" t="inlineStr">
        <is>
          <t>TRY</t>
        </is>
      </c>
      <c r="D882" s="40" t="inlineStr">
        <is>
          <t>ROYAL ADAM EVE</t>
        </is>
      </c>
      <c r="E882" s="38" t="n">
        <v>417348</v>
      </c>
      <c r="F882" s="38" t="n">
        <v>0</v>
      </c>
      <c r="G882" s="38" t="n">
        <v>417348</v>
      </c>
      <c r="H882" s="40" t="inlineStr">
        <is>
          <t>Borç</t>
        </is>
      </c>
      <c r="I882" s="38" t="n">
        <v>417348</v>
      </c>
      <c r="J882" s="38" t="n">
        <v>0</v>
      </c>
      <c r="K882" s="38" t="n">
        <v>417348</v>
      </c>
      <c r="L882" s="40" t="inlineStr">
        <is>
          <t>Borç</t>
        </is>
      </c>
    </row>
    <row r="883" s="34">
      <c r="A883" s="40" t="inlineStr">
        <is>
          <t>255.01.01.0006</t>
        </is>
      </c>
      <c r="B883" s="40" t="inlineStr">
        <is>
          <t>Oda Demirbaşları</t>
        </is>
      </c>
      <c r="C883" s="40" t="inlineStr">
        <is>
          <t>TRY</t>
        </is>
      </c>
      <c r="D883" s="40" t="inlineStr">
        <is>
          <t>ROYAL DRAGON</t>
        </is>
      </c>
      <c r="E883" s="38" t="n">
        <v>339456</v>
      </c>
      <c r="F883" s="38" t="n">
        <v>0</v>
      </c>
      <c r="G883" s="38" t="n">
        <v>339456</v>
      </c>
      <c r="H883" s="40" t="inlineStr">
        <is>
          <t>Borç</t>
        </is>
      </c>
      <c r="I883" s="38" t="n">
        <v>339456</v>
      </c>
      <c r="J883" s="38" t="n">
        <v>0</v>
      </c>
      <c r="K883" s="38" t="n">
        <v>339456</v>
      </c>
      <c r="L883" s="40" t="inlineStr">
        <is>
          <t>Borç</t>
        </is>
      </c>
    </row>
    <row r="884" s="34">
      <c r="A884" s="40" t="inlineStr">
        <is>
          <t>255.01.01.0006</t>
        </is>
      </c>
      <c r="B884" s="40" t="inlineStr">
        <is>
          <t>Oda Demirbaşları</t>
        </is>
      </c>
      <c r="C884" s="40" t="inlineStr">
        <is>
          <t>TRY</t>
        </is>
      </c>
      <c r="D884" s="40" t="inlineStr">
        <is>
          <t>ROYAL HOLIDAY</t>
        </is>
      </c>
      <c r="E884" s="38" t="n">
        <v>450028.8</v>
      </c>
      <c r="F884" s="38" t="n">
        <v>0</v>
      </c>
      <c r="G884" s="38" t="n">
        <v>450028.8</v>
      </c>
      <c r="H884" s="40" t="inlineStr">
        <is>
          <t>Borç</t>
        </is>
      </c>
      <c r="I884" s="38" t="n">
        <v>450028.8</v>
      </c>
      <c r="J884" s="38" t="n">
        <v>0</v>
      </c>
      <c r="K884" s="38" t="n">
        <v>450028.8</v>
      </c>
      <c r="L884" s="40" t="inlineStr">
        <is>
          <t>Borç</t>
        </is>
      </c>
    </row>
    <row r="885" s="34">
      <c r="A885" s="40" t="inlineStr">
        <is>
          <t>255.01.01.0006</t>
        </is>
      </c>
      <c r="B885" s="40" t="inlineStr">
        <is>
          <t>Oda Demirbaşları</t>
        </is>
      </c>
      <c r="C885" s="40" t="inlineStr">
        <is>
          <t>TRY</t>
        </is>
      </c>
      <c r="D885" s="40" t="inlineStr">
        <is>
          <t>ROYAL SEGINUS</t>
        </is>
      </c>
      <c r="E885" s="38" t="n">
        <v>324584.8</v>
      </c>
      <c r="F885" s="38" t="n">
        <v>0</v>
      </c>
      <c r="G885" s="38" t="n">
        <v>324584.8</v>
      </c>
      <c r="H885" s="40" t="inlineStr">
        <is>
          <t>Borç</t>
        </is>
      </c>
      <c r="I885" s="38" t="n">
        <v>324584.8</v>
      </c>
      <c r="J885" s="38" t="n">
        <v>0</v>
      </c>
      <c r="K885" s="38" t="n">
        <v>324584.8</v>
      </c>
      <c r="L885" s="40" t="inlineStr">
        <is>
          <t>Borç</t>
        </is>
      </c>
    </row>
    <row r="886" s="34">
      <c r="A886" s="40" t="inlineStr">
        <is>
          <t>255.01.01.0008</t>
        </is>
      </c>
      <c r="B886" s="40" t="inlineStr">
        <is>
          <t>Ses Işık Demirbaşları</t>
        </is>
      </c>
      <c r="C886" s="40" t="inlineStr">
        <is>
          <t>TRY</t>
        </is>
      </c>
      <c r="D886" s="40" t="inlineStr">
        <is>
          <t>ROYAL SEGINUS</t>
        </is>
      </c>
      <c r="E886" s="38" t="n">
        <v>0</v>
      </c>
      <c r="F886" s="38" t="n">
        <v>408050.04</v>
      </c>
      <c r="G886" s="38" t="n">
        <v>-408050.04</v>
      </c>
      <c r="H886" s="40" t="inlineStr">
        <is>
          <t>Alacak</t>
        </is>
      </c>
      <c r="I886" s="38" t="n">
        <v>0</v>
      </c>
      <c r="J886" s="38" t="n">
        <v>9561.85</v>
      </c>
      <c r="K886" s="38" t="n">
        <v>-9561.85</v>
      </c>
      <c r="L886" s="40" t="inlineStr">
        <is>
          <t>Alacak</t>
        </is>
      </c>
    </row>
    <row r="887" s="34">
      <c r="A887" s="40" t="inlineStr">
        <is>
          <t>255.01.01.0009</t>
        </is>
      </c>
      <c r="B887" s="40" t="inlineStr">
        <is>
          <t>Diğer&amp;Genel Alan Demirbaş</t>
        </is>
      </c>
      <c r="C887" s="40" t="inlineStr">
        <is>
          <t>TRY</t>
        </is>
      </c>
      <c r="D887" s="40" t="inlineStr">
        <is>
          <t>ROYAL ALHAMBRA</t>
        </is>
      </c>
      <c r="E887" s="38" t="n">
        <v>3400</v>
      </c>
      <c r="F887" s="38" t="n">
        <v>0</v>
      </c>
      <c r="G887" s="38" t="n">
        <v>3400</v>
      </c>
      <c r="H887" s="40" t="inlineStr">
        <is>
          <t>Borç</t>
        </is>
      </c>
      <c r="I887" s="38" t="n">
        <v>3400</v>
      </c>
      <c r="J887" s="38" t="n">
        <v>0</v>
      </c>
      <c r="K887" s="38" t="n">
        <v>3400</v>
      </c>
      <c r="L887" s="40" t="inlineStr">
        <is>
          <t>Borç</t>
        </is>
      </c>
    </row>
    <row r="888" s="34">
      <c r="A888" s="40" t="inlineStr">
        <is>
          <t>255.01.01.0009</t>
        </is>
      </c>
      <c r="B888" s="40" t="inlineStr">
        <is>
          <t>Diğer&amp;Genel Alan Demirbaş</t>
        </is>
      </c>
      <c r="C888" s="40" t="inlineStr">
        <is>
          <t>TRY</t>
        </is>
      </c>
      <c r="D888" s="40" t="inlineStr">
        <is>
          <t>ROYAL DRAGON</t>
        </is>
      </c>
      <c r="E888" s="38" t="n">
        <v>77000</v>
      </c>
      <c r="F888" s="38" t="n">
        <v>0</v>
      </c>
      <c r="G888" s="38" t="n">
        <v>77000</v>
      </c>
      <c r="H888" s="40" t="inlineStr">
        <is>
          <t>Borç</t>
        </is>
      </c>
      <c r="I888" s="38" t="n">
        <v>77000</v>
      </c>
      <c r="J888" s="38" t="n">
        <v>0</v>
      </c>
      <c r="K888" s="38" t="n">
        <v>77000</v>
      </c>
      <c r="L888" s="40" t="inlineStr">
        <is>
          <t>Borç</t>
        </is>
      </c>
    </row>
    <row r="889" s="34">
      <c r="A889" s="40" t="inlineStr">
        <is>
          <t>255.01.01.0009</t>
        </is>
      </c>
      <c r="B889" s="40" t="inlineStr">
        <is>
          <t>Diğer&amp;Genel Alan Demirbaş</t>
        </is>
      </c>
      <c r="C889" s="40" t="inlineStr">
        <is>
          <t>TRY</t>
        </is>
      </c>
      <c r="D889" s="40" t="inlineStr">
        <is>
          <t>ROYAL HOLIDAY</t>
        </is>
      </c>
      <c r="E889" s="38" t="n">
        <v>19.6</v>
      </c>
      <c r="F889" s="38" t="n">
        <v>0</v>
      </c>
      <c r="G889" s="38" t="n">
        <v>19.6</v>
      </c>
      <c r="H889" s="40" t="inlineStr">
        <is>
          <t>Borç</t>
        </is>
      </c>
      <c r="I889" s="38" t="n">
        <v>19.6</v>
      </c>
      <c r="J889" s="38" t="n">
        <v>0</v>
      </c>
      <c r="K889" s="38" t="n">
        <v>19.6</v>
      </c>
      <c r="L889" s="40" t="inlineStr">
        <is>
          <t>Borç</t>
        </is>
      </c>
    </row>
    <row r="890" s="34">
      <c r="A890" s="40" t="inlineStr">
        <is>
          <t>258</t>
        </is>
      </c>
      <c r="B890" s="40" t="inlineStr">
        <is>
          <t>YAPILMAKTA OLAN YATIRIMLAR HESABI</t>
        </is>
      </c>
      <c r="C890" s="40" t="inlineStr">
        <is>
          <t>TRY</t>
        </is>
      </c>
      <c r="E890" s="38" t="n">
        <v>356226.21</v>
      </c>
      <c r="F890" s="38" t="n">
        <v>0</v>
      </c>
      <c r="G890" s="38" t="n">
        <v>356226.21</v>
      </c>
      <c r="I890" s="38" t="n">
        <v>356226.21</v>
      </c>
      <c r="J890" s="38" t="n">
        <v>0</v>
      </c>
      <c r="K890" s="38" t="n">
        <v>356226.21</v>
      </c>
    </row>
    <row r="891" s="34">
      <c r="A891" s="40" t="inlineStr">
        <is>
          <t>258.01</t>
        </is>
      </c>
      <c r="B891" s="40" t="inlineStr">
        <is>
          <t>YAPILMAKTA OLAN YATIRIMLAR HESABI</t>
        </is>
      </c>
      <c r="C891" s="40" t="inlineStr">
        <is>
          <t>TRY</t>
        </is>
      </c>
      <c r="E891" s="38" t="n">
        <v>348750</v>
      </c>
      <c r="F891" s="38" t="n">
        <v>0</v>
      </c>
      <c r="G891" s="38" t="n">
        <v>348750</v>
      </c>
      <c r="I891" s="38" t="n">
        <v>348750</v>
      </c>
      <c r="J891" s="38" t="n">
        <v>0</v>
      </c>
      <c r="K891" s="38" t="n">
        <v>348750</v>
      </c>
    </row>
    <row r="892" s="34">
      <c r="A892" s="40" t="inlineStr">
        <is>
          <t>258.01.02</t>
        </is>
      </c>
      <c r="B892" s="40" t="inlineStr">
        <is>
          <t>DIŞARDAN SAĞLANAN FAYDA VE HİZMETLER</t>
        </is>
      </c>
      <c r="C892" s="40" t="inlineStr">
        <is>
          <t>TRY</t>
        </is>
      </c>
      <c r="E892" s="38" t="n">
        <v>348750</v>
      </c>
      <c r="F892" s="38" t="n">
        <v>0</v>
      </c>
      <c r="G892" s="38" t="n">
        <v>348750</v>
      </c>
      <c r="I892" s="38" t="n">
        <v>348750</v>
      </c>
      <c r="J892" s="38" t="n">
        <v>0</v>
      </c>
      <c r="K892" s="38" t="n">
        <v>348750</v>
      </c>
    </row>
    <row r="893" s="34">
      <c r="A893" s="40" t="inlineStr">
        <is>
          <t>258.01.02.0015</t>
        </is>
      </c>
      <c r="B893" s="40" t="inlineStr">
        <is>
          <t>Etut Ve Proje Gıderlerı</t>
        </is>
      </c>
      <c r="C893" s="40" t="inlineStr">
        <is>
          <t>TRY</t>
        </is>
      </c>
      <c r="D893" s="40" t="inlineStr">
        <is>
          <t>SERTAŞ MERKEZ</t>
        </is>
      </c>
      <c r="E893" s="38" t="n">
        <v>348750</v>
      </c>
      <c r="F893" s="38" t="n">
        <v>0</v>
      </c>
      <c r="G893" s="38" t="n">
        <v>348750</v>
      </c>
      <c r="H893" s="40" t="inlineStr">
        <is>
          <t>Borç</t>
        </is>
      </c>
      <c r="I893" s="38" t="n">
        <v>348750</v>
      </c>
      <c r="J893" s="38" t="n">
        <v>0</v>
      </c>
      <c r="K893" s="38" t="n">
        <v>348750</v>
      </c>
      <c r="L893" s="40" t="inlineStr">
        <is>
          <t>Borç</t>
        </is>
      </c>
    </row>
    <row r="894" s="34">
      <c r="A894" s="40" t="inlineStr">
        <is>
          <t>258.02</t>
        </is>
      </c>
      <c r="B894" s="40" t="inlineStr">
        <is>
          <t>ENERJİ YATIRIMLARI</t>
        </is>
      </c>
      <c r="C894" s="40" t="inlineStr">
        <is>
          <t>TRY</t>
        </is>
      </c>
      <c r="E894" s="38" t="n">
        <v>7476.21</v>
      </c>
      <c r="F894" s="38" t="n">
        <v>0</v>
      </c>
      <c r="G894" s="38" t="n">
        <v>7476.21</v>
      </c>
      <c r="I894" s="38" t="n">
        <v>7476.21</v>
      </c>
      <c r="J894" s="38" t="n">
        <v>0</v>
      </c>
      <c r="K894" s="38" t="n">
        <v>7476.21</v>
      </c>
    </row>
    <row r="895" s="34">
      <c r="A895" s="40" t="inlineStr">
        <is>
          <t>258.02.01</t>
        </is>
      </c>
      <c r="B895" s="40" t="inlineStr">
        <is>
          <t>ENERJİ YATIRIMLARI İNŞAAT HARCAMALARI</t>
        </is>
      </c>
      <c r="C895" s="40" t="inlineStr">
        <is>
          <t>TRY</t>
        </is>
      </c>
      <c r="E895" s="38" t="n">
        <v>7476.21</v>
      </c>
      <c r="F895" s="38" t="n">
        <v>0</v>
      </c>
      <c r="G895" s="38" t="n">
        <v>7476.21</v>
      </c>
      <c r="I895" s="38" t="n">
        <v>7476.21</v>
      </c>
      <c r="J895" s="38" t="n">
        <v>0</v>
      </c>
      <c r="K895" s="38" t="n">
        <v>7476.21</v>
      </c>
    </row>
    <row r="896" s="34">
      <c r="A896" s="40" t="inlineStr">
        <is>
          <t>258.02.01.0017</t>
        </is>
      </c>
      <c r="B896" s="40" t="inlineStr">
        <is>
          <t>Enh İzni Harita Bedeli</t>
        </is>
      </c>
      <c r="C896" s="40" t="inlineStr">
        <is>
          <t>TRY</t>
        </is>
      </c>
      <c r="D896" s="40" t="inlineStr">
        <is>
          <t>SERTAŞ MERKEZ</t>
        </is>
      </c>
      <c r="E896" s="38" t="n">
        <v>4475</v>
      </c>
      <c r="F896" s="38" t="n">
        <v>0</v>
      </c>
      <c r="G896" s="38" t="n">
        <v>4475</v>
      </c>
      <c r="H896" s="40" t="inlineStr">
        <is>
          <t>Borç</t>
        </is>
      </c>
      <c r="I896" s="38" t="n">
        <v>4475</v>
      </c>
      <c r="J896" s="38" t="n">
        <v>0</v>
      </c>
      <c r="K896" s="38" t="n">
        <v>4475</v>
      </c>
      <c r="L896" s="40" t="inlineStr">
        <is>
          <t>Borç</t>
        </is>
      </c>
    </row>
    <row r="897" s="34">
      <c r="A897" s="40" t="inlineStr">
        <is>
          <t>258.02.01.0018</t>
        </is>
      </c>
      <c r="B897" s="40" t="inlineStr">
        <is>
          <t>Arazi Çalışma Hizmet Bedeli</t>
        </is>
      </c>
      <c r="C897" s="40" t="inlineStr">
        <is>
          <t>TRY</t>
        </is>
      </c>
      <c r="D897" s="40" t="inlineStr">
        <is>
          <t>SERTAŞ MERKEZ</t>
        </is>
      </c>
      <c r="E897" s="38" t="n">
        <v>3001.21</v>
      </c>
      <c r="F897" s="38" t="n">
        <v>0</v>
      </c>
      <c r="G897" s="38" t="n">
        <v>3001.21</v>
      </c>
      <c r="H897" s="40" t="inlineStr">
        <is>
          <t>Borç</t>
        </is>
      </c>
      <c r="I897" s="38" t="n">
        <v>3001.21</v>
      </c>
      <c r="J897" s="38" t="n">
        <v>0</v>
      </c>
      <c r="K897" s="38" t="n">
        <v>3001.21</v>
      </c>
      <c r="L897" s="40" t="inlineStr">
        <is>
          <t>Borç</t>
        </is>
      </c>
    </row>
    <row r="898" s="34">
      <c r="A898" s="40" t="inlineStr">
        <is>
          <t>28</t>
        </is>
      </c>
      <c r="B898" s="40" t="inlineStr">
        <is>
          <t>GELECEK YILLAR GİDER/GELİR TAH.</t>
        </is>
      </c>
      <c r="C898" s="40" t="inlineStr">
        <is>
          <t>TRY</t>
        </is>
      </c>
      <c r="E898" s="38" t="n">
        <v>5331851.29</v>
      </c>
      <c r="F898" s="38" t="n">
        <v>0</v>
      </c>
      <c r="G898" s="38" t="n">
        <v>5331851.29</v>
      </c>
      <c r="I898" s="38" t="n">
        <v>5331851.29</v>
      </c>
      <c r="J898" s="38" t="n">
        <v>0</v>
      </c>
      <c r="K898" s="38" t="n">
        <v>5331851.29</v>
      </c>
    </row>
    <row r="899" s="34">
      <c r="A899" s="40" t="inlineStr">
        <is>
          <t>280</t>
        </is>
      </c>
      <c r="B899" s="40" t="inlineStr">
        <is>
          <t>GELECEK YILLARA AİT GİDERLER</t>
        </is>
      </c>
      <c r="C899" s="40" t="inlineStr">
        <is>
          <t>TRY</t>
        </is>
      </c>
      <c r="E899" s="38" t="n">
        <v>5331851.29</v>
      </c>
      <c r="F899" s="38" t="n">
        <v>0</v>
      </c>
      <c r="G899" s="38" t="n">
        <v>5331851.29</v>
      </c>
      <c r="I899" s="38" t="n">
        <v>5331851.29</v>
      </c>
      <c r="J899" s="38" t="n">
        <v>0</v>
      </c>
      <c r="K899" s="38" t="n">
        <v>5331851.29</v>
      </c>
    </row>
    <row r="900" s="34">
      <c r="A900" s="40" t="inlineStr">
        <is>
          <t>280.01</t>
        </is>
      </c>
      <c r="B900" s="40" t="inlineStr">
        <is>
          <t>GELECEK YILLARA AİT GİDERLER</t>
        </is>
      </c>
      <c r="C900" s="40" t="inlineStr">
        <is>
          <t>TRY</t>
        </is>
      </c>
      <c r="E900" s="38" t="n">
        <v>4990.25</v>
      </c>
      <c r="F900" s="38" t="n">
        <v>0</v>
      </c>
      <c r="G900" s="38" t="n">
        <v>4990.25</v>
      </c>
      <c r="I900" s="38" t="n">
        <v>4990.25</v>
      </c>
      <c r="J900" s="38" t="n">
        <v>0</v>
      </c>
      <c r="K900" s="38" t="n">
        <v>4990.25</v>
      </c>
    </row>
    <row r="901" s="34">
      <c r="A901" s="40" t="inlineStr">
        <is>
          <t>280.01.02</t>
        </is>
      </c>
      <c r="B901" s="40" t="inlineStr">
        <is>
          <t>Taşıt Sigorta Giderleri</t>
        </is>
      </c>
      <c r="C901" s="40" t="inlineStr">
        <is>
          <t>TRY</t>
        </is>
      </c>
      <c r="E901" s="38" t="n">
        <v>4990.25</v>
      </c>
      <c r="F901" s="38" t="n">
        <v>0</v>
      </c>
      <c r="G901" s="38" t="n">
        <v>4990.25</v>
      </c>
      <c r="I901" s="38" t="n">
        <v>4990.25</v>
      </c>
      <c r="J901" s="38" t="n">
        <v>0</v>
      </c>
      <c r="K901" s="38" t="n">
        <v>4990.25</v>
      </c>
    </row>
    <row r="902" s="34">
      <c r="A902" s="40" t="inlineStr">
        <is>
          <t>280.01.02.0001</t>
        </is>
      </c>
      <c r="B902" s="40" t="inlineStr">
        <is>
          <t>01. Ay Tasıt Sgrt.Plc.Gid. / Binek</t>
        </is>
      </c>
      <c r="C902" s="40" t="inlineStr">
        <is>
          <t>TRY</t>
        </is>
      </c>
      <c r="D902" s="40" t="inlineStr">
        <is>
          <t>GİTAŞ MERKEZ</t>
        </is>
      </c>
      <c r="E902" s="38" t="n">
        <v>940.24</v>
      </c>
      <c r="F902" s="38" t="n">
        <v>0</v>
      </c>
      <c r="G902" s="38" t="n">
        <v>940.24</v>
      </c>
      <c r="H902" s="40" t="inlineStr">
        <is>
          <t>Borç</t>
        </is>
      </c>
      <c r="I902" s="38" t="n">
        <v>940.24</v>
      </c>
      <c r="J902" s="38" t="n">
        <v>0</v>
      </c>
      <c r="K902" s="38" t="n">
        <v>940.24</v>
      </c>
      <c r="L902" s="40" t="inlineStr">
        <is>
          <t>Borç</t>
        </is>
      </c>
    </row>
    <row r="903" s="34">
      <c r="A903" s="40" t="inlineStr">
        <is>
          <t>280.01.02.0002</t>
        </is>
      </c>
      <c r="B903" s="40" t="inlineStr">
        <is>
          <t>02. Ay Tasıt Sgrt.Plc.Gid. / Binek</t>
        </is>
      </c>
      <c r="C903" s="40" t="inlineStr">
        <is>
          <t>TRY</t>
        </is>
      </c>
      <c r="D903" s="40" t="inlineStr">
        <is>
          <t>GİTAŞ MERKEZ</t>
        </is>
      </c>
      <c r="E903" s="38" t="n">
        <v>940.24</v>
      </c>
      <c r="F903" s="38" t="n">
        <v>0</v>
      </c>
      <c r="G903" s="38" t="n">
        <v>940.24</v>
      </c>
      <c r="H903" s="40" t="inlineStr">
        <is>
          <t>Borç</t>
        </is>
      </c>
      <c r="I903" s="38" t="n">
        <v>940.24</v>
      </c>
      <c r="J903" s="38" t="n">
        <v>0</v>
      </c>
      <c r="K903" s="38" t="n">
        <v>940.24</v>
      </c>
      <c r="L903" s="40" t="inlineStr">
        <is>
          <t>Borç</t>
        </is>
      </c>
    </row>
    <row r="904" s="34">
      <c r="A904" s="40" t="inlineStr">
        <is>
          <t>280.01.02.0003</t>
        </is>
      </c>
      <c r="B904" s="40" t="inlineStr">
        <is>
          <t>03. Ay Tasıt Sgrt.Plc.Gid. / Binek</t>
        </is>
      </c>
      <c r="C904" s="40" t="inlineStr">
        <is>
          <t>TRY</t>
        </is>
      </c>
      <c r="D904" s="40" t="inlineStr">
        <is>
          <t>GİTAŞ MERKEZ</t>
        </is>
      </c>
      <c r="E904" s="38" t="n">
        <v>940.24</v>
      </c>
      <c r="F904" s="38" t="n">
        <v>0</v>
      </c>
      <c r="G904" s="38" t="n">
        <v>940.24</v>
      </c>
      <c r="H904" s="40" t="inlineStr">
        <is>
          <t>Borç</t>
        </is>
      </c>
      <c r="I904" s="38" t="n">
        <v>940.24</v>
      </c>
      <c r="J904" s="38" t="n">
        <v>0</v>
      </c>
      <c r="K904" s="38" t="n">
        <v>940.24</v>
      </c>
      <c r="L904" s="40" t="inlineStr">
        <is>
          <t>Borç</t>
        </is>
      </c>
    </row>
    <row r="905" s="34">
      <c r="A905" s="40" t="inlineStr">
        <is>
          <t>280.01.02.0004</t>
        </is>
      </c>
      <c r="B905" s="40" t="inlineStr">
        <is>
          <t>04. Ay Tasıt Sgrt.Plc.Gid. / Binek</t>
        </is>
      </c>
      <c r="C905" s="40" t="inlineStr">
        <is>
          <t>TRY</t>
        </is>
      </c>
      <c r="D905" s="40" t="inlineStr">
        <is>
          <t>GİTAŞ MERKEZ</t>
        </is>
      </c>
      <c r="E905" s="38" t="n">
        <v>940.24</v>
      </c>
      <c r="F905" s="38" t="n">
        <v>0</v>
      </c>
      <c r="G905" s="38" t="n">
        <v>940.24</v>
      </c>
      <c r="H905" s="40" t="inlineStr">
        <is>
          <t>Borç</t>
        </is>
      </c>
      <c r="I905" s="38" t="n">
        <v>940.24</v>
      </c>
      <c r="J905" s="38" t="n">
        <v>0</v>
      </c>
      <c r="K905" s="38" t="n">
        <v>940.24</v>
      </c>
      <c r="L905" s="40" t="inlineStr">
        <is>
          <t>Borç</t>
        </is>
      </c>
    </row>
    <row r="906" s="34">
      <c r="A906" s="40" t="inlineStr">
        <is>
          <t>280.01.02.0005</t>
        </is>
      </c>
      <c r="B906" s="40" t="inlineStr">
        <is>
          <t>05. Ay Tasıt Sgrt.Plc.Gid. / Binek</t>
        </is>
      </c>
      <c r="C906" s="40" t="inlineStr">
        <is>
          <t>TRY</t>
        </is>
      </c>
      <c r="D906" s="40" t="inlineStr">
        <is>
          <t>GİTAŞ MERKEZ</t>
        </is>
      </c>
      <c r="E906" s="38" t="n">
        <v>940.24</v>
      </c>
      <c r="F906" s="38" t="n">
        <v>0</v>
      </c>
      <c r="G906" s="38" t="n">
        <v>940.24</v>
      </c>
      <c r="H906" s="40" t="inlineStr">
        <is>
          <t>Borç</t>
        </is>
      </c>
      <c r="I906" s="38" t="n">
        <v>940.24</v>
      </c>
      <c r="J906" s="38" t="n">
        <v>0</v>
      </c>
      <c r="K906" s="38" t="n">
        <v>940.24</v>
      </c>
      <c r="L906" s="40" t="inlineStr">
        <is>
          <t>Borç</t>
        </is>
      </c>
    </row>
    <row r="907" s="34">
      <c r="A907" s="40" t="inlineStr">
        <is>
          <t>280.01.02.0006</t>
        </is>
      </c>
      <c r="B907" s="40" t="inlineStr">
        <is>
          <t>06. Ay Tasıt Sgrt.Plc.Gid. / Binek</t>
        </is>
      </c>
      <c r="C907" s="40" t="inlineStr">
        <is>
          <t>TRY</t>
        </is>
      </c>
      <c r="D907" s="40" t="inlineStr">
        <is>
          <t>GİTAŞ MERKEZ</t>
        </is>
      </c>
      <c r="E907" s="38" t="n">
        <v>289.05</v>
      </c>
      <c r="F907" s="38" t="n">
        <v>0</v>
      </c>
      <c r="G907" s="38" t="n">
        <v>289.05</v>
      </c>
      <c r="H907" s="40" t="inlineStr">
        <is>
          <t>Borç</t>
        </is>
      </c>
      <c r="I907" s="38" t="n">
        <v>289.05</v>
      </c>
      <c r="J907" s="38" t="n">
        <v>0</v>
      </c>
      <c r="K907" s="38" t="n">
        <v>289.05</v>
      </c>
      <c r="L907" s="40" t="inlineStr">
        <is>
          <t>Borç</t>
        </is>
      </c>
    </row>
    <row r="908" s="34">
      <c r="A908" s="40" t="inlineStr">
        <is>
          <t>280.02.02</t>
        </is>
      </c>
      <c r="B908" s="40" t="inlineStr">
        <is>
          <t>ÜST HAKKI / OTEL</t>
        </is>
      </c>
      <c r="C908" s="40" t="inlineStr">
        <is>
          <t>TRY</t>
        </is>
      </c>
      <c r="E908" s="38" t="n">
        <v>5326861.04</v>
      </c>
      <c r="F908" s="38" t="n">
        <v>0</v>
      </c>
      <c r="G908" s="38" t="n">
        <v>5326861.04</v>
      </c>
      <c r="I908" s="38" t="n">
        <v>5326861.04</v>
      </c>
      <c r="J908" s="38" t="n">
        <v>0</v>
      </c>
      <c r="K908" s="38" t="n">
        <v>5326861.04</v>
      </c>
    </row>
    <row r="909" s="34">
      <c r="A909" s="40" t="inlineStr">
        <is>
          <t>280.02.02.0001</t>
        </is>
      </c>
      <c r="B909" s="40" t="inlineStr">
        <is>
          <t xml:space="preserve">01. Ay Üst Hakkı / Otel </t>
        </is>
      </c>
      <c r="C909" s="40" t="inlineStr">
        <is>
          <t>TRY</t>
        </is>
      </c>
      <c r="D909" s="40" t="inlineStr">
        <is>
          <t>ROYAL ADAM EVE</t>
        </is>
      </c>
      <c r="E909" s="38" t="n">
        <v>977116.53</v>
      </c>
      <c r="F909" s="38" t="n">
        <v>0</v>
      </c>
      <c r="G909" s="38" t="n">
        <v>977116.53</v>
      </c>
      <c r="H909" s="40" t="inlineStr">
        <is>
          <t>Borç</t>
        </is>
      </c>
      <c r="I909" s="38" t="n">
        <v>977116.53</v>
      </c>
      <c r="J909" s="38" t="n">
        <v>0</v>
      </c>
      <c r="K909" s="38" t="n">
        <v>977116.53</v>
      </c>
      <c r="L909" s="40" t="inlineStr">
        <is>
          <t>Borç</t>
        </is>
      </c>
    </row>
    <row r="910" s="34">
      <c r="A910" s="40" t="inlineStr">
        <is>
          <t>280.02.02.0002</t>
        </is>
      </c>
      <c r="B910" s="40" t="inlineStr">
        <is>
          <t>02. Ay Üst Hakkı / Otel</t>
        </is>
      </c>
      <c r="C910" s="40" t="inlineStr">
        <is>
          <t>TRY</t>
        </is>
      </c>
      <c r="D910" s="40" t="inlineStr">
        <is>
          <t>ROYAL ADAM EVE</t>
        </is>
      </c>
      <c r="E910" s="38" t="n">
        <v>882556.86</v>
      </c>
      <c r="F910" s="38" t="n">
        <v>0</v>
      </c>
      <c r="G910" s="38" t="n">
        <v>882556.86</v>
      </c>
      <c r="H910" s="40" t="inlineStr">
        <is>
          <t>Borç</t>
        </is>
      </c>
      <c r="I910" s="38" t="n">
        <v>882556.86</v>
      </c>
      <c r="J910" s="38" t="n">
        <v>0</v>
      </c>
      <c r="K910" s="38" t="n">
        <v>882556.86</v>
      </c>
      <c r="L910" s="40" t="inlineStr">
        <is>
          <t>Borç</t>
        </is>
      </c>
    </row>
    <row r="911" s="34">
      <c r="A911" s="40" t="inlineStr">
        <is>
          <t>280.02.02.0003</t>
        </is>
      </c>
      <c r="B911" s="40" t="inlineStr">
        <is>
          <t>03. Ay Üst Hakkı / Otel</t>
        </is>
      </c>
      <c r="C911" s="40" t="inlineStr">
        <is>
          <t>TRY</t>
        </is>
      </c>
      <c r="D911" s="40" t="inlineStr">
        <is>
          <t>ROYAL ADAM EVE</t>
        </is>
      </c>
      <c r="E911" s="38" t="n">
        <v>977116.53</v>
      </c>
      <c r="F911" s="38" t="n">
        <v>0</v>
      </c>
      <c r="G911" s="38" t="n">
        <v>977116.53</v>
      </c>
      <c r="H911" s="40" t="inlineStr">
        <is>
          <t>Borç</t>
        </is>
      </c>
      <c r="I911" s="38" t="n">
        <v>977116.53</v>
      </c>
      <c r="J911" s="38" t="n">
        <v>0</v>
      </c>
      <c r="K911" s="38" t="n">
        <v>977116.53</v>
      </c>
      <c r="L911" s="40" t="inlineStr">
        <is>
          <t>Borç</t>
        </is>
      </c>
    </row>
    <row r="912" s="34">
      <c r="A912" s="40" t="inlineStr">
        <is>
          <t>280.02.02.0004</t>
        </is>
      </c>
      <c r="B912" s="40" t="inlineStr">
        <is>
          <t xml:space="preserve">04. Ay Üst Hakkı / Otel </t>
        </is>
      </c>
      <c r="C912" s="40" t="inlineStr">
        <is>
          <t>TRY</t>
        </is>
      </c>
      <c r="D912" s="40" t="inlineStr">
        <is>
          <t>ROYAL ADAM EVE</t>
        </is>
      </c>
      <c r="E912" s="38" t="n">
        <v>945596.64</v>
      </c>
      <c r="F912" s="38" t="n">
        <v>0</v>
      </c>
      <c r="G912" s="38" t="n">
        <v>945596.64</v>
      </c>
      <c r="H912" s="40" t="inlineStr">
        <is>
          <t>Borç</t>
        </is>
      </c>
      <c r="I912" s="38" t="n">
        <v>945596.64</v>
      </c>
      <c r="J912" s="38" t="n">
        <v>0</v>
      </c>
      <c r="K912" s="38" t="n">
        <v>945596.64</v>
      </c>
      <c r="L912" s="40" t="inlineStr">
        <is>
          <t>Borç</t>
        </is>
      </c>
    </row>
    <row r="913" s="34">
      <c r="A913" s="40" t="inlineStr">
        <is>
          <t>280.02.02.0005</t>
        </is>
      </c>
      <c r="B913" s="40" t="inlineStr">
        <is>
          <t>05. Ay Üst Hakkı / Otel</t>
        </is>
      </c>
      <c r="C913" s="40" t="inlineStr">
        <is>
          <t>TRY</t>
        </is>
      </c>
      <c r="D913" s="40" t="inlineStr">
        <is>
          <t>ROYAL ADAM EVE</t>
        </is>
      </c>
      <c r="E913" s="38" t="n">
        <v>977116.53</v>
      </c>
      <c r="F913" s="38" t="n">
        <v>0</v>
      </c>
      <c r="G913" s="38" t="n">
        <v>977116.53</v>
      </c>
      <c r="H913" s="40" t="inlineStr">
        <is>
          <t>Borç</t>
        </is>
      </c>
      <c r="I913" s="38" t="n">
        <v>977116.53</v>
      </c>
      <c r="J913" s="38" t="n">
        <v>0</v>
      </c>
      <c r="K913" s="38" t="n">
        <v>977116.53</v>
      </c>
      <c r="L913" s="40" t="inlineStr">
        <is>
          <t>Borç</t>
        </is>
      </c>
    </row>
    <row r="914" s="34">
      <c r="A914" s="40" t="inlineStr">
        <is>
          <t>280.02.02.0006</t>
        </is>
      </c>
      <c r="B914" s="40" t="inlineStr">
        <is>
          <t>06. Ay Üst Hakkı / Otel</t>
        </is>
      </c>
      <c r="C914" s="40" t="inlineStr">
        <is>
          <t>TRY</t>
        </is>
      </c>
      <c r="D914" s="40" t="inlineStr">
        <is>
          <t>ROYAL ADAM EVE</t>
        </is>
      </c>
      <c r="E914" s="38" t="n">
        <v>567357.95</v>
      </c>
      <c r="F914" s="38" t="n">
        <v>0</v>
      </c>
      <c r="G914" s="38" t="n">
        <v>567357.95</v>
      </c>
      <c r="H914" s="40" t="inlineStr">
        <is>
          <t>Borç</t>
        </is>
      </c>
      <c r="I914" s="38" t="n">
        <v>567357.95</v>
      </c>
      <c r="J914" s="38" t="n">
        <v>0</v>
      </c>
      <c r="K914" s="38" t="n">
        <v>567357.95</v>
      </c>
      <c r="L914" s="40" t="inlineStr">
        <is>
          <t>Borç</t>
        </is>
      </c>
    </row>
    <row r="915" s="34">
      <c r="A915" s="40" t="inlineStr">
        <is>
          <t>3</t>
        </is>
      </c>
      <c r="B915" s="40" t="inlineStr">
        <is>
          <t>KISA VADELİ YABANCI KAYNAKLAR</t>
        </is>
      </c>
      <c r="C915" s="40" t="inlineStr">
        <is>
          <t>TRY</t>
        </is>
      </c>
      <c r="E915" s="38" t="n">
        <v>1007017785.49</v>
      </c>
      <c r="F915" s="38" t="n">
        <v>1163014530.2</v>
      </c>
      <c r="G915" s="38" t="n">
        <v>-155996744.71</v>
      </c>
      <c r="I915" s="38" t="n">
        <v>692246229.0700001</v>
      </c>
      <c r="J915" s="38" t="n">
        <v>519000426.62</v>
      </c>
      <c r="K915" s="38" t="n">
        <v>173245802.45</v>
      </c>
    </row>
    <row r="916" s="34">
      <c r="A916" s="40" t="inlineStr">
        <is>
          <t>30</t>
        </is>
      </c>
      <c r="B916" s="40" t="inlineStr">
        <is>
          <t>MALİ BORÇLAR</t>
        </is>
      </c>
      <c r="C916" s="40" t="inlineStr">
        <is>
          <t>TRY</t>
        </is>
      </c>
      <c r="E916" s="38" t="n">
        <v>542389.8</v>
      </c>
      <c r="F916" s="38" t="n">
        <v>3541956</v>
      </c>
      <c r="G916" s="38" t="n">
        <v>-2999566.2</v>
      </c>
      <c r="I916" s="38" t="n">
        <v>541594.47</v>
      </c>
      <c r="J916" s="38" t="n">
        <v>3541956</v>
      </c>
      <c r="K916" s="38" t="n">
        <v>-3000361.53</v>
      </c>
    </row>
    <row r="917" s="34">
      <c r="A917" s="40" t="inlineStr">
        <is>
          <t>309</t>
        </is>
      </c>
      <c r="B917" s="40" t="inlineStr">
        <is>
          <t>DİĞER MALİ BORÇLAR</t>
        </is>
      </c>
      <c r="C917" s="40" t="inlineStr">
        <is>
          <t>TRY</t>
        </is>
      </c>
      <c r="E917" s="38" t="n">
        <v>542389.8</v>
      </c>
      <c r="F917" s="38" t="n">
        <v>3541956</v>
      </c>
      <c r="G917" s="38" t="n">
        <v>-2999566.2</v>
      </c>
      <c r="I917" s="38" t="n">
        <v>541594.47</v>
      </c>
      <c r="J917" s="38" t="n">
        <v>3541956</v>
      </c>
      <c r="K917" s="38" t="n">
        <v>-3000361.53</v>
      </c>
    </row>
    <row r="918" s="34">
      <c r="A918" s="40" t="inlineStr">
        <is>
          <t>309.01</t>
        </is>
      </c>
      <c r="B918" s="40" t="inlineStr">
        <is>
          <t>KREDİ KARTLARI</t>
        </is>
      </c>
      <c r="C918" s="40" t="inlineStr">
        <is>
          <t>TRY</t>
        </is>
      </c>
      <c r="E918" s="38" t="n">
        <v>542389.8</v>
      </c>
      <c r="F918" s="38" t="n">
        <v>3541956</v>
      </c>
      <c r="G918" s="38" t="n">
        <v>-2999566.2</v>
      </c>
      <c r="I918" s="38" t="n">
        <v>541594.47</v>
      </c>
      <c r="J918" s="38" t="n">
        <v>3541956</v>
      </c>
      <c r="K918" s="38" t="n">
        <v>-3000361.53</v>
      </c>
    </row>
    <row r="919" s="34">
      <c r="A919" s="40" t="inlineStr">
        <is>
          <t>309.01.01</t>
        </is>
      </c>
      <c r="B919" s="40" t="inlineStr">
        <is>
          <t>KREDİ KARTLARI</t>
        </is>
      </c>
      <c r="C919" s="40" t="inlineStr">
        <is>
          <t>TRY</t>
        </is>
      </c>
      <c r="E919" s="38" t="n">
        <v>542389.8</v>
      </c>
      <c r="F919" s="38" t="n">
        <v>3541956</v>
      </c>
      <c r="G919" s="38" t="n">
        <v>-2999566.2</v>
      </c>
      <c r="I919" s="38" t="n">
        <v>541594.47</v>
      </c>
      <c r="J919" s="38" t="n">
        <v>3541956</v>
      </c>
      <c r="K919" s="38" t="n">
        <v>-3000361.53</v>
      </c>
    </row>
    <row r="920" s="34">
      <c r="A920" s="40" t="inlineStr">
        <is>
          <t>309.01.01.0001</t>
        </is>
      </c>
      <c r="B920" s="40" t="inlineStr">
        <is>
          <t>Kredi Kartı TL</t>
        </is>
      </c>
      <c r="C920" s="40" t="inlineStr">
        <is>
          <t>TRY</t>
        </is>
      </c>
      <c r="D920" s="40" t="inlineStr">
        <is>
          <t>GİTAŞ MERKEZ</t>
        </is>
      </c>
      <c r="E920" s="38" t="n">
        <v>24937.97</v>
      </c>
      <c r="F920" s="38" t="n">
        <v>702204.5600000001</v>
      </c>
      <c r="G920" s="38" t="n">
        <v>-677266.59</v>
      </c>
      <c r="H920" s="40" t="inlineStr">
        <is>
          <t>Alacak</t>
        </is>
      </c>
      <c r="I920" s="38" t="n">
        <v>24937.97</v>
      </c>
      <c r="J920" s="38" t="n">
        <v>702204.5600000001</v>
      </c>
      <c r="K920" s="38" t="n">
        <v>-677266.59</v>
      </c>
      <c r="L920" s="40" t="inlineStr">
        <is>
          <t>Alacak</t>
        </is>
      </c>
    </row>
    <row r="921" s="34">
      <c r="A921" s="40" t="inlineStr">
        <is>
          <t>309.01.01.0001</t>
        </is>
      </c>
      <c r="B921" s="40" t="inlineStr">
        <is>
          <t>Kredi Kartı TL</t>
        </is>
      </c>
      <c r="C921" s="40" t="inlineStr">
        <is>
          <t>TRY</t>
        </is>
      </c>
      <c r="D921" s="40" t="inlineStr">
        <is>
          <t>ROYAL ADAM EVE</t>
        </is>
      </c>
      <c r="E921" s="38" t="n">
        <v>0</v>
      </c>
      <c r="F921" s="38" t="n">
        <v>663891.89</v>
      </c>
      <c r="G921" s="38" t="n">
        <v>-663891.89</v>
      </c>
      <c r="H921" s="40" t="inlineStr">
        <is>
          <t>Alacak</t>
        </is>
      </c>
      <c r="I921" s="38" t="n">
        <v>0</v>
      </c>
      <c r="J921" s="38" t="n">
        <v>663891.89</v>
      </c>
      <c r="K921" s="38" t="n">
        <v>-663891.89</v>
      </c>
      <c r="L921" s="40" t="inlineStr">
        <is>
          <t>Alacak</t>
        </is>
      </c>
    </row>
    <row r="922" s="34">
      <c r="A922" s="40" t="inlineStr">
        <is>
          <t>309.01.01.0001</t>
        </is>
      </c>
      <c r="B922" s="40" t="inlineStr">
        <is>
          <t>Kredi Kartı TL</t>
        </is>
      </c>
      <c r="C922" s="40" t="inlineStr">
        <is>
          <t>TRY</t>
        </is>
      </c>
      <c r="D922" s="40" t="inlineStr">
        <is>
          <t>ROYAL ALHAMBRA</t>
        </is>
      </c>
      <c r="E922" s="38" t="n">
        <v>0</v>
      </c>
      <c r="F922" s="38" t="n">
        <v>24937.97</v>
      </c>
      <c r="G922" s="38" t="n">
        <v>-24937.97</v>
      </c>
      <c r="H922" s="40" t="inlineStr">
        <is>
          <t>Alacak</t>
        </is>
      </c>
      <c r="I922" s="38" t="n">
        <v>0</v>
      </c>
      <c r="J922" s="38" t="n">
        <v>24937.97</v>
      </c>
      <c r="K922" s="38" t="n">
        <v>-24937.97</v>
      </c>
      <c r="L922" s="40" t="inlineStr">
        <is>
          <t>Alacak</t>
        </is>
      </c>
    </row>
    <row r="923" s="34">
      <c r="A923" s="40" t="inlineStr">
        <is>
          <t>309.01.01.0001</t>
        </is>
      </c>
      <c r="B923" s="40" t="inlineStr">
        <is>
          <t>Kredi Kartı TL</t>
        </is>
      </c>
      <c r="C923" s="40" t="inlineStr">
        <is>
          <t>TRY</t>
        </is>
      </c>
      <c r="D923" s="40" t="inlineStr">
        <is>
          <t>ROYAL DRAGON</t>
        </is>
      </c>
      <c r="E923" s="38" t="n">
        <v>0</v>
      </c>
      <c r="F923" s="38" t="n">
        <v>24937.97</v>
      </c>
      <c r="G923" s="38" t="n">
        <v>-24937.97</v>
      </c>
      <c r="H923" s="40" t="inlineStr">
        <is>
          <t>Alacak</t>
        </is>
      </c>
      <c r="I923" s="38" t="n">
        <v>0</v>
      </c>
      <c r="J923" s="38" t="n">
        <v>24937.97</v>
      </c>
      <c r="K923" s="38" t="n">
        <v>-24937.97</v>
      </c>
      <c r="L923" s="40" t="inlineStr">
        <is>
          <t>Alacak</t>
        </is>
      </c>
    </row>
    <row r="924" s="34">
      <c r="A924" s="40" t="inlineStr">
        <is>
          <t>309.01.01.0001</t>
        </is>
      </c>
      <c r="B924" s="40" t="inlineStr">
        <is>
          <t>Kredi Kartı TL</t>
        </is>
      </c>
      <c r="C924" s="40" t="inlineStr">
        <is>
          <t>TRY</t>
        </is>
      </c>
      <c r="D924" s="40" t="inlineStr">
        <is>
          <t>ROYAL HOLIDAY</t>
        </is>
      </c>
      <c r="E924" s="38" t="n">
        <v>0</v>
      </c>
      <c r="F924" s="38" t="n">
        <v>24937.97</v>
      </c>
      <c r="G924" s="38" t="n">
        <v>-24937.97</v>
      </c>
      <c r="H924" s="40" t="inlineStr">
        <is>
          <t>Alacak</t>
        </is>
      </c>
      <c r="I924" s="38" t="n">
        <v>0</v>
      </c>
      <c r="J924" s="38" t="n">
        <v>24937.97</v>
      </c>
      <c r="K924" s="38" t="n">
        <v>-24937.97</v>
      </c>
      <c r="L924" s="40" t="inlineStr">
        <is>
          <t>Alacak</t>
        </is>
      </c>
    </row>
    <row r="925" s="34">
      <c r="A925" s="40" t="inlineStr">
        <is>
          <t>309.01.01.0001</t>
        </is>
      </c>
      <c r="B925" s="40" t="inlineStr">
        <is>
          <t>Kredi Kartı TL</t>
        </is>
      </c>
      <c r="C925" s="40" t="inlineStr">
        <is>
          <t>TRY</t>
        </is>
      </c>
      <c r="D925" s="40" t="inlineStr">
        <is>
          <t>ROYAL SEGINUS</t>
        </is>
      </c>
      <c r="E925" s="38" t="n">
        <v>0</v>
      </c>
      <c r="F925" s="38" t="n">
        <v>24937.97</v>
      </c>
      <c r="G925" s="38" t="n">
        <v>-24937.97</v>
      </c>
      <c r="H925" s="40" t="inlineStr">
        <is>
          <t>Alacak</t>
        </is>
      </c>
      <c r="I925" s="38" t="n">
        <v>0</v>
      </c>
      <c r="J925" s="38" t="n">
        <v>24937.97</v>
      </c>
      <c r="K925" s="38" t="n">
        <v>-24937.97</v>
      </c>
      <c r="L925" s="40" t="inlineStr">
        <is>
          <t>Alacak</t>
        </is>
      </c>
    </row>
    <row r="926" s="34">
      <c r="A926" s="40" t="inlineStr">
        <is>
          <t>309.01.01.0001</t>
        </is>
      </c>
      <c r="B926" s="40" t="inlineStr">
        <is>
          <t>Kredi Kartı TL</t>
        </is>
      </c>
      <c r="C926" s="40" t="inlineStr">
        <is>
          <t>TRY</t>
        </is>
      </c>
      <c r="D926" s="40" t="inlineStr">
        <is>
          <t>SERTAŞ MERKEZ</t>
        </is>
      </c>
      <c r="E926" s="38" t="n">
        <v>517451.83</v>
      </c>
      <c r="F926" s="38" t="n">
        <v>2076107.67</v>
      </c>
      <c r="G926" s="38" t="n">
        <v>-1558655.84</v>
      </c>
      <c r="H926" s="40" t="inlineStr">
        <is>
          <t>Alacak</t>
        </is>
      </c>
      <c r="I926" s="38" t="n">
        <v>516656.5</v>
      </c>
      <c r="J926" s="38" t="n">
        <v>2076107.67</v>
      </c>
      <c r="K926" s="38" t="n">
        <v>-1559451.17</v>
      </c>
      <c r="L926" s="40" t="inlineStr">
        <is>
          <t>Alacak</t>
        </is>
      </c>
    </row>
    <row r="927" s="34">
      <c r="A927" s="40" t="inlineStr">
        <is>
          <t>32</t>
        </is>
      </c>
      <c r="B927" s="40" t="inlineStr">
        <is>
          <t>TİCARİ BORÇLAR</t>
        </is>
      </c>
      <c r="C927" s="40" t="inlineStr">
        <is>
          <t>TRY</t>
        </is>
      </c>
      <c r="E927" s="38" t="n">
        <v>343793947.95</v>
      </c>
      <c r="F927" s="38" t="n">
        <v>98247713.34999999</v>
      </c>
      <c r="G927" s="38" t="n">
        <v>245546234.6</v>
      </c>
      <c r="I927" s="38" t="n">
        <v>283521061.62</v>
      </c>
      <c r="J927" s="38" t="n">
        <v>95720345.29000001</v>
      </c>
      <c r="K927" s="38" t="n">
        <v>187800716.33</v>
      </c>
    </row>
    <row r="928" s="34">
      <c r="A928" s="40" t="inlineStr">
        <is>
          <t>320</t>
        </is>
      </c>
      <c r="B928" s="40" t="inlineStr">
        <is>
          <t>SATICILAR</t>
        </is>
      </c>
      <c r="C928" s="40" t="inlineStr">
        <is>
          <t>TRY</t>
        </is>
      </c>
      <c r="E928" s="38" t="n">
        <v>303379747.95</v>
      </c>
      <c r="F928" s="38" t="n">
        <v>98247713.34999999</v>
      </c>
      <c r="G928" s="38" t="n">
        <v>205132034.6</v>
      </c>
      <c r="I928" s="38" t="n">
        <v>243106861.62</v>
      </c>
      <c r="J928" s="38" t="n">
        <v>95720345.29000001</v>
      </c>
      <c r="K928" s="38" t="n">
        <v>147386516.33</v>
      </c>
    </row>
    <row r="929" s="34">
      <c r="A929" s="40" t="inlineStr">
        <is>
          <t>320.01</t>
        </is>
      </c>
      <c r="B929" s="40" t="inlineStr">
        <is>
          <t>SATICILAR</t>
        </is>
      </c>
      <c r="C929" s="40" t="inlineStr">
        <is>
          <t>TRY</t>
        </is>
      </c>
      <c r="E929" s="38" t="n">
        <v>248738371.95</v>
      </c>
      <c r="F929" s="38" t="n">
        <v>98247713.34999999</v>
      </c>
      <c r="G929" s="38" t="n">
        <v>150490658.6</v>
      </c>
      <c r="I929" s="38" t="n">
        <v>233514585.62</v>
      </c>
      <c r="J929" s="38" t="n">
        <v>95720345.29000001</v>
      </c>
      <c r="K929" s="38" t="n">
        <v>137794240.33</v>
      </c>
    </row>
    <row r="930" s="34">
      <c r="A930" s="40" t="inlineStr">
        <is>
          <t>320.01.01</t>
        </is>
      </c>
      <c r="B930" s="40" t="inlineStr">
        <is>
          <t>SATICILAR - GENEL</t>
        </is>
      </c>
      <c r="C930" s="40" t="inlineStr">
        <is>
          <t>TRY</t>
        </is>
      </c>
      <c r="E930" s="38" t="n">
        <v>248668271.95</v>
      </c>
      <c r="F930" s="38" t="n">
        <v>98222313.34999999</v>
      </c>
      <c r="G930" s="38" t="n">
        <v>150445958.6</v>
      </c>
      <c r="I930" s="38" t="n">
        <v>233444485.62</v>
      </c>
      <c r="J930" s="38" t="n">
        <v>95694945.29000001</v>
      </c>
      <c r="K930" s="38" t="n">
        <v>137749540.33</v>
      </c>
    </row>
    <row r="931" s="34">
      <c r="A931" s="40" t="inlineStr">
        <is>
          <t>320.01.01.0005</t>
        </is>
      </c>
      <c r="B931" s="40" t="inlineStr">
        <is>
          <t>2B Mobilya İmal Dek. Ltd. Şti.</t>
        </is>
      </c>
      <c r="C931" s="40" t="inlineStr">
        <is>
          <t>TRY</t>
        </is>
      </c>
      <c r="D931" s="40" t="inlineStr">
        <is>
          <t>GİTAŞ MERKEZ</t>
        </is>
      </c>
      <c r="E931" s="38" t="n">
        <v>92400</v>
      </c>
      <c r="F931" s="38" t="n">
        <v>0</v>
      </c>
      <c r="G931" s="38" t="n">
        <v>92400</v>
      </c>
      <c r="H931" s="40" t="inlineStr">
        <is>
          <t>Borç</t>
        </is>
      </c>
      <c r="I931" s="38" t="n">
        <v>92400</v>
      </c>
      <c r="J931" s="38" t="n">
        <v>0</v>
      </c>
      <c r="K931" s="38" t="n">
        <v>92400</v>
      </c>
      <c r="L931" s="40" t="inlineStr">
        <is>
          <t>Borç</t>
        </is>
      </c>
    </row>
    <row r="932" s="34">
      <c r="A932" s="40" t="inlineStr">
        <is>
          <t>320.01.01.0005</t>
        </is>
      </c>
      <c r="B932" s="40" t="inlineStr">
        <is>
          <t>2B Mobilya İmal Dek. Ltd. Şti.</t>
        </is>
      </c>
      <c r="C932" s="40" t="inlineStr">
        <is>
          <t>TRY</t>
        </is>
      </c>
      <c r="D932" s="40" t="inlineStr">
        <is>
          <t>ROYAL DRAGON</t>
        </is>
      </c>
      <c r="E932" s="38" t="n">
        <v>0</v>
      </c>
      <c r="F932" s="38" t="n">
        <v>92400</v>
      </c>
      <c r="G932" s="38" t="n">
        <v>-92400</v>
      </c>
      <c r="H932" s="40" t="inlineStr">
        <is>
          <t>Alacak</t>
        </is>
      </c>
      <c r="I932" s="38" t="n">
        <v>0</v>
      </c>
      <c r="J932" s="38" t="n">
        <v>92400</v>
      </c>
      <c r="K932" s="38" t="n">
        <v>-92400</v>
      </c>
      <c r="L932" s="40" t="inlineStr">
        <is>
          <t>Alacak</t>
        </is>
      </c>
    </row>
    <row r="933" s="34">
      <c r="A933" s="40" t="inlineStr">
        <is>
          <t>320.01.01.0005</t>
        </is>
      </c>
      <c r="B933" s="40" t="inlineStr">
        <is>
          <t>2B Mobilya İmal Dek. Ltd. Şti.</t>
        </is>
      </c>
      <c r="C933" s="40" t="inlineStr">
        <is>
          <t>TRY</t>
        </is>
      </c>
      <c r="D933" s="40" t="inlineStr">
        <is>
          <t>ROYAL SEGINUS</t>
        </is>
      </c>
      <c r="E933" s="38" t="n">
        <v>92400</v>
      </c>
      <c r="F933" s="38" t="n">
        <v>92400</v>
      </c>
      <c r="G933" s="38" t="n">
        <v>0</v>
      </c>
      <c r="I933" s="38" t="n">
        <v>92400</v>
      </c>
      <c r="J933" s="38" t="n">
        <v>92400</v>
      </c>
      <c r="K933" s="38" t="n">
        <v>0</v>
      </c>
    </row>
    <row r="934" s="34">
      <c r="A934" s="40" t="inlineStr">
        <is>
          <t>320.01.01.0005</t>
        </is>
      </c>
      <c r="B934" s="40" t="inlineStr">
        <is>
          <t>2B Mobilya İmal Dek. Ltd. Şti.</t>
        </is>
      </c>
      <c r="C934" s="40" t="inlineStr">
        <is>
          <t>TRY</t>
        </is>
      </c>
      <c r="D934" s="40" t="inlineStr">
        <is>
          <t>SERTAŞ MERKEZ</t>
        </is>
      </c>
      <c r="E934" s="38" t="n">
        <v>391500</v>
      </c>
      <c r="F934" s="38" t="n">
        <v>0</v>
      </c>
      <c r="G934" s="38" t="n">
        <v>391500</v>
      </c>
      <c r="H934" s="40" t="inlineStr">
        <is>
          <t>Borç</t>
        </is>
      </c>
      <c r="I934" s="38" t="n">
        <v>391500</v>
      </c>
      <c r="J934" s="38" t="n">
        <v>0</v>
      </c>
      <c r="K934" s="38" t="n">
        <v>391500</v>
      </c>
      <c r="L934" s="40" t="inlineStr">
        <is>
          <t>Borç</t>
        </is>
      </c>
    </row>
    <row r="935" s="34">
      <c r="A935" s="40" t="inlineStr">
        <is>
          <t>320.01.01.0343</t>
        </is>
      </c>
      <c r="B935" s="40" t="inlineStr">
        <is>
          <t>Abdullah Türk/ Antalya Teknik Bobinaj Komprosör</t>
        </is>
      </c>
      <c r="C935" s="40" t="inlineStr">
        <is>
          <t>TRY</t>
        </is>
      </c>
      <c r="D935" s="40" t="inlineStr">
        <is>
          <t>SERTAŞ MERKEZ</t>
        </is>
      </c>
      <c r="E935" s="38" t="n">
        <v>95000.02</v>
      </c>
      <c r="F935" s="38" t="n">
        <v>0</v>
      </c>
      <c r="G935" s="38" t="n">
        <v>95000.02</v>
      </c>
      <c r="H935" s="40" t="inlineStr">
        <is>
          <t>Borç</t>
        </is>
      </c>
      <c r="I935" s="38" t="n">
        <v>95000.02</v>
      </c>
      <c r="J935" s="38" t="n">
        <v>0</v>
      </c>
      <c r="K935" s="38" t="n">
        <v>95000.02</v>
      </c>
      <c r="L935" s="40" t="inlineStr">
        <is>
          <t>Borç</t>
        </is>
      </c>
    </row>
    <row r="936" s="34">
      <c r="A936" s="40" t="inlineStr">
        <is>
          <t>320.01.01.A002</t>
        </is>
      </c>
      <c r="B936" s="40" t="inlineStr">
        <is>
          <t>Akdeniz Beton Sanayi Ticaret İnşaat Turizm A.Ş.</t>
        </is>
      </c>
      <c r="C936" s="40" t="inlineStr">
        <is>
          <t>TRY</t>
        </is>
      </c>
      <c r="D936" s="40" t="inlineStr">
        <is>
          <t>GİTAŞ MERKEZ</t>
        </is>
      </c>
      <c r="E936" s="38" t="n">
        <v>7500</v>
      </c>
      <c r="F936" s="38" t="n">
        <v>0</v>
      </c>
      <c r="G936" s="38" t="n">
        <v>7500</v>
      </c>
      <c r="H936" s="40" t="inlineStr">
        <is>
          <t>Borç</t>
        </is>
      </c>
      <c r="I936" s="38" t="n">
        <v>7500</v>
      </c>
      <c r="J936" s="38" t="n">
        <v>0</v>
      </c>
      <c r="K936" s="38" t="n">
        <v>7500</v>
      </c>
      <c r="L936" s="40" t="inlineStr">
        <is>
          <t>Borç</t>
        </is>
      </c>
    </row>
    <row r="937" s="34">
      <c r="A937" s="40" t="inlineStr">
        <is>
          <t>320.01.01.A003</t>
        </is>
      </c>
      <c r="B937" s="40" t="inlineStr">
        <is>
          <t>A Plus Icecek Gıda Paz.San.Tic.A.Ş.</t>
        </is>
      </c>
      <c r="C937" s="40" t="inlineStr">
        <is>
          <t>TRY</t>
        </is>
      </c>
      <c r="D937" s="40" t="inlineStr">
        <is>
          <t>GİTAŞ MERKEZ</t>
        </is>
      </c>
      <c r="E937" s="38" t="n">
        <v>2124518</v>
      </c>
      <c r="F937" s="38" t="n">
        <v>0</v>
      </c>
      <c r="G937" s="38" t="n">
        <v>2124518</v>
      </c>
      <c r="H937" s="40" t="inlineStr">
        <is>
          <t>Borç</t>
        </is>
      </c>
      <c r="I937" s="38" t="n">
        <v>2124518</v>
      </c>
      <c r="J937" s="38" t="n">
        <v>0</v>
      </c>
      <c r="K937" s="38" t="n">
        <v>2124518</v>
      </c>
      <c r="L937" s="40" t="inlineStr">
        <is>
          <t>Borç</t>
        </is>
      </c>
    </row>
    <row r="938" s="34">
      <c r="A938" s="40" t="inlineStr">
        <is>
          <t>320.01.01.A003</t>
        </is>
      </c>
      <c r="B938" s="40" t="inlineStr">
        <is>
          <t>A Plus Icecek Gıda Paz.San.Tic.A.Ş.</t>
        </is>
      </c>
      <c r="C938" s="40" t="inlineStr">
        <is>
          <t>TRY</t>
        </is>
      </c>
      <c r="D938" s="40" t="inlineStr">
        <is>
          <t>ROYAL ADAM EVE</t>
        </is>
      </c>
      <c r="E938" s="38" t="n">
        <v>3913524</v>
      </c>
      <c r="F938" s="38" t="n">
        <v>0</v>
      </c>
      <c r="G938" s="38" t="n">
        <v>3913524</v>
      </c>
      <c r="H938" s="40" t="inlineStr">
        <is>
          <t>Borç</t>
        </is>
      </c>
      <c r="I938" s="38" t="n">
        <v>3913524</v>
      </c>
      <c r="J938" s="38" t="n">
        <v>0</v>
      </c>
      <c r="K938" s="38" t="n">
        <v>3913524</v>
      </c>
      <c r="L938" s="40" t="inlineStr">
        <is>
          <t>Borç</t>
        </is>
      </c>
    </row>
    <row r="939" s="34">
      <c r="A939" s="40" t="inlineStr">
        <is>
          <t>320.01.01.A003</t>
        </is>
      </c>
      <c r="B939" s="40" t="inlineStr">
        <is>
          <t>A Plus Icecek Gıda Paz.San.Tic.A.Ş.</t>
        </is>
      </c>
      <c r="C939" s="40" t="inlineStr">
        <is>
          <t>TRY</t>
        </is>
      </c>
      <c r="D939" s="40" t="inlineStr">
        <is>
          <t>ROYAL ALHAMBRA</t>
        </is>
      </c>
      <c r="E939" s="38" t="n">
        <v>0</v>
      </c>
      <c r="F939" s="38" t="n">
        <v>495420</v>
      </c>
      <c r="G939" s="38" t="n">
        <v>-495420</v>
      </c>
      <c r="H939" s="40" t="inlineStr">
        <is>
          <t>Alacak</t>
        </is>
      </c>
      <c r="I939" s="38" t="n">
        <v>0</v>
      </c>
      <c r="J939" s="38" t="n">
        <v>495420</v>
      </c>
      <c r="K939" s="38" t="n">
        <v>-495420</v>
      </c>
      <c r="L939" s="40" t="inlineStr">
        <is>
          <t>Alacak</t>
        </is>
      </c>
    </row>
    <row r="940" s="34">
      <c r="A940" s="40" t="inlineStr">
        <is>
          <t>320.01.01.A003</t>
        </is>
      </c>
      <c r="B940" s="40" t="inlineStr">
        <is>
          <t>A Plus Icecek Gıda Paz.San.Tic.A.Ş.</t>
        </is>
      </c>
      <c r="C940" s="40" t="inlineStr">
        <is>
          <t>TRY</t>
        </is>
      </c>
      <c r="D940" s="40" t="inlineStr">
        <is>
          <t>ROYAL DRAGON</t>
        </is>
      </c>
      <c r="E940" s="38" t="n">
        <v>0</v>
      </c>
      <c r="F940" s="38" t="n">
        <v>853200</v>
      </c>
      <c r="G940" s="38" t="n">
        <v>-853200</v>
      </c>
      <c r="H940" s="40" t="inlineStr">
        <is>
          <t>Alacak</t>
        </is>
      </c>
      <c r="I940" s="38" t="n">
        <v>0</v>
      </c>
      <c r="J940" s="38" t="n">
        <v>853200</v>
      </c>
      <c r="K940" s="38" t="n">
        <v>-853200</v>
      </c>
      <c r="L940" s="40" t="inlineStr">
        <is>
          <t>Alacak</t>
        </is>
      </c>
    </row>
    <row r="941" s="34">
      <c r="A941" s="40" t="inlineStr">
        <is>
          <t>320.01.01.A003</t>
        </is>
      </c>
      <c r="B941" s="40" t="inlineStr">
        <is>
          <t>A Plus Icecek Gıda Paz.San.Tic.A.Ş.</t>
        </is>
      </c>
      <c r="C941" s="40" t="inlineStr">
        <is>
          <t>TRY</t>
        </is>
      </c>
      <c r="D941" s="40" t="inlineStr">
        <is>
          <t>ROYAL HOLIDAY</t>
        </is>
      </c>
      <c r="E941" s="38" t="n">
        <v>0</v>
      </c>
      <c r="F941" s="38" t="n">
        <v>561600</v>
      </c>
      <c r="G941" s="38" t="n">
        <v>-561600</v>
      </c>
      <c r="H941" s="40" t="inlineStr">
        <is>
          <t>Alacak</t>
        </is>
      </c>
      <c r="I941" s="38" t="n">
        <v>0</v>
      </c>
      <c r="J941" s="38" t="n">
        <v>561600</v>
      </c>
      <c r="K941" s="38" t="n">
        <v>-561600</v>
      </c>
      <c r="L941" s="40" t="inlineStr">
        <is>
          <t>Alacak</t>
        </is>
      </c>
    </row>
    <row r="942" s="34">
      <c r="A942" s="40" t="inlineStr">
        <is>
          <t>320.01.01.A003</t>
        </is>
      </c>
      <c r="B942" s="40" t="inlineStr">
        <is>
          <t>A Plus Icecek Gıda Paz.San.Tic.A.Ş.</t>
        </is>
      </c>
      <c r="C942" s="40" t="inlineStr">
        <is>
          <t>TRY</t>
        </is>
      </c>
      <c r="D942" s="40" t="inlineStr">
        <is>
          <t>SERTAŞ MERKEZ</t>
        </is>
      </c>
      <c r="E942" s="38" t="n">
        <v>6195960</v>
      </c>
      <c r="F942" s="38" t="n">
        <v>0</v>
      </c>
      <c r="G942" s="38" t="n">
        <v>6195960</v>
      </c>
      <c r="H942" s="40" t="inlineStr">
        <is>
          <t>Borç</t>
        </is>
      </c>
      <c r="I942" s="38" t="n">
        <v>6195960</v>
      </c>
      <c r="J942" s="38" t="n">
        <v>0</v>
      </c>
      <c r="K942" s="38" t="n">
        <v>6195960</v>
      </c>
      <c r="L942" s="40" t="inlineStr">
        <is>
          <t>Borç</t>
        </is>
      </c>
    </row>
    <row r="943" s="34">
      <c r="A943" s="40" t="inlineStr">
        <is>
          <t>320.01.01.A004</t>
        </is>
      </c>
      <c r="B943" s="40" t="inlineStr">
        <is>
          <t>Açarlar Hafriyat Turizm Nakliye Petrol İnşaat Taahhüt Gıda Maddeleri Kuyumculuk Tekstil Sanayi ve Ticaret Limited Şirketi</t>
        </is>
      </c>
      <c r="C943" s="40" t="inlineStr">
        <is>
          <t>TRY</t>
        </is>
      </c>
      <c r="D943" s="40" t="inlineStr">
        <is>
          <t>GİTAŞ MERKEZ</t>
        </is>
      </c>
      <c r="E943" s="38" t="n">
        <v>48000</v>
      </c>
      <c r="F943" s="38" t="n">
        <v>0</v>
      </c>
      <c r="G943" s="38" t="n">
        <v>48000</v>
      </c>
      <c r="H943" s="40" t="inlineStr">
        <is>
          <t>Borç</t>
        </is>
      </c>
      <c r="I943" s="38" t="n">
        <v>48000</v>
      </c>
      <c r="J943" s="38" t="n">
        <v>0</v>
      </c>
      <c r="K943" s="38" t="n">
        <v>48000</v>
      </c>
      <c r="L943" s="40" t="inlineStr">
        <is>
          <t>Borç</t>
        </is>
      </c>
    </row>
    <row r="944" s="34">
      <c r="A944" s="40" t="inlineStr">
        <is>
          <t>320.01.01.A005</t>
        </is>
      </c>
      <c r="B944" s="40" t="inlineStr">
        <is>
          <t>Akdenız Adg Gıda Tur.İnş.Tic.Ltd.Şti.</t>
        </is>
      </c>
      <c r="C944" s="40" t="inlineStr">
        <is>
          <t>TRY</t>
        </is>
      </c>
      <c r="D944" s="40" t="inlineStr">
        <is>
          <t>ROYAL ALHAMBRA</t>
        </is>
      </c>
      <c r="E944" s="38" t="n">
        <v>0</v>
      </c>
      <c r="F944" s="38" t="n">
        <v>128270</v>
      </c>
      <c r="G944" s="38" t="n">
        <v>-128270</v>
      </c>
      <c r="H944" s="40" t="inlineStr">
        <is>
          <t>Alacak</t>
        </is>
      </c>
      <c r="I944" s="38" t="n">
        <v>0</v>
      </c>
      <c r="J944" s="38" t="n">
        <v>128270</v>
      </c>
      <c r="K944" s="38" t="n">
        <v>-128270</v>
      </c>
      <c r="L944" s="40" t="inlineStr">
        <is>
          <t>Alacak</t>
        </is>
      </c>
    </row>
    <row r="945" s="34">
      <c r="A945" s="40" t="inlineStr">
        <is>
          <t>320.01.01.A005</t>
        </is>
      </c>
      <c r="B945" s="40" t="inlineStr">
        <is>
          <t>Akdenız Adg Gıda Tur.İnş.Tic.Ltd.Şti.</t>
        </is>
      </c>
      <c r="C945" s="40" t="inlineStr">
        <is>
          <t>TRY</t>
        </is>
      </c>
      <c r="D945" s="40" t="inlineStr">
        <is>
          <t>ROYAL DRAGON</t>
        </is>
      </c>
      <c r="E945" s="38" t="n">
        <v>0</v>
      </c>
      <c r="F945" s="38" t="n">
        <v>96202.5</v>
      </c>
      <c r="G945" s="38" t="n">
        <v>-96202.5</v>
      </c>
      <c r="H945" s="40" t="inlineStr">
        <is>
          <t>Alacak</t>
        </is>
      </c>
      <c r="I945" s="38" t="n">
        <v>0</v>
      </c>
      <c r="J945" s="38" t="n">
        <v>96202.5</v>
      </c>
      <c r="K945" s="38" t="n">
        <v>-96202.5</v>
      </c>
      <c r="L945" s="40" t="inlineStr">
        <is>
          <t>Alacak</t>
        </is>
      </c>
    </row>
    <row r="946" s="34">
      <c r="A946" s="40" t="inlineStr">
        <is>
          <t>320.01.01.A005</t>
        </is>
      </c>
      <c r="B946" s="40" t="inlineStr">
        <is>
          <t>Akdenız Adg Gıda Tur.İnş.Tic.Ltd.Şti.</t>
        </is>
      </c>
      <c r="C946" s="40" t="inlineStr">
        <is>
          <t>TRY</t>
        </is>
      </c>
      <c r="D946" s="40" t="inlineStr">
        <is>
          <t>ROYAL HOLIDAY</t>
        </is>
      </c>
      <c r="E946" s="38" t="n">
        <v>0</v>
      </c>
      <c r="F946" s="38" t="n">
        <v>7575</v>
      </c>
      <c r="G946" s="38" t="n">
        <v>-7575</v>
      </c>
      <c r="H946" s="40" t="inlineStr">
        <is>
          <t>Alacak</t>
        </is>
      </c>
      <c r="I946" s="38" t="n">
        <v>0</v>
      </c>
      <c r="J946" s="38" t="n">
        <v>7575</v>
      </c>
      <c r="K946" s="38" t="n">
        <v>-7575</v>
      </c>
      <c r="L946" s="40" t="inlineStr">
        <is>
          <t>Alacak</t>
        </is>
      </c>
    </row>
    <row r="947" s="34">
      <c r="A947" s="40" t="inlineStr">
        <is>
          <t>320.01.01.A005</t>
        </is>
      </c>
      <c r="B947" s="40" t="inlineStr">
        <is>
          <t>Akdenız Adg Gıda Tur.İnş.Tic.Ltd.Şti.</t>
        </is>
      </c>
      <c r="C947" s="40" t="inlineStr">
        <is>
          <t>TRY</t>
        </is>
      </c>
      <c r="D947" s="40" t="inlineStr">
        <is>
          <t>ROYAL SEGINUS</t>
        </is>
      </c>
      <c r="E947" s="38" t="n">
        <v>0</v>
      </c>
      <c r="F947" s="38" t="n">
        <v>178770</v>
      </c>
      <c r="G947" s="38" t="n">
        <v>-178770</v>
      </c>
      <c r="H947" s="40" t="inlineStr">
        <is>
          <t>Alacak</t>
        </is>
      </c>
      <c r="I947" s="38" t="n">
        <v>0</v>
      </c>
      <c r="J947" s="38" t="n">
        <v>178770</v>
      </c>
      <c r="K947" s="38" t="n">
        <v>-178770</v>
      </c>
      <c r="L947" s="40" t="inlineStr">
        <is>
          <t>Alacak</t>
        </is>
      </c>
    </row>
    <row r="948" s="34">
      <c r="A948" s="40" t="inlineStr">
        <is>
          <t>320.01.01.A029</t>
        </is>
      </c>
      <c r="B948" s="40" t="inlineStr">
        <is>
          <t>Anexservices Turizm Organizasyon Taşımacılık A.Ş.</t>
        </is>
      </c>
      <c r="C948" s="40" t="inlineStr">
        <is>
          <t>EUR</t>
        </is>
      </c>
      <c r="D948" s="40" t="inlineStr">
        <is>
          <t>ROYAL ADAM EVE</t>
        </is>
      </c>
      <c r="E948" s="38" t="n">
        <v>0</v>
      </c>
      <c r="F948" s="38" t="n">
        <v>154348.94</v>
      </c>
      <c r="G948" s="38" t="n">
        <v>-154348.94</v>
      </c>
      <c r="H948" s="40" t="inlineStr">
        <is>
          <t>Alacak</t>
        </is>
      </c>
      <c r="I948" s="38" t="n">
        <v>0</v>
      </c>
      <c r="J948" s="38" t="n">
        <v>2925</v>
      </c>
      <c r="K948" s="38" t="n">
        <v>-2925</v>
      </c>
      <c r="L948" s="40" t="inlineStr">
        <is>
          <t>Alacak</t>
        </is>
      </c>
    </row>
    <row r="949" s="34">
      <c r="A949" s="40" t="inlineStr">
        <is>
          <t>320.01.01.A030</t>
        </is>
      </c>
      <c r="B949" s="40" t="inlineStr">
        <is>
          <t>Afram Gıda Turizm Ticaret Ltd. Şti.</t>
        </is>
      </c>
      <c r="C949" s="40" t="inlineStr">
        <is>
          <t>TRY</t>
        </is>
      </c>
      <c r="D949" s="40" t="inlineStr">
        <is>
          <t>GİTAŞ MERKEZ</t>
        </is>
      </c>
      <c r="E949" s="38" t="n">
        <v>34655.63</v>
      </c>
      <c r="F949" s="38" t="n">
        <v>0</v>
      </c>
      <c r="G949" s="38" t="n">
        <v>34655.63</v>
      </c>
      <c r="H949" s="40" t="inlineStr">
        <is>
          <t>Borç</t>
        </is>
      </c>
      <c r="I949" s="38" t="n">
        <v>34655.63</v>
      </c>
      <c r="J949" s="38" t="n">
        <v>0</v>
      </c>
      <c r="K949" s="38" t="n">
        <v>34655.63</v>
      </c>
      <c r="L949" s="40" t="inlineStr">
        <is>
          <t>Borç</t>
        </is>
      </c>
    </row>
    <row r="950" s="34">
      <c r="A950" s="40" t="inlineStr">
        <is>
          <t>320.01.01.A030</t>
        </is>
      </c>
      <c r="B950" s="40" t="inlineStr">
        <is>
          <t>Afram Gıda Turizm Ticaret Ltd. Şti.</t>
        </is>
      </c>
      <c r="C950" s="40" t="inlineStr">
        <is>
          <t>TRY</t>
        </is>
      </c>
      <c r="D950" s="40" t="inlineStr">
        <is>
          <t>ROYAL ADAM EVE</t>
        </is>
      </c>
      <c r="E950" s="38" t="n">
        <v>20628.75</v>
      </c>
      <c r="F950" s="38" t="n">
        <v>0</v>
      </c>
      <c r="G950" s="38" t="n">
        <v>20628.75</v>
      </c>
      <c r="H950" s="40" t="inlineStr">
        <is>
          <t>Borç</t>
        </is>
      </c>
      <c r="I950" s="38" t="n">
        <v>20628.75</v>
      </c>
      <c r="J950" s="38" t="n">
        <v>0</v>
      </c>
      <c r="K950" s="38" t="n">
        <v>20628.75</v>
      </c>
      <c r="L950" s="40" t="inlineStr">
        <is>
          <t>Borç</t>
        </is>
      </c>
    </row>
    <row r="951" s="34">
      <c r="A951" s="40" t="inlineStr">
        <is>
          <t>320.01.01.A030</t>
        </is>
      </c>
      <c r="B951" s="40" t="inlineStr">
        <is>
          <t>Afram Gıda Turizm Ticaret Ltd. Şti.</t>
        </is>
      </c>
      <c r="C951" s="40" t="inlineStr">
        <is>
          <t>TRY</t>
        </is>
      </c>
      <c r="D951" s="40" t="inlineStr">
        <is>
          <t>ROYAL DRAGON</t>
        </is>
      </c>
      <c r="E951" s="38" t="n">
        <v>0</v>
      </c>
      <c r="F951" s="38" t="n">
        <v>9999</v>
      </c>
      <c r="G951" s="38" t="n">
        <v>-9999</v>
      </c>
      <c r="H951" s="40" t="inlineStr">
        <is>
          <t>Alacak</t>
        </is>
      </c>
      <c r="I951" s="38" t="n">
        <v>0</v>
      </c>
      <c r="J951" s="38" t="n">
        <v>9999</v>
      </c>
      <c r="K951" s="38" t="n">
        <v>-9999</v>
      </c>
      <c r="L951" s="40" t="inlineStr">
        <is>
          <t>Alacak</t>
        </is>
      </c>
    </row>
    <row r="952" s="34">
      <c r="A952" s="40" t="inlineStr">
        <is>
          <t>320.01.01.A030</t>
        </is>
      </c>
      <c r="B952" s="40" t="inlineStr">
        <is>
          <t>Afram Gıda Turizm Ticaret Ltd. Şti.</t>
        </is>
      </c>
      <c r="C952" s="40" t="inlineStr">
        <is>
          <t>TRY</t>
        </is>
      </c>
      <c r="D952" s="40" t="inlineStr">
        <is>
          <t>SERTAŞ MERKEZ</t>
        </is>
      </c>
      <c r="E952" s="38" t="n">
        <v>41244.36</v>
      </c>
      <c r="F952" s="38" t="n">
        <v>0</v>
      </c>
      <c r="G952" s="38" t="n">
        <v>41244.36</v>
      </c>
      <c r="H952" s="40" t="inlineStr">
        <is>
          <t>Borç</t>
        </is>
      </c>
      <c r="I952" s="38" t="n">
        <v>41244.36</v>
      </c>
      <c r="J952" s="38" t="n">
        <v>0</v>
      </c>
      <c r="K952" s="38" t="n">
        <v>41244.36</v>
      </c>
      <c r="L952" s="40" t="inlineStr">
        <is>
          <t>Borç</t>
        </is>
      </c>
    </row>
    <row r="953" s="34">
      <c r="A953" s="40" t="inlineStr">
        <is>
          <t>320.01.01.A032</t>
        </is>
      </c>
      <c r="B953" s="40" t="inlineStr">
        <is>
          <t>Afy Gıda Ürünleri San.Ve Dış Tic.A.Ş.</t>
        </is>
      </c>
      <c r="C953" s="40" t="inlineStr">
        <is>
          <t>TRY</t>
        </is>
      </c>
      <c r="D953" s="40" t="inlineStr">
        <is>
          <t>GİTAŞ MERKEZ</t>
        </is>
      </c>
      <c r="E953" s="38" t="n">
        <v>10635.3</v>
      </c>
      <c r="F953" s="38" t="n">
        <v>0</v>
      </c>
      <c r="G953" s="38" t="n">
        <v>10635.3</v>
      </c>
      <c r="H953" s="40" t="inlineStr">
        <is>
          <t>Borç</t>
        </is>
      </c>
      <c r="I953" s="38" t="n">
        <v>10635.3</v>
      </c>
      <c r="J953" s="38" t="n">
        <v>0</v>
      </c>
      <c r="K953" s="38" t="n">
        <v>10635.3</v>
      </c>
      <c r="L953" s="40" t="inlineStr">
        <is>
          <t>Borç</t>
        </is>
      </c>
    </row>
    <row r="954" s="34">
      <c r="A954" s="40" t="inlineStr">
        <is>
          <t>320.01.01.A032</t>
        </is>
      </c>
      <c r="B954" s="40" t="inlineStr">
        <is>
          <t>Afy Gıda Ürünleri San.Ve Dış Tic.A.Ş.</t>
        </is>
      </c>
      <c r="C954" s="40" t="inlineStr">
        <is>
          <t>TRY</t>
        </is>
      </c>
      <c r="D954" s="40" t="inlineStr">
        <is>
          <t>ROYAL ADAM EVE</t>
        </is>
      </c>
      <c r="E954" s="38" t="n">
        <v>32969.43</v>
      </c>
      <c r="F954" s="38" t="n">
        <v>10635.3</v>
      </c>
      <c r="G954" s="38" t="n">
        <v>22334.13</v>
      </c>
      <c r="H954" s="40" t="inlineStr">
        <is>
          <t>Borç</t>
        </is>
      </c>
      <c r="I954" s="38" t="n">
        <v>32969.43</v>
      </c>
      <c r="J954" s="38" t="n">
        <v>10635.3</v>
      </c>
      <c r="K954" s="38" t="n">
        <v>22334.13</v>
      </c>
      <c r="L954" s="40" t="inlineStr">
        <is>
          <t>Borç</t>
        </is>
      </c>
    </row>
    <row r="955" s="34">
      <c r="A955" s="40" t="inlineStr">
        <is>
          <t>320.01.01.A032</t>
        </is>
      </c>
      <c r="B955" s="40" t="inlineStr">
        <is>
          <t>Afy Gıda Ürünleri San.Ve Dış Tic.A.Ş.</t>
        </is>
      </c>
      <c r="C955" s="40" t="inlineStr">
        <is>
          <t>TRY</t>
        </is>
      </c>
      <c r="D955" s="40" t="inlineStr">
        <is>
          <t>ROYAL DRAGON</t>
        </is>
      </c>
      <c r="E955" s="38" t="n">
        <v>0</v>
      </c>
      <c r="F955" s="38" t="n">
        <v>13825.89</v>
      </c>
      <c r="G955" s="38" t="n">
        <v>-13825.89</v>
      </c>
      <c r="H955" s="40" t="inlineStr">
        <is>
          <t>Alacak</t>
        </is>
      </c>
      <c r="I955" s="38" t="n">
        <v>0</v>
      </c>
      <c r="J955" s="38" t="n">
        <v>13825.89</v>
      </c>
      <c r="K955" s="38" t="n">
        <v>-13825.89</v>
      </c>
      <c r="L955" s="40" t="inlineStr">
        <is>
          <t>Alacak</t>
        </is>
      </c>
    </row>
    <row r="956" s="34">
      <c r="A956" s="40" t="inlineStr">
        <is>
          <t>320.01.01.A032</t>
        </is>
      </c>
      <c r="B956" s="40" t="inlineStr">
        <is>
          <t>Afy Gıda Ürünleri San.Ve Dış Tic.A.Ş.</t>
        </is>
      </c>
      <c r="C956" s="40" t="inlineStr">
        <is>
          <t>TRY</t>
        </is>
      </c>
      <c r="D956" s="40" t="inlineStr">
        <is>
          <t>SERTAŞ MERKEZ</t>
        </is>
      </c>
      <c r="E956" s="38" t="n">
        <v>107416.53</v>
      </c>
      <c r="F956" s="38" t="n">
        <v>0</v>
      </c>
      <c r="G956" s="38" t="n">
        <v>107416.53</v>
      </c>
      <c r="H956" s="40" t="inlineStr">
        <is>
          <t>Borç</t>
        </is>
      </c>
      <c r="I956" s="38" t="n">
        <v>107416.53</v>
      </c>
      <c r="J956" s="38" t="n">
        <v>0</v>
      </c>
      <c r="K956" s="38" t="n">
        <v>107416.53</v>
      </c>
      <c r="L956" s="40" t="inlineStr">
        <is>
          <t>Borç</t>
        </is>
      </c>
    </row>
    <row r="957" s="34">
      <c r="A957" s="40" t="inlineStr">
        <is>
          <t>320.01.01.A033</t>
        </is>
      </c>
      <c r="B957" s="40" t="inlineStr">
        <is>
          <t>Ag Melco Turkey Asansör Ltd.Şti.</t>
        </is>
      </c>
      <c r="C957" s="40" t="inlineStr">
        <is>
          <t>TRY</t>
        </is>
      </c>
      <c r="D957" s="40" t="inlineStr">
        <is>
          <t>ROYAL SEGINUS</t>
        </is>
      </c>
      <c r="E957" s="38" t="n">
        <v>367.47</v>
      </c>
      <c r="F957" s="38" t="n">
        <v>0</v>
      </c>
      <c r="G957" s="38" t="n">
        <v>367.47</v>
      </c>
      <c r="H957" s="40" t="inlineStr">
        <is>
          <t>Borç</t>
        </is>
      </c>
      <c r="I957" s="38" t="n">
        <v>0</v>
      </c>
      <c r="J957" s="38" t="n">
        <v>0</v>
      </c>
      <c r="K957" s="38" t="n">
        <v>0</v>
      </c>
    </row>
    <row r="958" s="34">
      <c r="A958" s="40" t="inlineStr">
        <is>
          <t>320.01.01.A033</t>
        </is>
      </c>
      <c r="B958" s="40" t="inlineStr">
        <is>
          <t>Ag Melco Turkey Asansör Ltd.Şti.</t>
        </is>
      </c>
      <c r="C958" s="40" t="inlineStr">
        <is>
          <t>TRY</t>
        </is>
      </c>
      <c r="D958" s="40" t="inlineStr">
        <is>
          <t>SERTAŞ MERKEZ</t>
        </is>
      </c>
      <c r="E958" s="38" t="n">
        <v>0</v>
      </c>
      <c r="F958" s="38" t="n">
        <v>365.82</v>
      </c>
      <c r="G958" s="38" t="n">
        <v>-365.82</v>
      </c>
      <c r="H958" s="40" t="inlineStr">
        <is>
          <t>Alacak</t>
        </is>
      </c>
      <c r="I958" s="38" t="n">
        <v>0</v>
      </c>
      <c r="J958" s="38" t="n">
        <v>0</v>
      </c>
      <c r="K958" s="38" t="n">
        <v>0</v>
      </c>
    </row>
    <row r="959" s="34">
      <c r="A959" s="40" t="inlineStr">
        <is>
          <t>320.01.01.A058</t>
        </is>
      </c>
      <c r="B959" s="40" t="inlineStr">
        <is>
          <t>Akdeniz Alev Gıda Paz.Dayanıklı Tüketim</t>
        </is>
      </c>
      <c r="C959" s="40" t="inlineStr">
        <is>
          <t>TRY</t>
        </is>
      </c>
      <c r="D959" s="40" t="inlineStr">
        <is>
          <t>GİTAŞ MERKEZ</t>
        </is>
      </c>
      <c r="E959" s="38" t="n">
        <v>276112.2</v>
      </c>
      <c r="F959" s="38" t="n">
        <v>0</v>
      </c>
      <c r="G959" s="38" t="n">
        <v>276112.2</v>
      </c>
      <c r="H959" s="40" t="inlineStr">
        <is>
          <t>Borç</t>
        </is>
      </c>
      <c r="I959" s="38" t="n">
        <v>276112.2</v>
      </c>
      <c r="J959" s="38" t="n">
        <v>0</v>
      </c>
      <c r="K959" s="38" t="n">
        <v>276112.2</v>
      </c>
      <c r="L959" s="40" t="inlineStr">
        <is>
          <t>Borç</t>
        </is>
      </c>
    </row>
    <row r="960" s="34">
      <c r="A960" s="40" t="inlineStr">
        <is>
          <t>320.01.01.A058</t>
        </is>
      </c>
      <c r="B960" s="40" t="inlineStr">
        <is>
          <t>Akdeniz Alev Gıda Paz.Dayanıklı Tüketim</t>
        </is>
      </c>
      <c r="C960" s="40" t="inlineStr">
        <is>
          <t>TRY</t>
        </is>
      </c>
      <c r="D960" s="40" t="inlineStr">
        <is>
          <t>ROYAL ADAM EVE</t>
        </is>
      </c>
      <c r="E960" s="38" t="n">
        <v>185262.37</v>
      </c>
      <c r="F960" s="38" t="n">
        <v>0</v>
      </c>
      <c r="G960" s="38" t="n">
        <v>185262.37</v>
      </c>
      <c r="H960" s="40" t="inlineStr">
        <is>
          <t>Borç</t>
        </is>
      </c>
      <c r="I960" s="38" t="n">
        <v>185262.37</v>
      </c>
      <c r="J960" s="38" t="n">
        <v>0</v>
      </c>
      <c r="K960" s="38" t="n">
        <v>185262.37</v>
      </c>
      <c r="L960" s="40" t="inlineStr">
        <is>
          <t>Borç</t>
        </is>
      </c>
    </row>
    <row r="961" s="34">
      <c r="A961" s="40" t="inlineStr">
        <is>
          <t>320.01.01.A058</t>
        </is>
      </c>
      <c r="B961" s="40" t="inlineStr">
        <is>
          <t>Akdeniz Alev Gıda Paz.Dayanıklı Tüketim</t>
        </is>
      </c>
      <c r="C961" s="40" t="inlineStr">
        <is>
          <t>TRY</t>
        </is>
      </c>
      <c r="D961" s="40" t="inlineStr">
        <is>
          <t>ROYAL ALHAMBRA</t>
        </is>
      </c>
      <c r="E961" s="38" t="n">
        <v>0</v>
      </c>
      <c r="F961" s="38" t="n">
        <v>161461.55</v>
      </c>
      <c r="G961" s="38" t="n">
        <v>-161461.55</v>
      </c>
      <c r="H961" s="40" t="inlineStr">
        <is>
          <t>Alacak</t>
        </is>
      </c>
      <c r="I961" s="38" t="n">
        <v>0</v>
      </c>
      <c r="J961" s="38" t="n">
        <v>161461.55</v>
      </c>
      <c r="K961" s="38" t="n">
        <v>-161461.55</v>
      </c>
      <c r="L961" s="40" t="inlineStr">
        <is>
          <t>Alacak</t>
        </is>
      </c>
    </row>
    <row r="962" s="34">
      <c r="A962" s="40" t="inlineStr">
        <is>
          <t>320.01.01.A058</t>
        </is>
      </c>
      <c r="B962" s="40" t="inlineStr">
        <is>
          <t>Akdeniz Alev Gıda Paz.Dayanıklı Tüketim</t>
        </is>
      </c>
      <c r="C962" s="40" t="inlineStr">
        <is>
          <t>TRY</t>
        </is>
      </c>
      <c r="D962" s="40" t="inlineStr">
        <is>
          <t>ROYAL DRAGON</t>
        </is>
      </c>
      <c r="E962" s="38" t="n">
        <v>0</v>
      </c>
      <c r="F962" s="38" t="n">
        <v>37199.83</v>
      </c>
      <c r="G962" s="38" t="n">
        <v>-37199.83</v>
      </c>
      <c r="H962" s="40" t="inlineStr">
        <is>
          <t>Alacak</t>
        </is>
      </c>
      <c r="I962" s="38" t="n">
        <v>0</v>
      </c>
      <c r="J962" s="38" t="n">
        <v>37199.83</v>
      </c>
      <c r="K962" s="38" t="n">
        <v>-37199.83</v>
      </c>
      <c r="L962" s="40" t="inlineStr">
        <is>
          <t>Alacak</t>
        </is>
      </c>
    </row>
    <row r="963" s="34">
      <c r="A963" s="40" t="inlineStr">
        <is>
          <t>320.01.01.A058</t>
        </is>
      </c>
      <c r="B963" s="40" t="inlineStr">
        <is>
          <t>Akdeniz Alev Gıda Paz.Dayanıklı Tüketim</t>
        </is>
      </c>
      <c r="C963" s="40" t="inlineStr">
        <is>
          <t>TRY</t>
        </is>
      </c>
      <c r="D963" s="40" t="inlineStr">
        <is>
          <t>ROYAL HOLIDAY</t>
        </is>
      </c>
      <c r="E963" s="38" t="n">
        <v>3353.2</v>
      </c>
      <c r="F963" s="38" t="n">
        <v>238712.37</v>
      </c>
      <c r="G963" s="38" t="n">
        <v>-235359.17</v>
      </c>
      <c r="H963" s="40" t="inlineStr">
        <is>
          <t>Alacak</t>
        </is>
      </c>
      <c r="I963" s="38" t="n">
        <v>3353.2</v>
      </c>
      <c r="J963" s="38" t="n">
        <v>238712.37</v>
      </c>
      <c r="K963" s="38" t="n">
        <v>-235359.17</v>
      </c>
      <c r="L963" s="40" t="inlineStr">
        <is>
          <t>Alacak</t>
        </is>
      </c>
    </row>
    <row r="964" s="34">
      <c r="A964" s="40" t="inlineStr">
        <is>
          <t>320.01.01.A058</t>
        </is>
      </c>
      <c r="B964" s="40" t="inlineStr">
        <is>
          <t>Akdeniz Alev Gıda Paz.Dayanıklı Tüketim</t>
        </is>
      </c>
      <c r="C964" s="40" t="inlineStr">
        <is>
          <t>TRY</t>
        </is>
      </c>
      <c r="D964" s="40" t="inlineStr">
        <is>
          <t>ROYAL SEGINUS</t>
        </is>
      </c>
      <c r="E964" s="38" t="n">
        <v>0</v>
      </c>
      <c r="F964" s="38" t="n">
        <v>54114.31</v>
      </c>
      <c r="G964" s="38" t="n">
        <v>-54114.31</v>
      </c>
      <c r="H964" s="40" t="inlineStr">
        <is>
          <t>Alacak</t>
        </is>
      </c>
      <c r="I964" s="38" t="n">
        <v>0</v>
      </c>
      <c r="J964" s="38" t="n">
        <v>54114.31</v>
      </c>
      <c r="K964" s="38" t="n">
        <v>-54114.31</v>
      </c>
      <c r="L964" s="40" t="inlineStr">
        <is>
          <t>Alacak</t>
        </is>
      </c>
    </row>
    <row r="965" s="34">
      <c r="A965" s="40" t="inlineStr">
        <is>
          <t>320.01.01.A058</t>
        </is>
      </c>
      <c r="B965" s="40" t="inlineStr">
        <is>
          <t>Akdeniz Alev Gıda Paz.Dayanıklı Tüketim</t>
        </is>
      </c>
      <c r="C965" s="40" t="inlineStr">
        <is>
          <t>TRY</t>
        </is>
      </c>
      <c r="D965" s="40" t="inlineStr">
        <is>
          <t>SERTAŞ MERKEZ</t>
        </is>
      </c>
      <c r="E965" s="38" t="n">
        <v>251779.44</v>
      </c>
      <c r="F965" s="38" t="n">
        <v>0</v>
      </c>
      <c r="G965" s="38" t="n">
        <v>251779.44</v>
      </c>
      <c r="H965" s="40" t="inlineStr">
        <is>
          <t>Borç</t>
        </is>
      </c>
      <c r="I965" s="38" t="n">
        <v>251779.44</v>
      </c>
      <c r="J965" s="38" t="n">
        <v>0</v>
      </c>
      <c r="K965" s="38" t="n">
        <v>251779.44</v>
      </c>
      <c r="L965" s="40" t="inlineStr">
        <is>
          <t>Borç</t>
        </is>
      </c>
    </row>
    <row r="966" s="34">
      <c r="A966" s="40" t="inlineStr">
        <is>
          <t>320.01.01.A079</t>
        </is>
      </c>
      <c r="B966" s="40" t="inlineStr">
        <is>
          <t>Akkaya Cam Pazarlama Ldt Sti</t>
        </is>
      </c>
      <c r="C966" s="40" t="inlineStr">
        <is>
          <t>TRY</t>
        </is>
      </c>
      <c r="D966" s="40" t="inlineStr">
        <is>
          <t>ROYAL ADAM EVE</t>
        </is>
      </c>
      <c r="E966" s="38" t="n">
        <v>91260</v>
      </c>
      <c r="F966" s="38" t="n">
        <v>0</v>
      </c>
      <c r="G966" s="38" t="n">
        <v>91260</v>
      </c>
      <c r="H966" s="40" t="inlineStr">
        <is>
          <t>Borç</t>
        </is>
      </c>
      <c r="I966" s="38" t="n">
        <v>91260</v>
      </c>
      <c r="J966" s="38" t="n">
        <v>0</v>
      </c>
      <c r="K966" s="38" t="n">
        <v>91260</v>
      </c>
      <c r="L966" s="40" t="inlineStr">
        <is>
          <t>Borç</t>
        </is>
      </c>
    </row>
    <row r="967" s="34">
      <c r="A967" s="40" t="inlineStr">
        <is>
          <t>320.01.01.A079</t>
        </is>
      </c>
      <c r="B967" s="40" t="inlineStr">
        <is>
          <t>Akkaya Cam Pazarlama Ldt Sti</t>
        </is>
      </c>
      <c r="C967" s="40" t="inlineStr">
        <is>
          <t>TRY</t>
        </is>
      </c>
      <c r="D967" s="40" t="inlineStr">
        <is>
          <t>SERTAŞ MERKEZ</t>
        </is>
      </c>
      <c r="E967" s="38" t="n">
        <v>19560</v>
      </c>
      <c r="F967" s="38" t="n">
        <v>0</v>
      </c>
      <c r="G967" s="38" t="n">
        <v>19560</v>
      </c>
      <c r="H967" s="40" t="inlineStr">
        <is>
          <t>Borç</t>
        </is>
      </c>
      <c r="I967" s="38" t="n">
        <v>19560</v>
      </c>
      <c r="J967" s="38" t="n">
        <v>0</v>
      </c>
      <c r="K967" s="38" t="n">
        <v>19560</v>
      </c>
      <c r="L967" s="40" t="inlineStr">
        <is>
          <t>Borç</t>
        </is>
      </c>
    </row>
    <row r="968" s="34">
      <c r="A968" s="40" t="inlineStr">
        <is>
          <t>320.01.01.A091</t>
        </is>
      </c>
      <c r="B968" s="40" t="inlineStr">
        <is>
          <t>Aksu Polimer Boya San.Ltd.Şti</t>
        </is>
      </c>
      <c r="C968" s="40" t="inlineStr">
        <is>
          <t>TRY</t>
        </is>
      </c>
      <c r="D968" s="40" t="inlineStr">
        <is>
          <t>ROYAL ADAM EVE</t>
        </is>
      </c>
      <c r="E968" s="38" t="n">
        <v>38007.6</v>
      </c>
      <c r="F968" s="38" t="n">
        <v>0</v>
      </c>
      <c r="G968" s="38" t="n">
        <v>38007.6</v>
      </c>
      <c r="H968" s="40" t="inlineStr">
        <is>
          <t>Borç</t>
        </is>
      </c>
      <c r="I968" s="38" t="n">
        <v>38007.6</v>
      </c>
      <c r="J968" s="38" t="n">
        <v>0</v>
      </c>
      <c r="K968" s="38" t="n">
        <v>38007.6</v>
      </c>
      <c r="L968" s="40" t="inlineStr">
        <is>
          <t>Borç</t>
        </is>
      </c>
    </row>
    <row r="969" s="34">
      <c r="A969" s="40" t="inlineStr">
        <is>
          <t>320.01.01.A094</t>
        </is>
      </c>
      <c r="B969" s="40" t="inlineStr">
        <is>
          <t>Aktepe Plastik Ambalaj Teksl.Gıda San.Tic.A.Ş.</t>
        </is>
      </c>
      <c r="C969" s="40" t="inlineStr">
        <is>
          <t>TRY</t>
        </is>
      </c>
      <c r="D969" s="40" t="inlineStr">
        <is>
          <t>ROYAL ADAM EVE</t>
        </is>
      </c>
      <c r="E969" s="38" t="n">
        <v>576</v>
      </c>
      <c r="F969" s="38" t="n">
        <v>3369.6</v>
      </c>
      <c r="G969" s="38" t="n">
        <v>-2793.6</v>
      </c>
      <c r="H969" s="40" t="inlineStr">
        <is>
          <t>Alacak</t>
        </is>
      </c>
      <c r="I969" s="38" t="n">
        <v>576</v>
      </c>
      <c r="J969" s="38" t="n">
        <v>3369.6</v>
      </c>
      <c r="K969" s="38" t="n">
        <v>-2793.6</v>
      </c>
      <c r="L969" s="40" t="inlineStr">
        <is>
          <t>Alacak</t>
        </is>
      </c>
    </row>
    <row r="970" s="34">
      <c r="A970" s="40" t="inlineStr">
        <is>
          <t>320.01.01.A094</t>
        </is>
      </c>
      <c r="B970" s="40" t="inlineStr">
        <is>
          <t>Aktepe Plastik Ambalaj Teksl.Gıda San.Tic.A.Ş.</t>
        </is>
      </c>
      <c r="C970" s="40" t="inlineStr">
        <is>
          <t>TRY</t>
        </is>
      </c>
      <c r="D970" s="40" t="inlineStr">
        <is>
          <t>ROYAL ALHAMBRA</t>
        </is>
      </c>
      <c r="E970" s="38" t="n">
        <v>0</v>
      </c>
      <c r="F970" s="38" t="n">
        <v>11195.28</v>
      </c>
      <c r="G970" s="38" t="n">
        <v>-11195.28</v>
      </c>
      <c r="H970" s="40" t="inlineStr">
        <is>
          <t>Alacak</t>
        </is>
      </c>
      <c r="I970" s="38" t="n">
        <v>0</v>
      </c>
      <c r="J970" s="38" t="n">
        <v>11195.28</v>
      </c>
      <c r="K970" s="38" t="n">
        <v>-11195.28</v>
      </c>
      <c r="L970" s="40" t="inlineStr">
        <is>
          <t>Alacak</t>
        </is>
      </c>
    </row>
    <row r="971" s="34">
      <c r="A971" s="40" t="inlineStr">
        <is>
          <t>320.01.01.A094</t>
        </is>
      </c>
      <c r="B971" s="40" t="inlineStr">
        <is>
          <t>Aktepe Plastik Ambalaj Teksl.Gıda San.Tic.A.Ş.</t>
        </is>
      </c>
      <c r="C971" s="40" t="inlineStr">
        <is>
          <t>TRY</t>
        </is>
      </c>
      <c r="D971" s="40" t="inlineStr">
        <is>
          <t>ROYAL DRAGON</t>
        </is>
      </c>
      <c r="E971" s="38" t="n">
        <v>0</v>
      </c>
      <c r="F971" s="38" t="n">
        <v>2856.96</v>
      </c>
      <c r="G971" s="38" t="n">
        <v>-2856.96</v>
      </c>
      <c r="H971" s="40" t="inlineStr">
        <is>
          <t>Alacak</t>
        </is>
      </c>
      <c r="I971" s="38" t="n">
        <v>0</v>
      </c>
      <c r="J971" s="38" t="n">
        <v>2856.96</v>
      </c>
      <c r="K971" s="38" t="n">
        <v>-2856.96</v>
      </c>
      <c r="L971" s="40" t="inlineStr">
        <is>
          <t>Alacak</t>
        </is>
      </c>
    </row>
    <row r="972" s="34">
      <c r="A972" s="40" t="inlineStr">
        <is>
          <t>320.01.01.A094</t>
        </is>
      </c>
      <c r="B972" s="40" t="inlineStr">
        <is>
          <t>Aktepe Plastik Ambalaj Teksl.Gıda San.Tic.A.Ş.</t>
        </is>
      </c>
      <c r="C972" s="40" t="inlineStr">
        <is>
          <t>TRY</t>
        </is>
      </c>
      <c r="D972" s="40" t="inlineStr">
        <is>
          <t>ROYAL HOLIDAY</t>
        </is>
      </c>
      <c r="E972" s="38" t="n">
        <v>0</v>
      </c>
      <c r="F972" s="38" t="n">
        <v>9792</v>
      </c>
      <c r="G972" s="38" t="n">
        <v>-9792</v>
      </c>
      <c r="H972" s="40" t="inlineStr">
        <is>
          <t>Alacak</t>
        </is>
      </c>
      <c r="I972" s="38" t="n">
        <v>0</v>
      </c>
      <c r="J972" s="38" t="n">
        <v>9792</v>
      </c>
      <c r="K972" s="38" t="n">
        <v>-9792</v>
      </c>
      <c r="L972" s="40" t="inlineStr">
        <is>
          <t>Alacak</t>
        </is>
      </c>
    </row>
    <row r="973" s="34">
      <c r="A973" s="40" t="inlineStr">
        <is>
          <t>320.01.01.A094</t>
        </is>
      </c>
      <c r="B973" s="40" t="inlineStr">
        <is>
          <t>Aktepe Plastik Ambalaj Teksl.Gıda San.Tic.A.Ş.</t>
        </is>
      </c>
      <c r="C973" s="40" t="inlineStr">
        <is>
          <t>TRY</t>
        </is>
      </c>
      <c r="D973" s="40" t="inlineStr">
        <is>
          <t>SERTAŞ MERKEZ</t>
        </is>
      </c>
      <c r="E973" s="38" t="n">
        <v>129314.4</v>
      </c>
      <c r="F973" s="38" t="n">
        <v>0</v>
      </c>
      <c r="G973" s="38" t="n">
        <v>129314.4</v>
      </c>
      <c r="H973" s="40" t="inlineStr">
        <is>
          <t>Borç</t>
        </is>
      </c>
      <c r="I973" s="38" t="n">
        <v>129314.4</v>
      </c>
      <c r="J973" s="38" t="n">
        <v>0</v>
      </c>
      <c r="K973" s="38" t="n">
        <v>129314.4</v>
      </c>
      <c r="L973" s="40" t="inlineStr">
        <is>
          <t>Borç</t>
        </is>
      </c>
    </row>
    <row r="974" s="34">
      <c r="A974" s="40" t="inlineStr">
        <is>
          <t>320.01.01.A095</t>
        </is>
      </c>
      <c r="B974" s="40" t="inlineStr">
        <is>
          <t>Aktif Uydu Ses Isık Sist.San.Ltd.Şti.</t>
        </is>
      </c>
      <c r="C974" s="40" t="inlineStr">
        <is>
          <t>TRY</t>
        </is>
      </c>
      <c r="D974" s="40" t="inlineStr">
        <is>
          <t>SERTAŞ MERKEZ</t>
        </is>
      </c>
      <c r="E974" s="38" t="n">
        <v>67294.82000000001</v>
      </c>
      <c r="F974" s="38" t="n">
        <v>0</v>
      </c>
      <c r="G974" s="38" t="n">
        <v>67294.82000000001</v>
      </c>
      <c r="H974" s="40" t="inlineStr">
        <is>
          <t>Borç</t>
        </is>
      </c>
      <c r="I974" s="38" t="n">
        <v>67294.82000000001</v>
      </c>
      <c r="J974" s="38" t="n">
        <v>0</v>
      </c>
      <c r="K974" s="38" t="n">
        <v>67294.82000000001</v>
      </c>
      <c r="L974" s="40" t="inlineStr">
        <is>
          <t>Borç</t>
        </is>
      </c>
    </row>
    <row r="975" s="34">
      <c r="A975" s="40" t="inlineStr">
        <is>
          <t>320.01.01.A096</t>
        </is>
      </c>
      <c r="B975" s="40" t="inlineStr">
        <is>
          <t>Aktifedt Gıda Tur.Paz.Dağ.San.A.Ş.</t>
        </is>
      </c>
      <c r="C975" s="40" t="inlineStr">
        <is>
          <t>TRY</t>
        </is>
      </c>
      <c r="D975" s="40" t="inlineStr">
        <is>
          <t>GİTAŞ MERKEZ</t>
        </is>
      </c>
      <c r="E975" s="38" t="n">
        <v>180784.95</v>
      </c>
      <c r="F975" s="38" t="n">
        <v>0</v>
      </c>
      <c r="G975" s="38" t="n">
        <v>180784.95</v>
      </c>
      <c r="H975" s="40" t="inlineStr">
        <is>
          <t>Borç</t>
        </is>
      </c>
      <c r="I975" s="38" t="n">
        <v>0</v>
      </c>
      <c r="J975" s="38" t="n">
        <v>0</v>
      </c>
      <c r="K975" s="38" t="n">
        <v>0</v>
      </c>
    </row>
    <row r="976" s="34">
      <c r="A976" s="40" t="inlineStr">
        <is>
          <t>320.01.01.A096</t>
        </is>
      </c>
      <c r="B976" s="40" t="inlineStr">
        <is>
          <t>Aktifedt Gıda Tur.Paz.Dağ.San.A.Ş.</t>
        </is>
      </c>
      <c r="C976" s="40" t="inlineStr">
        <is>
          <t>TRY</t>
        </is>
      </c>
      <c r="D976" s="40" t="inlineStr">
        <is>
          <t>ROYAL ADAM EVE</t>
        </is>
      </c>
      <c r="E976" s="38" t="n">
        <v>24411.7</v>
      </c>
      <c r="F976" s="38" t="n">
        <v>0</v>
      </c>
      <c r="G976" s="38" t="n">
        <v>24411.7</v>
      </c>
      <c r="H976" s="40" t="inlineStr">
        <is>
          <t>Borç</t>
        </is>
      </c>
      <c r="I976" s="38" t="n">
        <v>24411.7</v>
      </c>
      <c r="J976" s="38" t="n">
        <v>0</v>
      </c>
      <c r="K976" s="38" t="n">
        <v>24411.7</v>
      </c>
      <c r="L976" s="40" t="inlineStr">
        <is>
          <t>Borç</t>
        </is>
      </c>
    </row>
    <row r="977" s="34">
      <c r="A977" s="40" t="inlineStr">
        <is>
          <t>320.01.01.A096</t>
        </is>
      </c>
      <c r="B977" s="40" t="inlineStr">
        <is>
          <t>Aktifedt Gıda Tur.Paz.Dağ.San.A.Ş.</t>
        </is>
      </c>
      <c r="C977" s="40" t="inlineStr">
        <is>
          <t>TRY</t>
        </is>
      </c>
      <c r="D977" s="40" t="inlineStr">
        <is>
          <t>SERTAŞ MERKEZ</t>
        </is>
      </c>
      <c r="E977" s="38" t="n">
        <v>126452.01</v>
      </c>
      <c r="F977" s="38" t="n">
        <v>0</v>
      </c>
      <c r="G977" s="38" t="n">
        <v>126452.01</v>
      </c>
      <c r="H977" s="40" t="inlineStr">
        <is>
          <t>Borç</t>
        </is>
      </c>
      <c r="I977" s="38" t="n">
        <v>126452.01</v>
      </c>
      <c r="J977" s="38" t="n">
        <v>0</v>
      </c>
      <c r="K977" s="38" t="n">
        <v>126452.01</v>
      </c>
      <c r="L977" s="40" t="inlineStr">
        <is>
          <t>Borç</t>
        </is>
      </c>
    </row>
    <row r="978" s="34">
      <c r="A978" s="40" t="inlineStr">
        <is>
          <t>320.01.01.A098</t>
        </is>
      </c>
      <c r="B978" s="40" t="inlineStr">
        <is>
          <t>Akturk Dıs Tic. Ve Kimya San.Ltd.Şti.</t>
        </is>
      </c>
      <c r="C978" s="40" t="inlineStr">
        <is>
          <t>EUR</t>
        </is>
      </c>
      <c r="D978" s="40" t="inlineStr">
        <is>
          <t>SERTAŞ MERKEZ</t>
        </is>
      </c>
      <c r="E978" s="38" t="n">
        <v>418228.82</v>
      </c>
      <c r="F978" s="38" t="n">
        <v>15055.13</v>
      </c>
      <c r="G978" s="38" t="n">
        <v>403173.69</v>
      </c>
      <c r="H978" s="40" t="inlineStr">
        <is>
          <t>Borç</t>
        </is>
      </c>
      <c r="I978" s="38" t="n">
        <v>7901.71</v>
      </c>
      <c r="J978" s="38" t="n">
        <v>0</v>
      </c>
      <c r="K978" s="38" t="n">
        <v>7901.71</v>
      </c>
      <c r="L978" s="40" t="inlineStr">
        <is>
          <t>Borç</t>
        </is>
      </c>
    </row>
    <row r="979" s="34">
      <c r="A979" s="40" t="inlineStr">
        <is>
          <t>320.01.01.A100</t>
        </is>
      </c>
      <c r="B979" s="40" t="inlineStr">
        <is>
          <t>Akyıldız Yangın Güvenlik ve Elektr. Elektronik Sis. Tic. Ltd. Şti.</t>
        </is>
      </c>
      <c r="C979" s="40" t="inlineStr">
        <is>
          <t>TRY</t>
        </is>
      </c>
      <c r="D979" s="40" t="inlineStr">
        <is>
          <t>GİTAŞ MERKEZ</t>
        </is>
      </c>
      <c r="E979" s="38" t="n">
        <v>108562.5</v>
      </c>
      <c r="F979" s="38" t="n">
        <v>0</v>
      </c>
      <c r="G979" s="38" t="n">
        <v>108562.5</v>
      </c>
      <c r="H979" s="40" t="inlineStr">
        <is>
          <t>Borç</t>
        </is>
      </c>
      <c r="I979" s="38" t="n">
        <v>108562.5</v>
      </c>
      <c r="J979" s="38" t="n">
        <v>0</v>
      </c>
      <c r="K979" s="38" t="n">
        <v>108562.5</v>
      </c>
      <c r="L979" s="40" t="inlineStr">
        <is>
          <t>Borç</t>
        </is>
      </c>
    </row>
    <row r="980" s="34">
      <c r="A980" s="40" t="inlineStr">
        <is>
          <t>320.01.01.A100</t>
        </is>
      </c>
      <c r="B980" s="40" t="inlineStr">
        <is>
          <t>Akyıldız Yangın Güvenlik ve Elektr. Elektronik Sis. Tic. Ltd. Şti.</t>
        </is>
      </c>
      <c r="C980" s="40" t="inlineStr">
        <is>
          <t>TRY</t>
        </is>
      </c>
      <c r="D980" s="40" t="inlineStr">
        <is>
          <t>ROYAL ALHAMBRA</t>
        </is>
      </c>
      <c r="E980" s="38" t="n">
        <v>0</v>
      </c>
      <c r="F980" s="38" t="n">
        <v>6117.74</v>
      </c>
      <c r="G980" s="38" t="n">
        <v>-6117.74</v>
      </c>
      <c r="H980" s="40" t="inlineStr">
        <is>
          <t>Alacak</t>
        </is>
      </c>
      <c r="I980" s="38" t="n">
        <v>0</v>
      </c>
      <c r="J980" s="38" t="n">
        <v>6117.74</v>
      </c>
      <c r="K980" s="38" t="n">
        <v>-6117.74</v>
      </c>
      <c r="L980" s="40" t="inlineStr">
        <is>
          <t>Alacak</t>
        </is>
      </c>
    </row>
    <row r="981" s="34">
      <c r="A981" s="40" t="inlineStr">
        <is>
          <t>320.01.01.A100</t>
        </is>
      </c>
      <c r="B981" s="40" t="inlineStr">
        <is>
          <t>Akyıldız Yangın Güvenlik ve Elektr. Elektronik Sis. Tic. Ltd. Şti.</t>
        </is>
      </c>
      <c r="C981" s="40" t="inlineStr">
        <is>
          <t>TRY</t>
        </is>
      </c>
      <c r="D981" s="40" t="inlineStr">
        <is>
          <t>ROYAL HOLIDAY</t>
        </is>
      </c>
      <c r="E981" s="38" t="n">
        <v>0</v>
      </c>
      <c r="F981" s="38" t="n">
        <v>3641.6</v>
      </c>
      <c r="G981" s="38" t="n">
        <v>-3641.6</v>
      </c>
      <c r="H981" s="40" t="inlineStr">
        <is>
          <t>Alacak</t>
        </is>
      </c>
      <c r="I981" s="38" t="n">
        <v>0</v>
      </c>
      <c r="J981" s="38" t="n">
        <v>3641.6</v>
      </c>
      <c r="K981" s="38" t="n">
        <v>-3641.6</v>
      </c>
      <c r="L981" s="40" t="inlineStr">
        <is>
          <t>Alacak</t>
        </is>
      </c>
    </row>
    <row r="982" s="34">
      <c r="A982" s="40" t="inlineStr">
        <is>
          <t>320.01.01.A100</t>
        </is>
      </c>
      <c r="B982" s="40" t="inlineStr">
        <is>
          <t>Akyıldız Yangın Güvenlik ve Elektr. Elektronik Sis. Tic. Ltd. Şti.</t>
        </is>
      </c>
      <c r="C982" s="40" t="inlineStr">
        <is>
          <t>TRY</t>
        </is>
      </c>
      <c r="D982" s="40" t="inlineStr">
        <is>
          <t>ROYAL SEGINUS</t>
        </is>
      </c>
      <c r="E982" s="38" t="n">
        <v>0</v>
      </c>
      <c r="F982" s="38" t="n">
        <v>2866.21</v>
      </c>
      <c r="G982" s="38" t="n">
        <v>-2866.21</v>
      </c>
      <c r="H982" s="40" t="inlineStr">
        <is>
          <t>Alacak</t>
        </is>
      </c>
      <c r="I982" s="38" t="n">
        <v>0</v>
      </c>
      <c r="J982" s="38" t="n">
        <v>2866.21</v>
      </c>
      <c r="K982" s="38" t="n">
        <v>-2866.21</v>
      </c>
      <c r="L982" s="40" t="inlineStr">
        <is>
          <t>Alacak</t>
        </is>
      </c>
    </row>
    <row r="983" s="34">
      <c r="A983" s="40" t="inlineStr">
        <is>
          <t>320.01.01.A105</t>
        </is>
      </c>
      <c r="B983" s="40" t="inlineStr">
        <is>
          <t>Alaska Edt Gıda Dağıtım San.Tic.Ltd.Şti.</t>
        </is>
      </c>
      <c r="C983" s="40" t="inlineStr">
        <is>
          <t>TRY</t>
        </is>
      </c>
      <c r="D983" s="40" t="inlineStr">
        <is>
          <t>GİTAŞ MERKEZ</t>
        </is>
      </c>
      <c r="E983" s="38" t="n">
        <v>163443.26</v>
      </c>
      <c r="F983" s="38" t="n">
        <v>0</v>
      </c>
      <c r="G983" s="38" t="n">
        <v>163443.26</v>
      </c>
      <c r="H983" s="40" t="inlineStr">
        <is>
          <t>Borç</t>
        </is>
      </c>
      <c r="I983" s="38" t="n">
        <v>163443.26</v>
      </c>
      <c r="J983" s="38" t="n">
        <v>0</v>
      </c>
      <c r="K983" s="38" t="n">
        <v>163443.26</v>
      </c>
      <c r="L983" s="40" t="inlineStr">
        <is>
          <t>Borç</t>
        </is>
      </c>
    </row>
    <row r="984" s="34">
      <c r="A984" s="40" t="inlineStr">
        <is>
          <t>320.01.01.A105</t>
        </is>
      </c>
      <c r="B984" s="40" t="inlineStr">
        <is>
          <t>Alaska Edt Gıda Dağıtım San.Tic.Ltd.Şti.</t>
        </is>
      </c>
      <c r="C984" s="40" t="inlineStr">
        <is>
          <t>TRY</t>
        </is>
      </c>
      <c r="D984" s="40" t="inlineStr">
        <is>
          <t>ROYAL ADAM EVE</t>
        </is>
      </c>
      <c r="E984" s="38" t="n">
        <v>148283.16</v>
      </c>
      <c r="F984" s="38" t="n">
        <v>100091</v>
      </c>
      <c r="G984" s="38" t="n">
        <v>48192.16</v>
      </c>
      <c r="H984" s="40" t="inlineStr">
        <is>
          <t>Borç</t>
        </is>
      </c>
      <c r="I984" s="38" t="n">
        <v>148283.16</v>
      </c>
      <c r="J984" s="38" t="n">
        <v>100091</v>
      </c>
      <c r="K984" s="38" t="n">
        <v>48192.16</v>
      </c>
      <c r="L984" s="40" t="inlineStr">
        <is>
          <t>Borç</t>
        </is>
      </c>
    </row>
    <row r="985" s="34">
      <c r="A985" s="40" t="inlineStr">
        <is>
          <t>320.01.01.A105</t>
        </is>
      </c>
      <c r="B985" s="40" t="inlineStr">
        <is>
          <t>Alaska Edt Gıda Dağıtım San.Tic.Ltd.Şti.</t>
        </is>
      </c>
      <c r="C985" s="40" t="inlineStr">
        <is>
          <t>TRY</t>
        </is>
      </c>
      <c r="D985" s="40" t="inlineStr">
        <is>
          <t>ROYAL ALHAMBRA</t>
        </is>
      </c>
      <c r="E985" s="38" t="n">
        <v>0</v>
      </c>
      <c r="F985" s="38" t="n">
        <v>118675</v>
      </c>
      <c r="G985" s="38" t="n">
        <v>-118675</v>
      </c>
      <c r="H985" s="40" t="inlineStr">
        <is>
          <t>Alacak</t>
        </is>
      </c>
      <c r="I985" s="38" t="n">
        <v>0</v>
      </c>
      <c r="J985" s="38" t="n">
        <v>118675</v>
      </c>
      <c r="K985" s="38" t="n">
        <v>-118675</v>
      </c>
      <c r="L985" s="40" t="inlineStr">
        <is>
          <t>Alacak</t>
        </is>
      </c>
    </row>
    <row r="986" s="34">
      <c r="A986" s="40" t="inlineStr">
        <is>
          <t>320.01.01.A105</t>
        </is>
      </c>
      <c r="B986" s="40" t="inlineStr">
        <is>
          <t>Alaska Edt Gıda Dağıtım San.Tic.Ltd.Şti.</t>
        </is>
      </c>
      <c r="C986" s="40" t="inlineStr">
        <is>
          <t>TRY</t>
        </is>
      </c>
      <c r="D986" s="40" t="inlineStr">
        <is>
          <t>ROYAL DRAGON</t>
        </is>
      </c>
      <c r="E986" s="38" t="n">
        <v>0</v>
      </c>
      <c r="F986" s="38" t="n">
        <v>88842.13</v>
      </c>
      <c r="G986" s="38" t="n">
        <v>-88842.13</v>
      </c>
      <c r="H986" s="40" t="inlineStr">
        <is>
          <t>Alacak</t>
        </is>
      </c>
      <c r="I986" s="38" t="n">
        <v>0</v>
      </c>
      <c r="J986" s="38" t="n">
        <v>88842.13</v>
      </c>
      <c r="K986" s="38" t="n">
        <v>-88842.13</v>
      </c>
      <c r="L986" s="40" t="inlineStr">
        <is>
          <t>Alacak</t>
        </is>
      </c>
    </row>
    <row r="987" s="34">
      <c r="A987" s="40" t="inlineStr">
        <is>
          <t>320.01.01.A105</t>
        </is>
      </c>
      <c r="B987" s="40" t="inlineStr">
        <is>
          <t>Alaska Edt Gıda Dağıtım San.Tic.Ltd.Şti.</t>
        </is>
      </c>
      <c r="C987" s="40" t="inlineStr">
        <is>
          <t>TRY</t>
        </is>
      </c>
      <c r="D987" s="40" t="inlineStr">
        <is>
          <t>ROYAL HOLIDAY</t>
        </is>
      </c>
      <c r="E987" s="38" t="n">
        <v>0</v>
      </c>
      <c r="F987" s="38" t="n">
        <v>81002</v>
      </c>
      <c r="G987" s="38" t="n">
        <v>-81002</v>
      </c>
      <c r="H987" s="40" t="inlineStr">
        <is>
          <t>Alacak</t>
        </is>
      </c>
      <c r="I987" s="38" t="n">
        <v>0</v>
      </c>
      <c r="J987" s="38" t="n">
        <v>81002</v>
      </c>
      <c r="K987" s="38" t="n">
        <v>-81002</v>
      </c>
      <c r="L987" s="40" t="inlineStr">
        <is>
          <t>Alacak</t>
        </is>
      </c>
    </row>
    <row r="988" s="34">
      <c r="A988" s="40" t="inlineStr">
        <is>
          <t>320.01.01.A105</t>
        </is>
      </c>
      <c r="B988" s="40" t="inlineStr">
        <is>
          <t>Alaska Edt Gıda Dağıtım San.Tic.Ltd.Şti.</t>
        </is>
      </c>
      <c r="C988" s="40" t="inlineStr">
        <is>
          <t>TRY</t>
        </is>
      </c>
      <c r="D988" s="40" t="inlineStr">
        <is>
          <t>ROYAL SEGINUS</t>
        </is>
      </c>
      <c r="E988" s="38" t="n">
        <v>0</v>
      </c>
      <c r="F988" s="38" t="n">
        <v>102161.5</v>
      </c>
      <c r="G988" s="38" t="n">
        <v>-102161.5</v>
      </c>
      <c r="H988" s="40" t="inlineStr">
        <is>
          <t>Alacak</t>
        </is>
      </c>
      <c r="I988" s="38" t="n">
        <v>0</v>
      </c>
      <c r="J988" s="38" t="n">
        <v>102161.5</v>
      </c>
      <c r="K988" s="38" t="n">
        <v>-102161.5</v>
      </c>
      <c r="L988" s="40" t="inlineStr">
        <is>
          <t>Alacak</t>
        </is>
      </c>
    </row>
    <row r="989" s="34">
      <c r="A989" s="40" t="inlineStr">
        <is>
          <t>320.01.01.A105</t>
        </is>
      </c>
      <c r="B989" s="40" t="inlineStr">
        <is>
          <t>Alaska Edt Gıda Dağıtım San.Tic.Ltd.Şti.</t>
        </is>
      </c>
      <c r="C989" s="40" t="inlineStr">
        <is>
          <t>TRY</t>
        </is>
      </c>
      <c r="D989" s="40" t="inlineStr">
        <is>
          <t>SERTAŞ MERKEZ</t>
        </is>
      </c>
      <c r="E989" s="38" t="n">
        <v>311691.05</v>
      </c>
      <c r="F989" s="38" t="n">
        <v>0</v>
      </c>
      <c r="G989" s="38" t="n">
        <v>311691.05</v>
      </c>
      <c r="H989" s="40" t="inlineStr">
        <is>
          <t>Borç</t>
        </is>
      </c>
      <c r="I989" s="38" t="n">
        <v>311691.05</v>
      </c>
      <c r="J989" s="38" t="n">
        <v>0</v>
      </c>
      <c r="K989" s="38" t="n">
        <v>311691.05</v>
      </c>
      <c r="L989" s="40" t="inlineStr">
        <is>
          <t>Borç</t>
        </is>
      </c>
    </row>
    <row r="990" s="34">
      <c r="A990" s="40" t="inlineStr">
        <is>
          <t>320.01.01.A140</t>
        </is>
      </c>
      <c r="B990" s="40" t="inlineStr">
        <is>
          <t>Anda Dağt.Paz.Ve Tic.A.Ş.</t>
        </is>
      </c>
      <c r="C990" s="40" t="inlineStr">
        <is>
          <t>TRY</t>
        </is>
      </c>
      <c r="D990" s="40" t="inlineStr">
        <is>
          <t>ROYAL ADAM EVE</t>
        </is>
      </c>
      <c r="E990" s="38" t="n">
        <v>2571885.11</v>
      </c>
      <c r="F990" s="38" t="n">
        <v>0</v>
      </c>
      <c r="G990" s="38" t="n">
        <v>2571885.11</v>
      </c>
      <c r="H990" s="40" t="inlineStr">
        <is>
          <t>Borç</t>
        </is>
      </c>
      <c r="I990" s="38" t="n">
        <v>0</v>
      </c>
      <c r="J990" s="38" t="n">
        <v>0</v>
      </c>
      <c r="K990" s="38" t="n">
        <v>0</v>
      </c>
    </row>
    <row r="991" s="34">
      <c r="A991" s="40" t="inlineStr">
        <is>
          <t>320.01.01.A140</t>
        </is>
      </c>
      <c r="B991" s="40" t="inlineStr">
        <is>
          <t>Anda Dağt.Paz.Ve Tic.A.Ş.</t>
        </is>
      </c>
      <c r="C991" s="40" t="inlineStr">
        <is>
          <t>TRY</t>
        </is>
      </c>
      <c r="D991" s="40" t="inlineStr">
        <is>
          <t>ROYAL HOLIDAY</t>
        </is>
      </c>
      <c r="E991" s="38" t="n">
        <v>170000</v>
      </c>
      <c r="F991" s="38" t="n">
        <v>914437.51</v>
      </c>
      <c r="G991" s="38" t="n">
        <v>-744437.51</v>
      </c>
      <c r="H991" s="40" t="inlineStr">
        <is>
          <t>Alacak</t>
        </is>
      </c>
      <c r="I991" s="38" t="n">
        <v>170000</v>
      </c>
      <c r="J991" s="38" t="n">
        <v>914437.51</v>
      </c>
      <c r="K991" s="38" t="n">
        <v>-744437.51</v>
      </c>
      <c r="L991" s="40" t="inlineStr">
        <is>
          <t>Alacak</t>
        </is>
      </c>
    </row>
    <row r="992" s="34">
      <c r="A992" s="40" t="inlineStr">
        <is>
          <t>320.01.01.A140</t>
        </is>
      </c>
      <c r="B992" s="40" t="inlineStr">
        <is>
          <t>Anda Dağt.Paz.Ve Tic.A.Ş.</t>
        </is>
      </c>
      <c r="C992" s="40" t="inlineStr">
        <is>
          <t>TRY</t>
        </is>
      </c>
      <c r="D992" s="40" t="inlineStr">
        <is>
          <t>ROYAL SEGINUS</t>
        </is>
      </c>
      <c r="E992" s="38" t="n">
        <v>70000</v>
      </c>
      <c r="F992" s="38" t="n">
        <v>1106199.75</v>
      </c>
      <c r="G992" s="38" t="n">
        <v>-1036199.75</v>
      </c>
      <c r="H992" s="40" t="inlineStr">
        <is>
          <t>Alacak</t>
        </is>
      </c>
      <c r="I992" s="38" t="n">
        <v>70000</v>
      </c>
      <c r="J992" s="38" t="n">
        <v>1106199.75</v>
      </c>
      <c r="K992" s="38" t="n">
        <v>-1036199.75</v>
      </c>
      <c r="L992" s="40" t="inlineStr">
        <is>
          <t>Alacak</t>
        </is>
      </c>
    </row>
    <row r="993" s="34">
      <c r="A993" s="40" t="inlineStr">
        <is>
          <t>320.01.01.A140</t>
        </is>
      </c>
      <c r="B993" s="40" t="inlineStr">
        <is>
          <t>Anda Dağt.Paz.Ve Tic.A.Ş.</t>
        </is>
      </c>
      <c r="C993" s="40" t="inlineStr">
        <is>
          <t>TRY</t>
        </is>
      </c>
      <c r="D993" s="40" t="inlineStr">
        <is>
          <t>SERTAŞ MERKEZ</t>
        </is>
      </c>
      <c r="E993" s="38" t="n">
        <v>4557475.37</v>
      </c>
      <c r="F993" s="38" t="n">
        <v>0</v>
      </c>
      <c r="G993" s="38" t="n">
        <v>4557475.37</v>
      </c>
      <c r="H993" s="40" t="inlineStr">
        <is>
          <t>Borç</t>
        </is>
      </c>
      <c r="I993" s="38" t="n">
        <v>4557475.37</v>
      </c>
      <c r="J993" s="38" t="n">
        <v>0</v>
      </c>
      <c r="K993" s="38" t="n">
        <v>4557475.37</v>
      </c>
      <c r="L993" s="40" t="inlineStr">
        <is>
          <t>Borç</t>
        </is>
      </c>
    </row>
    <row r="994" s="34">
      <c r="A994" s="40" t="inlineStr">
        <is>
          <t>320.01.01.A143</t>
        </is>
      </c>
      <c r="B994" s="40" t="inlineStr">
        <is>
          <t>Anka Kahve Gıda San.Tic.Ltd.Şti.</t>
        </is>
      </c>
      <c r="C994" s="40" t="inlineStr">
        <is>
          <t>TRY</t>
        </is>
      </c>
      <c r="D994" s="40" t="inlineStr">
        <is>
          <t>GİTAŞ MERKEZ</t>
        </is>
      </c>
      <c r="E994" s="38" t="n">
        <v>27182.41</v>
      </c>
      <c r="F994" s="38" t="n">
        <v>0</v>
      </c>
      <c r="G994" s="38" t="n">
        <v>27182.41</v>
      </c>
      <c r="H994" s="40" t="inlineStr">
        <is>
          <t>Borç</t>
        </is>
      </c>
      <c r="I994" s="38" t="n">
        <v>0</v>
      </c>
      <c r="J994" s="38" t="n">
        <v>0</v>
      </c>
      <c r="K994" s="38" t="n">
        <v>0</v>
      </c>
    </row>
    <row r="995" s="34">
      <c r="A995" s="40" t="inlineStr">
        <is>
          <t>320.01.01.A143</t>
        </is>
      </c>
      <c r="B995" s="40" t="inlineStr">
        <is>
          <t>Anka Kahve Gıda San.Tic.Ltd.Şti.</t>
        </is>
      </c>
      <c r="C995" s="40" t="inlineStr">
        <is>
          <t>TRY</t>
        </is>
      </c>
      <c r="D995" s="40" t="inlineStr">
        <is>
          <t>ROYAL ADAM EVE</t>
        </is>
      </c>
      <c r="E995" s="38" t="n">
        <v>4537.31</v>
      </c>
      <c r="F995" s="38" t="n">
        <v>0</v>
      </c>
      <c r="G995" s="38" t="n">
        <v>4537.31</v>
      </c>
      <c r="H995" s="40" t="inlineStr">
        <is>
          <t>Borç</t>
        </is>
      </c>
      <c r="I995" s="38" t="n">
        <v>4537.31</v>
      </c>
      <c r="J995" s="38" t="n">
        <v>0</v>
      </c>
      <c r="K995" s="38" t="n">
        <v>4537.31</v>
      </c>
      <c r="L995" s="40" t="inlineStr">
        <is>
          <t>Borç</t>
        </is>
      </c>
    </row>
    <row r="996" s="34">
      <c r="A996" s="40" t="inlineStr">
        <is>
          <t>320.01.01.A143</t>
        </is>
      </c>
      <c r="B996" s="40" t="inlineStr">
        <is>
          <t>Anka Kahve Gıda San.Tic.Ltd.Şti.</t>
        </is>
      </c>
      <c r="C996" s="40" t="inlineStr">
        <is>
          <t>TRY</t>
        </is>
      </c>
      <c r="D996" s="40" t="inlineStr">
        <is>
          <t>SERTAŞ MERKEZ</t>
        </is>
      </c>
      <c r="E996" s="38" t="n">
        <v>19099.72</v>
      </c>
      <c r="F996" s="38" t="n">
        <v>0</v>
      </c>
      <c r="G996" s="38" t="n">
        <v>19099.72</v>
      </c>
      <c r="H996" s="40" t="inlineStr">
        <is>
          <t>Borç</t>
        </is>
      </c>
      <c r="I996" s="38" t="n">
        <v>19099.72</v>
      </c>
      <c r="J996" s="38" t="n">
        <v>0</v>
      </c>
      <c r="K996" s="38" t="n">
        <v>19099.72</v>
      </c>
      <c r="L996" s="40" t="inlineStr">
        <is>
          <t>Borç</t>
        </is>
      </c>
    </row>
    <row r="997" s="34">
      <c r="A997" s="40" t="inlineStr">
        <is>
          <t>320.01.01.A149</t>
        </is>
      </c>
      <c r="B997" s="40" t="inlineStr">
        <is>
          <t>Ant Tesisat Isıtma ve Soğ. Sis. İnş. İhr. Tic. Ltd. Şti.</t>
        </is>
      </c>
      <c r="C997" s="40" t="inlineStr">
        <is>
          <t>TRY</t>
        </is>
      </c>
      <c r="D997" s="40" t="inlineStr">
        <is>
          <t>GİTAŞ MERKEZ</t>
        </is>
      </c>
      <c r="E997" s="38" t="n">
        <v>22920</v>
      </c>
      <c r="F997" s="38" t="n">
        <v>0</v>
      </c>
      <c r="G997" s="38" t="n">
        <v>22920</v>
      </c>
      <c r="H997" s="40" t="inlineStr">
        <is>
          <t>Borç</t>
        </is>
      </c>
      <c r="I997" s="38" t="n">
        <v>0</v>
      </c>
      <c r="J997" s="38" t="n">
        <v>0</v>
      </c>
      <c r="K997" s="38" t="n">
        <v>0</v>
      </c>
    </row>
    <row r="998" s="34">
      <c r="A998" s="40" t="inlineStr">
        <is>
          <t>320.01.01.A149</t>
        </is>
      </c>
      <c r="B998" s="40" t="inlineStr">
        <is>
          <t>Ant Tesisat Isıtma ve Soğ. Sis. İnş. İhr. Tic. Ltd. Şti.</t>
        </is>
      </c>
      <c r="C998" s="40" t="inlineStr">
        <is>
          <t>TRY</t>
        </is>
      </c>
      <c r="D998" s="40" t="inlineStr">
        <is>
          <t>ROYAL ADAM EVE</t>
        </is>
      </c>
      <c r="E998" s="38" t="n">
        <v>0</v>
      </c>
      <c r="F998" s="38" t="n">
        <v>36000</v>
      </c>
      <c r="G998" s="38" t="n">
        <v>-36000</v>
      </c>
      <c r="H998" s="40" t="inlineStr">
        <is>
          <t>Alacak</t>
        </is>
      </c>
      <c r="I998" s="38" t="n">
        <v>0</v>
      </c>
      <c r="J998" s="38" t="n">
        <v>36000</v>
      </c>
      <c r="K998" s="38" t="n">
        <v>-36000</v>
      </c>
      <c r="L998" s="40" t="inlineStr">
        <is>
          <t>Alacak</t>
        </is>
      </c>
    </row>
    <row r="999" s="34">
      <c r="A999" s="40" t="inlineStr">
        <is>
          <t>320.01.01.A149</t>
        </is>
      </c>
      <c r="B999" s="40" t="inlineStr">
        <is>
          <t>Ant Tesisat Isıtma ve Soğ. Sis. İnş. İhr. Tic. Ltd. Şti.</t>
        </is>
      </c>
      <c r="C999" s="40" t="inlineStr">
        <is>
          <t>TRY</t>
        </is>
      </c>
      <c r="D999" s="40" t="inlineStr">
        <is>
          <t>ROYAL SEGINUS</t>
        </is>
      </c>
      <c r="E999" s="38" t="n">
        <v>0</v>
      </c>
      <c r="F999" s="38" t="n">
        <v>36120</v>
      </c>
      <c r="G999" s="38" t="n">
        <v>-36120</v>
      </c>
      <c r="H999" s="40" t="inlineStr">
        <is>
          <t>Alacak</t>
        </is>
      </c>
      <c r="I999" s="38" t="n">
        <v>0</v>
      </c>
      <c r="J999" s="38" t="n">
        <v>36120</v>
      </c>
      <c r="K999" s="38" t="n">
        <v>-36120</v>
      </c>
      <c r="L999" s="40" t="inlineStr">
        <is>
          <t>Alacak</t>
        </is>
      </c>
    </row>
    <row r="1000" s="34">
      <c r="A1000" s="40" t="inlineStr">
        <is>
          <t>320.01.01.A149</t>
        </is>
      </c>
      <c r="B1000" s="40" t="inlineStr">
        <is>
          <t>Ant Tesisat Isıtma ve Soğ. Sis. İnş. İhr. Tic. Ltd. Şti.</t>
        </is>
      </c>
      <c r="C1000" s="40" t="inlineStr">
        <is>
          <t>TRY</t>
        </is>
      </c>
      <c r="D1000" s="40" t="inlineStr">
        <is>
          <t>SERTAŞ MERKEZ</t>
        </is>
      </c>
      <c r="E1000" s="38" t="n">
        <v>74833.8</v>
      </c>
      <c r="F1000" s="38" t="n">
        <v>0</v>
      </c>
      <c r="G1000" s="38" t="n">
        <v>74833.8</v>
      </c>
      <c r="H1000" s="40" t="inlineStr">
        <is>
          <t>Borç</t>
        </is>
      </c>
      <c r="I1000" s="38" t="n">
        <v>74833.8</v>
      </c>
      <c r="J1000" s="38" t="n">
        <v>0</v>
      </c>
      <c r="K1000" s="38" t="n">
        <v>74833.8</v>
      </c>
      <c r="L1000" s="40" t="inlineStr">
        <is>
          <t>Borç</t>
        </is>
      </c>
    </row>
    <row r="1001" s="34">
      <c r="A1001" s="40" t="inlineStr">
        <is>
          <t>320.01.01.A156</t>
        </is>
      </c>
      <c r="B1001" s="40" t="inlineStr">
        <is>
          <t>Antalya Coşkun Pastacılık Gıda San.Ve Ti</t>
        </is>
      </c>
      <c r="C1001" s="40" t="inlineStr">
        <is>
          <t>TRY</t>
        </is>
      </c>
      <c r="D1001" s="40" t="inlineStr">
        <is>
          <t>SERTAŞ MERKEZ</t>
        </is>
      </c>
      <c r="E1001" s="38" t="n">
        <v>360</v>
      </c>
      <c r="F1001" s="38" t="n">
        <v>0</v>
      </c>
      <c r="G1001" s="38" t="n">
        <v>360</v>
      </c>
      <c r="H1001" s="40" t="inlineStr">
        <is>
          <t>Borç</t>
        </is>
      </c>
      <c r="I1001" s="38" t="n">
        <v>360</v>
      </c>
      <c r="J1001" s="38" t="n">
        <v>0</v>
      </c>
      <c r="K1001" s="38" t="n">
        <v>360</v>
      </c>
      <c r="L1001" s="40" t="inlineStr">
        <is>
          <t>Borç</t>
        </is>
      </c>
    </row>
    <row r="1002" s="34">
      <c r="A1002" s="40" t="inlineStr">
        <is>
          <t>320.01.01.A158</t>
        </is>
      </c>
      <c r="B1002" s="40" t="inlineStr">
        <is>
          <t>Antalya Edt Gıda Turizm Otomotıv Insaat</t>
        </is>
      </c>
      <c r="C1002" s="40" t="inlineStr">
        <is>
          <t>TRY</t>
        </is>
      </c>
      <c r="D1002" s="40" t="inlineStr">
        <is>
          <t>GİTAŞ MERKEZ</t>
        </is>
      </c>
      <c r="E1002" s="38" t="n">
        <v>253210.54</v>
      </c>
      <c r="F1002" s="38" t="n">
        <v>0</v>
      </c>
      <c r="G1002" s="38" t="n">
        <v>253210.54</v>
      </c>
      <c r="H1002" s="40" t="inlineStr">
        <is>
          <t>Borç</t>
        </is>
      </c>
      <c r="I1002" s="38" t="n">
        <v>253210.54</v>
      </c>
      <c r="J1002" s="38" t="n">
        <v>0</v>
      </c>
      <c r="K1002" s="38" t="n">
        <v>253210.54</v>
      </c>
      <c r="L1002" s="40" t="inlineStr">
        <is>
          <t>Borç</t>
        </is>
      </c>
    </row>
    <row r="1003" s="34">
      <c r="A1003" s="40" t="inlineStr">
        <is>
          <t>320.01.01.A158</t>
        </is>
      </c>
      <c r="B1003" s="40" t="inlineStr">
        <is>
          <t>Antalya Edt Gıda Turizm Otomotıv Insaat</t>
        </is>
      </c>
      <c r="C1003" s="40" t="inlineStr">
        <is>
          <t>TRY</t>
        </is>
      </c>
      <c r="D1003" s="40" t="inlineStr">
        <is>
          <t>ROYAL ADAM EVE</t>
        </is>
      </c>
      <c r="E1003" s="38" t="n">
        <v>23517.85</v>
      </c>
      <c r="F1003" s="38" t="n">
        <v>4726.8</v>
      </c>
      <c r="G1003" s="38" t="n">
        <v>18791.05</v>
      </c>
      <c r="H1003" s="40" t="inlineStr">
        <is>
          <t>Borç</t>
        </is>
      </c>
      <c r="I1003" s="38" t="n">
        <v>23517.85</v>
      </c>
      <c r="J1003" s="38" t="n">
        <v>4726.8</v>
      </c>
      <c r="K1003" s="38" t="n">
        <v>18791.05</v>
      </c>
      <c r="L1003" s="40" t="inlineStr">
        <is>
          <t>Borç</t>
        </is>
      </c>
    </row>
    <row r="1004" s="34">
      <c r="A1004" s="40" t="inlineStr">
        <is>
          <t>320.01.01.A158</t>
        </is>
      </c>
      <c r="B1004" s="40" t="inlineStr">
        <is>
          <t>Antalya Edt Gıda Turizm Otomotıv Insaat</t>
        </is>
      </c>
      <c r="C1004" s="40" t="inlineStr">
        <is>
          <t>TRY</t>
        </is>
      </c>
      <c r="D1004" s="40" t="inlineStr">
        <is>
          <t>ROYAL ALHAMBRA</t>
        </is>
      </c>
      <c r="E1004" s="38" t="n">
        <v>0</v>
      </c>
      <c r="F1004" s="38" t="n">
        <v>33557.25</v>
      </c>
      <c r="G1004" s="38" t="n">
        <v>-33557.25</v>
      </c>
      <c r="H1004" s="40" t="inlineStr">
        <is>
          <t>Alacak</t>
        </is>
      </c>
      <c r="I1004" s="38" t="n">
        <v>0</v>
      </c>
      <c r="J1004" s="38" t="n">
        <v>33557.25</v>
      </c>
      <c r="K1004" s="38" t="n">
        <v>-33557.25</v>
      </c>
      <c r="L1004" s="40" t="inlineStr">
        <is>
          <t>Alacak</t>
        </is>
      </c>
    </row>
    <row r="1005" s="34">
      <c r="A1005" s="40" t="inlineStr">
        <is>
          <t>320.01.01.A158</t>
        </is>
      </c>
      <c r="B1005" s="40" t="inlineStr">
        <is>
          <t>Antalya Edt Gıda Turizm Otomotıv Insaat</t>
        </is>
      </c>
      <c r="C1005" s="40" t="inlineStr">
        <is>
          <t>TRY</t>
        </is>
      </c>
      <c r="D1005" s="40" t="inlineStr">
        <is>
          <t>ROYAL DRAGON</t>
        </is>
      </c>
      <c r="E1005" s="38" t="n">
        <v>0</v>
      </c>
      <c r="F1005" s="38" t="n">
        <v>10317.15</v>
      </c>
      <c r="G1005" s="38" t="n">
        <v>-10317.15</v>
      </c>
      <c r="H1005" s="40" t="inlineStr">
        <is>
          <t>Alacak</t>
        </is>
      </c>
      <c r="I1005" s="38" t="n">
        <v>0</v>
      </c>
      <c r="J1005" s="38" t="n">
        <v>10317.15</v>
      </c>
      <c r="K1005" s="38" t="n">
        <v>-10317.15</v>
      </c>
      <c r="L1005" s="40" t="inlineStr">
        <is>
          <t>Alacak</t>
        </is>
      </c>
    </row>
    <row r="1006" s="34">
      <c r="A1006" s="40" t="inlineStr">
        <is>
          <t>320.01.01.A158</t>
        </is>
      </c>
      <c r="B1006" s="40" t="inlineStr">
        <is>
          <t>Antalya Edt Gıda Turizm Otomotıv Insaat</t>
        </is>
      </c>
      <c r="C1006" s="40" t="inlineStr">
        <is>
          <t>TRY</t>
        </is>
      </c>
      <c r="D1006" s="40" t="inlineStr">
        <is>
          <t>ROYAL HOLIDAY</t>
        </is>
      </c>
      <c r="E1006" s="38" t="n">
        <v>0</v>
      </c>
      <c r="F1006" s="38" t="n">
        <v>30845.4</v>
      </c>
      <c r="G1006" s="38" t="n">
        <v>-30845.4</v>
      </c>
      <c r="H1006" s="40" t="inlineStr">
        <is>
          <t>Alacak</t>
        </is>
      </c>
      <c r="I1006" s="38" t="n">
        <v>0</v>
      </c>
      <c r="J1006" s="38" t="n">
        <v>30845.4</v>
      </c>
      <c r="K1006" s="38" t="n">
        <v>-30845.4</v>
      </c>
      <c r="L1006" s="40" t="inlineStr">
        <is>
          <t>Alacak</t>
        </is>
      </c>
    </row>
    <row r="1007" s="34">
      <c r="A1007" s="40" t="inlineStr">
        <is>
          <t>320.01.01.A158</t>
        </is>
      </c>
      <c r="B1007" s="40" t="inlineStr">
        <is>
          <t>Antalya Edt Gıda Turizm Otomotıv Insaat</t>
        </is>
      </c>
      <c r="C1007" s="40" t="inlineStr">
        <is>
          <t>TRY</t>
        </is>
      </c>
      <c r="D1007" s="40" t="inlineStr">
        <is>
          <t>ROYAL SEGINUS</t>
        </is>
      </c>
      <c r="E1007" s="38" t="n">
        <v>0</v>
      </c>
      <c r="F1007" s="38" t="n">
        <v>28845.6</v>
      </c>
      <c r="G1007" s="38" t="n">
        <v>-28845.6</v>
      </c>
      <c r="H1007" s="40" t="inlineStr">
        <is>
          <t>Alacak</t>
        </is>
      </c>
      <c r="I1007" s="38" t="n">
        <v>0</v>
      </c>
      <c r="J1007" s="38" t="n">
        <v>28845.6</v>
      </c>
      <c r="K1007" s="38" t="n">
        <v>-28845.6</v>
      </c>
      <c r="L1007" s="40" t="inlineStr">
        <is>
          <t>Alacak</t>
        </is>
      </c>
    </row>
    <row r="1008" s="34">
      <c r="A1008" s="40" t="inlineStr">
        <is>
          <t>320.01.01.A158</t>
        </is>
      </c>
      <c r="B1008" s="40" t="inlineStr">
        <is>
          <t>Antalya Edt Gıda Turizm Otomotıv Insaat</t>
        </is>
      </c>
      <c r="C1008" s="40" t="inlineStr">
        <is>
          <t>TRY</t>
        </is>
      </c>
      <c r="D1008" s="40" t="inlineStr">
        <is>
          <t>SERTAŞ MERKEZ</t>
        </is>
      </c>
      <c r="E1008" s="38" t="n">
        <v>107258.47</v>
      </c>
      <c r="F1008" s="38" t="n">
        <v>0</v>
      </c>
      <c r="G1008" s="38" t="n">
        <v>107258.47</v>
      </c>
      <c r="H1008" s="40" t="inlineStr">
        <is>
          <t>Borç</t>
        </is>
      </c>
      <c r="I1008" s="38" t="n">
        <v>107258.47</v>
      </c>
      <c r="J1008" s="38" t="n">
        <v>0</v>
      </c>
      <c r="K1008" s="38" t="n">
        <v>107258.47</v>
      </c>
      <c r="L1008" s="40" t="inlineStr">
        <is>
          <t>Borç</t>
        </is>
      </c>
    </row>
    <row r="1009" s="34">
      <c r="A1009" s="40" t="inlineStr">
        <is>
          <t>320.01.01.A161</t>
        </is>
      </c>
      <c r="B1009" s="40" t="inlineStr">
        <is>
          <t>Antalya Il Saglık Mud.Idari Ve Mali Isl.</t>
        </is>
      </c>
      <c r="C1009" s="40" t="inlineStr">
        <is>
          <t>TRY</t>
        </is>
      </c>
      <c r="D1009" s="40" t="inlineStr">
        <is>
          <t>GİTAŞ MERKEZ</t>
        </is>
      </c>
      <c r="E1009" s="38" t="n">
        <v>46865</v>
      </c>
      <c r="F1009" s="38" t="n">
        <v>28840</v>
      </c>
      <c r="G1009" s="38" t="n">
        <v>18025</v>
      </c>
      <c r="H1009" s="40" t="inlineStr">
        <is>
          <t>Borç</t>
        </is>
      </c>
      <c r="I1009" s="38" t="n">
        <v>46865</v>
      </c>
      <c r="J1009" s="38" t="n">
        <v>28840</v>
      </c>
      <c r="K1009" s="38" t="n">
        <v>18025</v>
      </c>
      <c r="L1009" s="40" t="inlineStr">
        <is>
          <t>Borç</t>
        </is>
      </c>
    </row>
    <row r="1010" s="34">
      <c r="A1010" s="40" t="inlineStr">
        <is>
          <t>320.01.01.A161</t>
        </is>
      </c>
      <c r="B1010" s="40" t="inlineStr">
        <is>
          <t>Antalya Il Saglık Mud.Idari Ve Mali Isl.</t>
        </is>
      </c>
      <c r="C1010" s="40" t="inlineStr">
        <is>
          <t>TRY</t>
        </is>
      </c>
      <c r="D1010" s="40" t="inlineStr">
        <is>
          <t>SERTAŞ MERKEZ</t>
        </is>
      </c>
      <c r="E1010" s="38" t="n">
        <v>39655</v>
      </c>
      <c r="F1010" s="38" t="n">
        <v>39655</v>
      </c>
      <c r="G1010" s="38" t="n">
        <v>0</v>
      </c>
      <c r="I1010" s="38" t="n">
        <v>39655</v>
      </c>
      <c r="J1010" s="38" t="n">
        <v>39655</v>
      </c>
      <c r="K1010" s="38" t="n">
        <v>0</v>
      </c>
    </row>
    <row r="1011" s="34">
      <c r="A1011" s="40" t="inlineStr">
        <is>
          <t>320.01.01.A164</t>
        </is>
      </c>
      <c r="B1011" s="40" t="inlineStr">
        <is>
          <t>Antalya Kalibrasyon Ltd.Şti.</t>
        </is>
      </c>
      <c r="C1011" s="40" t="inlineStr">
        <is>
          <t>TRY</t>
        </is>
      </c>
      <c r="D1011" s="40" t="inlineStr">
        <is>
          <t>GİTAŞ MERKEZ</t>
        </is>
      </c>
      <c r="E1011" s="38" t="n">
        <v>73812</v>
      </c>
      <c r="F1011" s="38" t="n">
        <v>0</v>
      </c>
      <c r="G1011" s="38" t="n">
        <v>73812</v>
      </c>
      <c r="H1011" s="40" t="inlineStr">
        <is>
          <t>Borç</t>
        </is>
      </c>
      <c r="I1011" s="38" t="n">
        <v>0</v>
      </c>
      <c r="J1011" s="38" t="n">
        <v>0</v>
      </c>
      <c r="K1011" s="38" t="n">
        <v>0</v>
      </c>
    </row>
    <row r="1012" s="34">
      <c r="A1012" s="40" t="inlineStr">
        <is>
          <t>320.01.01.A164</t>
        </is>
      </c>
      <c r="B1012" s="40" t="inlineStr">
        <is>
          <t>Antalya Kalibrasyon Ltd.Şti.</t>
        </is>
      </c>
      <c r="C1012" s="40" t="inlineStr">
        <is>
          <t>TRY</t>
        </is>
      </c>
      <c r="D1012" s="40" t="inlineStr">
        <is>
          <t>ROYAL HOLIDAY</t>
        </is>
      </c>
      <c r="E1012" s="38" t="n">
        <v>0</v>
      </c>
      <c r="F1012" s="38" t="n">
        <v>82080</v>
      </c>
      <c r="G1012" s="38" t="n">
        <v>-82080</v>
      </c>
      <c r="H1012" s="40" t="inlineStr">
        <is>
          <t>Alacak</t>
        </is>
      </c>
      <c r="I1012" s="38" t="n">
        <v>0</v>
      </c>
      <c r="J1012" s="38" t="n">
        <v>82080</v>
      </c>
      <c r="K1012" s="38" t="n">
        <v>-82080</v>
      </c>
      <c r="L1012" s="40" t="inlineStr">
        <is>
          <t>Alacak</t>
        </is>
      </c>
    </row>
    <row r="1013" s="34">
      <c r="A1013" s="40" t="inlineStr">
        <is>
          <t>320.01.01.A164</t>
        </is>
      </c>
      <c r="B1013" s="40" t="inlineStr">
        <is>
          <t>Antalya Kalibrasyon Ltd.Şti.</t>
        </is>
      </c>
      <c r="C1013" s="40" t="inlineStr">
        <is>
          <t>TRY</t>
        </is>
      </c>
      <c r="D1013" s="40" t="inlineStr">
        <is>
          <t>ROYAL SEGINUS</t>
        </is>
      </c>
      <c r="E1013" s="38" t="n">
        <v>0</v>
      </c>
      <c r="F1013" s="38" t="n">
        <v>92592</v>
      </c>
      <c r="G1013" s="38" t="n">
        <v>-92592</v>
      </c>
      <c r="H1013" s="40" t="inlineStr">
        <is>
          <t>Alacak</t>
        </is>
      </c>
      <c r="I1013" s="38" t="n">
        <v>0</v>
      </c>
      <c r="J1013" s="38" t="n">
        <v>92592</v>
      </c>
      <c r="K1013" s="38" t="n">
        <v>-92592</v>
      </c>
      <c r="L1013" s="40" t="inlineStr">
        <is>
          <t>Alacak</t>
        </is>
      </c>
    </row>
    <row r="1014" s="34">
      <c r="A1014" s="40" t="inlineStr">
        <is>
          <t>320.01.01.A164</t>
        </is>
      </c>
      <c r="B1014" s="40" t="inlineStr">
        <is>
          <t>Antalya Kalibrasyon Ltd.Şti.</t>
        </is>
      </c>
      <c r="C1014" s="40" t="inlineStr">
        <is>
          <t>TRY</t>
        </is>
      </c>
      <c r="D1014" s="40" t="inlineStr">
        <is>
          <t>SERTAŞ MERKEZ</t>
        </is>
      </c>
      <c r="E1014" s="38" t="n">
        <v>120756</v>
      </c>
      <c r="F1014" s="38" t="n">
        <v>0</v>
      </c>
      <c r="G1014" s="38" t="n">
        <v>120756</v>
      </c>
      <c r="H1014" s="40" t="inlineStr">
        <is>
          <t>Borç</t>
        </is>
      </c>
      <c r="I1014" s="38" t="n">
        <v>120756</v>
      </c>
      <c r="J1014" s="38" t="n">
        <v>0</v>
      </c>
      <c r="K1014" s="38" t="n">
        <v>120756</v>
      </c>
      <c r="L1014" s="40" t="inlineStr">
        <is>
          <t>Borç</t>
        </is>
      </c>
    </row>
    <row r="1015" s="34">
      <c r="A1015" s="40" t="inlineStr">
        <is>
          <t>320.01.01.A165</t>
        </is>
      </c>
      <c r="B1015" s="40" t="inlineStr">
        <is>
          <t>Antalya Pamukkale Paz.Tic.Ltd.Şti</t>
        </is>
      </c>
      <c r="C1015" s="40" t="inlineStr">
        <is>
          <t>TRY</t>
        </is>
      </c>
      <c r="D1015" s="40" t="inlineStr">
        <is>
          <t>GİTAŞ MERKEZ</t>
        </is>
      </c>
      <c r="E1015" s="38" t="n">
        <v>259200</v>
      </c>
      <c r="F1015" s="38" t="n">
        <v>0</v>
      </c>
      <c r="G1015" s="38" t="n">
        <v>259200</v>
      </c>
      <c r="H1015" s="40" t="inlineStr">
        <is>
          <t>Borç</t>
        </is>
      </c>
      <c r="I1015" s="38" t="n">
        <v>259200</v>
      </c>
      <c r="J1015" s="38" t="n">
        <v>0</v>
      </c>
      <c r="K1015" s="38" t="n">
        <v>259200</v>
      </c>
      <c r="L1015" s="40" t="inlineStr">
        <is>
          <t>Borç</t>
        </is>
      </c>
    </row>
    <row r="1016" s="34">
      <c r="A1016" s="40" t="inlineStr">
        <is>
          <t>320.01.01.A165</t>
        </is>
      </c>
      <c r="B1016" s="40" t="inlineStr">
        <is>
          <t>Antalya Pamukkale Paz.Tic.Ltd.Şti</t>
        </is>
      </c>
      <c r="C1016" s="40" t="inlineStr">
        <is>
          <t>TRY</t>
        </is>
      </c>
      <c r="D1016" s="40" t="inlineStr">
        <is>
          <t>ROYAL HOLIDAY</t>
        </is>
      </c>
      <c r="E1016" s="38" t="n">
        <v>0</v>
      </c>
      <c r="F1016" s="38" t="n">
        <v>474354.43</v>
      </c>
      <c r="G1016" s="38" t="n">
        <v>-474354.43</v>
      </c>
      <c r="H1016" s="40" t="inlineStr">
        <is>
          <t>Alacak</t>
        </is>
      </c>
      <c r="I1016" s="38" t="n">
        <v>0</v>
      </c>
      <c r="J1016" s="38" t="n">
        <v>474354.43</v>
      </c>
      <c r="K1016" s="38" t="n">
        <v>-474354.43</v>
      </c>
      <c r="L1016" s="40" t="inlineStr">
        <is>
          <t>Alacak</t>
        </is>
      </c>
    </row>
    <row r="1017" s="34">
      <c r="A1017" s="40" t="inlineStr">
        <is>
          <t>320.01.01.A165</t>
        </is>
      </c>
      <c r="B1017" s="40" t="inlineStr">
        <is>
          <t>Antalya Pamukkale Paz.Tic.Ltd.Şti</t>
        </is>
      </c>
      <c r="C1017" s="40" t="inlineStr">
        <is>
          <t>TRY</t>
        </is>
      </c>
      <c r="D1017" s="40" t="inlineStr">
        <is>
          <t>SERTAŞ MERKEZ</t>
        </is>
      </c>
      <c r="E1017" s="38" t="n">
        <v>308880</v>
      </c>
      <c r="F1017" s="38" t="n">
        <v>0</v>
      </c>
      <c r="G1017" s="38" t="n">
        <v>308880</v>
      </c>
      <c r="H1017" s="40" t="inlineStr">
        <is>
          <t>Borç</t>
        </is>
      </c>
      <c r="I1017" s="38" t="n">
        <v>308880</v>
      </c>
      <c r="J1017" s="38" t="n">
        <v>0</v>
      </c>
      <c r="K1017" s="38" t="n">
        <v>308880</v>
      </c>
      <c r="L1017" s="40" t="inlineStr">
        <is>
          <t>Borç</t>
        </is>
      </c>
    </row>
    <row r="1018" s="34">
      <c r="A1018" s="40" t="inlineStr">
        <is>
          <t>320.01.01.A167</t>
        </is>
      </c>
      <c r="B1018" s="40" t="inlineStr">
        <is>
          <t>Antalya Sular İdaresi Müdürlüğü (Asat)</t>
        </is>
      </c>
      <c r="C1018" s="40" t="inlineStr">
        <is>
          <t>TRY</t>
        </is>
      </c>
      <c r="D1018" s="40" t="inlineStr">
        <is>
          <t>GİTAŞ MERKEZ</t>
        </is>
      </c>
      <c r="E1018" s="38" t="n">
        <v>7213432.21</v>
      </c>
      <c r="F1018" s="38" t="n">
        <v>0</v>
      </c>
      <c r="G1018" s="38" t="n">
        <v>7213432.21</v>
      </c>
      <c r="H1018" s="40" t="inlineStr">
        <is>
          <t>Borç</t>
        </is>
      </c>
      <c r="I1018" s="38" t="n">
        <v>7213432.21</v>
      </c>
      <c r="J1018" s="38" t="n">
        <v>0</v>
      </c>
      <c r="K1018" s="38" t="n">
        <v>7213432.21</v>
      </c>
      <c r="L1018" s="40" t="inlineStr">
        <is>
          <t>Borç</t>
        </is>
      </c>
    </row>
    <row r="1019" s="34">
      <c r="A1019" s="40" t="inlineStr">
        <is>
          <t>320.01.01.A167</t>
        </is>
      </c>
      <c r="B1019" s="40" t="inlineStr">
        <is>
          <t>Antalya Sular İdaresi Müdürlüğü (Asat)</t>
        </is>
      </c>
      <c r="C1019" s="40" t="inlineStr">
        <is>
          <t>TRY</t>
        </is>
      </c>
      <c r="D1019" s="40" t="inlineStr">
        <is>
          <t>ROYAL ADAM EVE</t>
        </is>
      </c>
      <c r="E1019" s="38" t="n">
        <v>6192752.06</v>
      </c>
      <c r="F1019" s="38" t="n">
        <v>24937.97</v>
      </c>
      <c r="G1019" s="38" t="n">
        <v>6167814.09</v>
      </c>
      <c r="H1019" s="40" t="inlineStr">
        <is>
          <t>Borç</t>
        </is>
      </c>
      <c r="I1019" s="38" t="n">
        <v>6192752.06</v>
      </c>
      <c r="J1019" s="38" t="n">
        <v>24937.97</v>
      </c>
      <c r="K1019" s="38" t="n">
        <v>6167814.09</v>
      </c>
      <c r="L1019" s="40" t="inlineStr">
        <is>
          <t>Borç</t>
        </is>
      </c>
    </row>
    <row r="1020" s="34">
      <c r="A1020" s="40" t="inlineStr">
        <is>
          <t>320.01.01.A167</t>
        </is>
      </c>
      <c r="B1020" s="40" t="inlineStr">
        <is>
          <t>Antalya Sular İdaresi Müdürlüğü (Asat)</t>
        </is>
      </c>
      <c r="C1020" s="40" t="inlineStr">
        <is>
          <t>TRY</t>
        </is>
      </c>
      <c r="D1020" s="40" t="inlineStr">
        <is>
          <t>ROYAL ALHAMBRA</t>
        </is>
      </c>
      <c r="E1020" s="38" t="n">
        <v>24937.97</v>
      </c>
      <c r="F1020" s="38" t="n">
        <v>24937.97</v>
      </c>
      <c r="G1020" s="38" t="n">
        <v>0</v>
      </c>
      <c r="I1020" s="38" t="n">
        <v>24937.97</v>
      </c>
      <c r="J1020" s="38" t="n">
        <v>24937.97</v>
      </c>
      <c r="K1020" s="38" t="n">
        <v>0</v>
      </c>
    </row>
    <row r="1021" s="34">
      <c r="A1021" s="40" t="inlineStr">
        <is>
          <t>320.01.01.A167</t>
        </is>
      </c>
      <c r="B1021" s="40" t="inlineStr">
        <is>
          <t>Antalya Sular İdaresi Müdürlüğü (Asat)</t>
        </is>
      </c>
      <c r="C1021" s="40" t="inlineStr">
        <is>
          <t>TRY</t>
        </is>
      </c>
      <c r="D1021" s="40" t="inlineStr">
        <is>
          <t>ROYAL DRAGON</t>
        </is>
      </c>
      <c r="E1021" s="38" t="n">
        <v>24937.97</v>
      </c>
      <c r="F1021" s="38" t="n">
        <v>24937.97</v>
      </c>
      <c r="G1021" s="38" t="n">
        <v>0</v>
      </c>
      <c r="I1021" s="38" t="n">
        <v>24937.97</v>
      </c>
      <c r="J1021" s="38" t="n">
        <v>24937.97</v>
      </c>
      <c r="K1021" s="38" t="n">
        <v>0</v>
      </c>
    </row>
    <row r="1022" s="34">
      <c r="A1022" s="40" t="inlineStr">
        <is>
          <t>320.01.01.A167</t>
        </is>
      </c>
      <c r="B1022" s="40" t="inlineStr">
        <is>
          <t>Antalya Sular İdaresi Müdürlüğü (Asat)</t>
        </is>
      </c>
      <c r="C1022" s="40" t="inlineStr">
        <is>
          <t>TRY</t>
        </is>
      </c>
      <c r="D1022" s="40" t="inlineStr">
        <is>
          <t>ROYAL HOLIDAY</t>
        </is>
      </c>
      <c r="E1022" s="38" t="n">
        <v>24937.97</v>
      </c>
      <c r="F1022" s="38" t="n">
        <v>24937.97</v>
      </c>
      <c r="G1022" s="38" t="n">
        <v>0</v>
      </c>
      <c r="I1022" s="38" t="n">
        <v>24937.97</v>
      </c>
      <c r="J1022" s="38" t="n">
        <v>24937.97</v>
      </c>
      <c r="K1022" s="38" t="n">
        <v>0</v>
      </c>
    </row>
    <row r="1023" s="34">
      <c r="A1023" s="40" t="inlineStr">
        <is>
          <t>320.01.01.A167</t>
        </is>
      </c>
      <c r="B1023" s="40" t="inlineStr">
        <is>
          <t>Antalya Sular İdaresi Müdürlüğü (Asat)</t>
        </is>
      </c>
      <c r="C1023" s="40" t="inlineStr">
        <is>
          <t>TRY</t>
        </is>
      </c>
      <c r="D1023" s="40" t="inlineStr">
        <is>
          <t>ROYAL SEGINUS</t>
        </is>
      </c>
      <c r="E1023" s="38" t="n">
        <v>24937.97</v>
      </c>
      <c r="F1023" s="38" t="n">
        <v>24937.97</v>
      </c>
      <c r="G1023" s="38" t="n">
        <v>0</v>
      </c>
      <c r="I1023" s="38" t="n">
        <v>24937.97</v>
      </c>
      <c r="J1023" s="38" t="n">
        <v>24937.97</v>
      </c>
      <c r="K1023" s="38" t="n">
        <v>0</v>
      </c>
    </row>
    <row r="1024" s="34">
      <c r="A1024" s="40" t="inlineStr">
        <is>
          <t>320.01.01.A167</t>
        </is>
      </c>
      <c r="B1024" s="40" t="inlineStr">
        <is>
          <t>Antalya Sular İdaresi Müdürlüğü (Asat)</t>
        </is>
      </c>
      <c r="C1024" s="40" t="inlineStr">
        <is>
          <t>TRY</t>
        </is>
      </c>
      <c r="D1024" s="40" t="inlineStr">
        <is>
          <t>SERTAŞ MERKEZ</t>
        </is>
      </c>
      <c r="E1024" s="38" t="n">
        <v>8003387.08</v>
      </c>
      <c r="F1024" s="38" t="n">
        <v>0</v>
      </c>
      <c r="G1024" s="38" t="n">
        <v>8003387.08</v>
      </c>
      <c r="H1024" s="40" t="inlineStr">
        <is>
          <t>Borç</t>
        </is>
      </c>
      <c r="I1024" s="38" t="n">
        <v>8003387.08</v>
      </c>
      <c r="J1024" s="38" t="n">
        <v>0</v>
      </c>
      <c r="K1024" s="38" t="n">
        <v>8003387.08</v>
      </c>
      <c r="L1024" s="40" t="inlineStr">
        <is>
          <t>Borç</t>
        </is>
      </c>
    </row>
    <row r="1025" s="34">
      <c r="A1025" s="40" t="inlineStr">
        <is>
          <t>320.01.01.A168</t>
        </is>
      </c>
      <c r="B1025" s="40" t="inlineStr">
        <is>
          <t>Antalya Tehlikeli Madde Güvenlik Danışmanlığı Tic. Ltd. Şti.</t>
        </is>
      </c>
      <c r="C1025" s="40" t="inlineStr">
        <is>
          <t>TRY</t>
        </is>
      </c>
      <c r="D1025" s="40" t="inlineStr">
        <is>
          <t>GİTAŞ MERKEZ</t>
        </is>
      </c>
      <c r="E1025" s="38" t="n">
        <v>10800</v>
      </c>
      <c r="F1025" s="38" t="n">
        <v>0</v>
      </c>
      <c r="G1025" s="38" t="n">
        <v>10800</v>
      </c>
      <c r="H1025" s="40" t="inlineStr">
        <is>
          <t>Borç</t>
        </is>
      </c>
      <c r="I1025" s="38" t="n">
        <v>10800</v>
      </c>
      <c r="J1025" s="38" t="n">
        <v>0</v>
      </c>
      <c r="K1025" s="38" t="n">
        <v>10800</v>
      </c>
      <c r="L1025" s="40" t="inlineStr">
        <is>
          <t>Borç</t>
        </is>
      </c>
    </row>
    <row r="1026" s="34">
      <c r="A1026" s="40" t="inlineStr">
        <is>
          <t>320.01.01.A168</t>
        </is>
      </c>
      <c r="B1026" s="40" t="inlineStr">
        <is>
          <t>Antalya Tehlikeli Madde Güvenlik Danışmanlığı Tic. Ltd. Şti.</t>
        </is>
      </c>
      <c r="C1026" s="40" t="inlineStr">
        <is>
          <t>TRY</t>
        </is>
      </c>
      <c r="D1026" s="40" t="inlineStr">
        <is>
          <t>ROYAL ADAM EVE</t>
        </is>
      </c>
      <c r="E1026" s="38" t="n">
        <v>5400</v>
      </c>
      <c r="F1026" s="38" t="n">
        <v>5400</v>
      </c>
      <c r="G1026" s="38" t="n">
        <v>0</v>
      </c>
      <c r="I1026" s="38" t="n">
        <v>5400</v>
      </c>
      <c r="J1026" s="38" t="n">
        <v>5400</v>
      </c>
      <c r="K1026" s="38" t="n">
        <v>0</v>
      </c>
    </row>
    <row r="1027" s="34">
      <c r="A1027" s="40" t="inlineStr">
        <is>
          <t>320.01.01.A168</t>
        </is>
      </c>
      <c r="B1027" s="40" t="inlineStr">
        <is>
          <t>Antalya Tehlikeli Madde Güvenlik Danışmanlığı Tic. Ltd. Şti.</t>
        </is>
      </c>
      <c r="C1027" s="40" t="inlineStr">
        <is>
          <t>TRY</t>
        </is>
      </c>
      <c r="D1027" s="40" t="inlineStr">
        <is>
          <t>ROYAL HOLIDAY</t>
        </is>
      </c>
      <c r="E1027" s="38" t="n">
        <v>0</v>
      </c>
      <c r="F1027" s="38" t="n">
        <v>5400</v>
      </c>
      <c r="G1027" s="38" t="n">
        <v>-5400</v>
      </c>
      <c r="H1027" s="40" t="inlineStr">
        <is>
          <t>Alacak</t>
        </is>
      </c>
      <c r="I1027" s="38" t="n">
        <v>0</v>
      </c>
      <c r="J1027" s="38" t="n">
        <v>5400</v>
      </c>
      <c r="K1027" s="38" t="n">
        <v>-5400</v>
      </c>
      <c r="L1027" s="40" t="inlineStr">
        <is>
          <t>Alacak</t>
        </is>
      </c>
    </row>
    <row r="1028" s="34">
      <c r="A1028" s="40" t="inlineStr">
        <is>
          <t>320.01.01.A168</t>
        </is>
      </c>
      <c r="B1028" s="40" t="inlineStr">
        <is>
          <t>Antalya Tehlikeli Madde Güvenlik Danışmanlığı Tic. Ltd. Şti.</t>
        </is>
      </c>
      <c r="C1028" s="40" t="inlineStr">
        <is>
          <t>TRY</t>
        </is>
      </c>
      <c r="D1028" s="40" t="inlineStr">
        <is>
          <t>SERTAŞ MERKEZ</t>
        </is>
      </c>
      <c r="E1028" s="38" t="n">
        <v>10800</v>
      </c>
      <c r="F1028" s="38" t="n">
        <v>0</v>
      </c>
      <c r="G1028" s="38" t="n">
        <v>10800</v>
      </c>
      <c r="H1028" s="40" t="inlineStr">
        <is>
          <t>Borç</t>
        </is>
      </c>
      <c r="I1028" s="38" t="n">
        <v>10800</v>
      </c>
      <c r="J1028" s="38" t="n">
        <v>0</v>
      </c>
      <c r="K1028" s="38" t="n">
        <v>10800</v>
      </c>
      <c r="L1028" s="40" t="inlineStr">
        <is>
          <t>Borç</t>
        </is>
      </c>
    </row>
    <row r="1029" s="34">
      <c r="A1029" s="40" t="inlineStr">
        <is>
          <t>320.01.01.A182</t>
        </is>
      </c>
      <c r="B1029" s="40" t="inlineStr">
        <is>
          <t>Antpap Ambalaj Kağıt San.Tic.Ltd.Şti.</t>
        </is>
      </c>
      <c r="C1029" s="40" t="inlineStr">
        <is>
          <t>TRY</t>
        </is>
      </c>
      <c r="D1029" s="40" t="inlineStr">
        <is>
          <t>GİTAŞ MERKEZ</t>
        </is>
      </c>
      <c r="E1029" s="38" t="n">
        <v>30055.8</v>
      </c>
      <c r="F1029" s="38" t="n">
        <v>0</v>
      </c>
      <c r="G1029" s="38" t="n">
        <v>30055.8</v>
      </c>
      <c r="H1029" s="40" t="inlineStr">
        <is>
          <t>Borç</t>
        </is>
      </c>
      <c r="I1029" s="38" t="n">
        <v>30055.8</v>
      </c>
      <c r="J1029" s="38" t="n">
        <v>0</v>
      </c>
      <c r="K1029" s="38" t="n">
        <v>30055.8</v>
      </c>
      <c r="L1029" s="40" t="inlineStr">
        <is>
          <t>Borç</t>
        </is>
      </c>
    </row>
    <row r="1030" s="34">
      <c r="A1030" s="40" t="inlineStr">
        <is>
          <t>320.01.01.A182</t>
        </is>
      </c>
      <c r="B1030" s="40" t="inlineStr">
        <is>
          <t>Antpap Ambalaj Kağıt San.Tic.Ltd.Şti.</t>
        </is>
      </c>
      <c r="C1030" s="40" t="inlineStr">
        <is>
          <t>TRY</t>
        </is>
      </c>
      <c r="D1030" s="40" t="inlineStr">
        <is>
          <t>ROYAL ADAM EVE</t>
        </is>
      </c>
      <c r="E1030" s="38" t="n">
        <v>42854.7</v>
      </c>
      <c r="F1030" s="38" t="n">
        <v>118708</v>
      </c>
      <c r="G1030" s="38" t="n">
        <v>-75853.3</v>
      </c>
      <c r="H1030" s="40" t="inlineStr">
        <is>
          <t>Alacak</t>
        </is>
      </c>
      <c r="I1030" s="38" t="n">
        <v>42854.7</v>
      </c>
      <c r="J1030" s="38" t="n">
        <v>118708</v>
      </c>
      <c r="K1030" s="38" t="n">
        <v>-75853.3</v>
      </c>
      <c r="L1030" s="40" t="inlineStr">
        <is>
          <t>Alacak</t>
        </is>
      </c>
    </row>
    <row r="1031" s="34">
      <c r="A1031" s="40" t="inlineStr">
        <is>
          <t>320.01.01.A182</t>
        </is>
      </c>
      <c r="B1031" s="40" t="inlineStr">
        <is>
          <t>Antpap Ambalaj Kağıt San.Tic.Ltd.Şti.</t>
        </is>
      </c>
      <c r="C1031" s="40" t="inlineStr">
        <is>
          <t>TRY</t>
        </is>
      </c>
      <c r="D1031" s="40" t="inlineStr">
        <is>
          <t>ROYAL ALHAMBRA</t>
        </is>
      </c>
      <c r="E1031" s="38" t="n">
        <v>0</v>
      </c>
      <c r="F1031" s="38" t="n">
        <v>139628</v>
      </c>
      <c r="G1031" s="38" t="n">
        <v>-139628</v>
      </c>
      <c r="H1031" s="40" t="inlineStr">
        <is>
          <t>Alacak</t>
        </is>
      </c>
      <c r="I1031" s="38" t="n">
        <v>0</v>
      </c>
      <c r="J1031" s="38" t="n">
        <v>139628</v>
      </c>
      <c r="K1031" s="38" t="n">
        <v>-139628</v>
      </c>
      <c r="L1031" s="40" t="inlineStr">
        <is>
          <t>Alacak</t>
        </is>
      </c>
    </row>
    <row r="1032" s="34">
      <c r="A1032" s="40" t="inlineStr">
        <is>
          <t>320.01.01.A182</t>
        </is>
      </c>
      <c r="B1032" s="40" t="inlineStr">
        <is>
          <t>Antpap Ambalaj Kağıt San.Tic.Ltd.Şti.</t>
        </is>
      </c>
      <c r="C1032" s="40" t="inlineStr">
        <is>
          <t>TRY</t>
        </is>
      </c>
      <c r="D1032" s="40" t="inlineStr">
        <is>
          <t>ROYAL DRAGON</t>
        </is>
      </c>
      <c r="E1032" s="38" t="n">
        <v>0</v>
      </c>
      <c r="F1032" s="38" t="n">
        <v>109288</v>
      </c>
      <c r="G1032" s="38" t="n">
        <v>-109288</v>
      </c>
      <c r="H1032" s="40" t="inlineStr">
        <is>
          <t>Alacak</t>
        </is>
      </c>
      <c r="I1032" s="38" t="n">
        <v>0</v>
      </c>
      <c r="J1032" s="38" t="n">
        <v>109288</v>
      </c>
      <c r="K1032" s="38" t="n">
        <v>-109288</v>
      </c>
      <c r="L1032" s="40" t="inlineStr">
        <is>
          <t>Alacak</t>
        </is>
      </c>
    </row>
    <row r="1033" s="34">
      <c r="A1033" s="40" t="inlineStr">
        <is>
          <t>320.01.01.A182</t>
        </is>
      </c>
      <c r="B1033" s="40" t="inlineStr">
        <is>
          <t>Antpap Ambalaj Kağıt San.Tic.Ltd.Şti.</t>
        </is>
      </c>
      <c r="C1033" s="40" t="inlineStr">
        <is>
          <t>TRY</t>
        </is>
      </c>
      <c r="D1033" s="40" t="inlineStr">
        <is>
          <t>ROYAL HOLIDAY</t>
        </is>
      </c>
      <c r="E1033" s="38" t="n">
        <v>0</v>
      </c>
      <c r="F1033" s="38" t="n">
        <v>179969</v>
      </c>
      <c r="G1033" s="38" t="n">
        <v>-179969</v>
      </c>
      <c r="H1033" s="40" t="inlineStr">
        <is>
          <t>Alacak</t>
        </is>
      </c>
      <c r="I1033" s="38" t="n">
        <v>0</v>
      </c>
      <c r="J1033" s="38" t="n">
        <v>179969</v>
      </c>
      <c r="K1033" s="38" t="n">
        <v>-179969</v>
      </c>
      <c r="L1033" s="40" t="inlineStr">
        <is>
          <t>Alacak</t>
        </is>
      </c>
    </row>
    <row r="1034" s="34">
      <c r="A1034" s="40" t="inlineStr">
        <is>
          <t>320.01.01.A182</t>
        </is>
      </c>
      <c r="B1034" s="40" t="inlineStr">
        <is>
          <t>Antpap Ambalaj Kağıt San.Tic.Ltd.Şti.</t>
        </is>
      </c>
      <c r="C1034" s="40" t="inlineStr">
        <is>
          <t>TRY</t>
        </is>
      </c>
      <c r="D1034" s="40" t="inlineStr">
        <is>
          <t>ROYAL SEGINUS</t>
        </is>
      </c>
      <c r="E1034" s="38" t="n">
        <v>0</v>
      </c>
      <c r="F1034" s="38" t="n">
        <v>143110</v>
      </c>
      <c r="G1034" s="38" t="n">
        <v>-143110</v>
      </c>
      <c r="H1034" s="40" t="inlineStr">
        <is>
          <t>Alacak</t>
        </is>
      </c>
      <c r="I1034" s="38" t="n">
        <v>0</v>
      </c>
      <c r="J1034" s="38" t="n">
        <v>143110</v>
      </c>
      <c r="K1034" s="38" t="n">
        <v>-143110</v>
      </c>
      <c r="L1034" s="40" t="inlineStr">
        <is>
          <t>Alacak</t>
        </is>
      </c>
    </row>
    <row r="1035" s="34">
      <c r="A1035" s="40" t="inlineStr">
        <is>
          <t>320.01.01.A182</t>
        </is>
      </c>
      <c r="B1035" s="40" t="inlineStr">
        <is>
          <t>Antpap Ambalaj Kağıt San.Tic.Ltd.Şti.</t>
        </is>
      </c>
      <c r="C1035" s="40" t="inlineStr">
        <is>
          <t>TRY</t>
        </is>
      </c>
      <c r="D1035" s="40" t="inlineStr">
        <is>
          <t>SERTAŞ MERKEZ</t>
        </is>
      </c>
      <c r="E1035" s="38" t="n">
        <v>67152</v>
      </c>
      <c r="F1035" s="38" t="n">
        <v>0</v>
      </c>
      <c r="G1035" s="38" t="n">
        <v>67152</v>
      </c>
      <c r="H1035" s="40" t="inlineStr">
        <is>
          <t>Borç</t>
        </is>
      </c>
      <c r="I1035" s="38" t="n">
        <v>67152</v>
      </c>
      <c r="J1035" s="38" t="n">
        <v>0</v>
      </c>
      <c r="K1035" s="38" t="n">
        <v>67152</v>
      </c>
      <c r="L1035" s="40" t="inlineStr">
        <is>
          <t>Borç</t>
        </is>
      </c>
    </row>
    <row r="1036" s="34">
      <c r="A1036" s="40" t="inlineStr">
        <is>
          <t>320.01.01.A185</t>
        </is>
      </c>
      <c r="B1036" s="40" t="inlineStr">
        <is>
          <t>Antser Beyaz Eşya İnş.Tur.Eml.Oto.Mim.San. ve Tic.Ltd.Şti.</t>
        </is>
      </c>
      <c r="C1036" s="40" t="inlineStr">
        <is>
          <t>TRY</t>
        </is>
      </c>
      <c r="D1036" s="40" t="inlineStr">
        <is>
          <t>ROYAL ADAM EVE</t>
        </is>
      </c>
      <c r="E1036" s="38" t="n">
        <v>660</v>
      </c>
      <c r="F1036" s="38" t="n">
        <v>0</v>
      </c>
      <c r="G1036" s="38" t="n">
        <v>660</v>
      </c>
      <c r="H1036" s="40" t="inlineStr">
        <is>
          <t>Borç</t>
        </is>
      </c>
      <c r="I1036" s="38" t="n">
        <v>660</v>
      </c>
      <c r="J1036" s="38" t="n">
        <v>0</v>
      </c>
      <c r="K1036" s="38" t="n">
        <v>660</v>
      </c>
      <c r="L1036" s="40" t="inlineStr">
        <is>
          <t>Borç</t>
        </is>
      </c>
    </row>
    <row r="1037" s="34">
      <c r="A1037" s="40" t="inlineStr">
        <is>
          <t>320.01.01.A185</t>
        </is>
      </c>
      <c r="B1037" s="40" t="inlineStr">
        <is>
          <t>Antser Beyaz Eşya İnş.Tur.Eml.Oto.Mim.San. ve Tic.Ltd.Şti.</t>
        </is>
      </c>
      <c r="C1037" s="40" t="inlineStr">
        <is>
          <t>TRY</t>
        </is>
      </c>
      <c r="D1037" s="40" t="inlineStr">
        <is>
          <t>SERTAŞ MERKEZ</t>
        </is>
      </c>
      <c r="E1037" s="38" t="n">
        <v>60462</v>
      </c>
      <c r="F1037" s="38" t="n">
        <v>0</v>
      </c>
      <c r="G1037" s="38" t="n">
        <v>60462</v>
      </c>
      <c r="H1037" s="40" t="inlineStr">
        <is>
          <t>Borç</t>
        </is>
      </c>
      <c r="I1037" s="38" t="n">
        <v>60462</v>
      </c>
      <c r="J1037" s="38" t="n">
        <v>0</v>
      </c>
      <c r="K1037" s="38" t="n">
        <v>60462</v>
      </c>
      <c r="L1037" s="40" t="inlineStr">
        <is>
          <t>Borç</t>
        </is>
      </c>
    </row>
    <row r="1038" s="34">
      <c r="A1038" s="40" t="inlineStr">
        <is>
          <t>320.01.01.A188</t>
        </is>
      </c>
      <c r="B1038" s="40" t="inlineStr">
        <is>
          <t>Antufuk Aydınlatma ElekTRik Ltd.Şti.</t>
        </is>
      </c>
      <c r="C1038" s="40" t="inlineStr">
        <is>
          <t>TRY</t>
        </is>
      </c>
      <c r="D1038" s="40" t="inlineStr">
        <is>
          <t>GİTAŞ MERKEZ</t>
        </is>
      </c>
      <c r="E1038" s="38" t="n">
        <v>5310</v>
      </c>
      <c r="F1038" s="38" t="n">
        <v>0</v>
      </c>
      <c r="G1038" s="38" t="n">
        <v>5310</v>
      </c>
      <c r="H1038" s="40" t="inlineStr">
        <is>
          <t>Borç</t>
        </is>
      </c>
      <c r="I1038" s="38" t="n">
        <v>5310</v>
      </c>
      <c r="J1038" s="38" t="n">
        <v>0</v>
      </c>
      <c r="K1038" s="38" t="n">
        <v>5310</v>
      </c>
      <c r="L1038" s="40" t="inlineStr">
        <is>
          <t>Borç</t>
        </is>
      </c>
    </row>
    <row r="1039" s="34">
      <c r="A1039" s="40" t="inlineStr">
        <is>
          <t>320.01.01.A188</t>
        </is>
      </c>
      <c r="B1039" s="40" t="inlineStr">
        <is>
          <t>Antufuk Aydınlatma ElekTRik Ltd.Şti.</t>
        </is>
      </c>
      <c r="C1039" s="40" t="inlineStr">
        <is>
          <t>TRY</t>
        </is>
      </c>
      <c r="D1039" s="40" t="inlineStr">
        <is>
          <t>ROYAL ALHAMBRA</t>
        </is>
      </c>
      <c r="E1039" s="38" t="n">
        <v>0</v>
      </c>
      <c r="F1039" s="38" t="n">
        <v>9000</v>
      </c>
      <c r="G1039" s="38" t="n">
        <v>-9000</v>
      </c>
      <c r="H1039" s="40" t="inlineStr">
        <is>
          <t>Alacak</t>
        </is>
      </c>
      <c r="I1039" s="38" t="n">
        <v>0</v>
      </c>
      <c r="J1039" s="38" t="n">
        <v>9000</v>
      </c>
      <c r="K1039" s="38" t="n">
        <v>-9000</v>
      </c>
      <c r="L1039" s="40" t="inlineStr">
        <is>
          <t>Alacak</t>
        </is>
      </c>
    </row>
    <row r="1040" s="34">
      <c r="A1040" s="40" t="inlineStr">
        <is>
          <t>320.01.01.A188</t>
        </is>
      </c>
      <c r="B1040" s="40" t="inlineStr">
        <is>
          <t>Antufuk Aydınlatma ElekTRik Ltd.Şti.</t>
        </is>
      </c>
      <c r="C1040" s="40" t="inlineStr">
        <is>
          <t>TRY</t>
        </is>
      </c>
      <c r="D1040" s="40" t="inlineStr">
        <is>
          <t>ROYAL SEGINUS</t>
        </is>
      </c>
      <c r="E1040" s="38" t="n">
        <v>19800</v>
      </c>
      <c r="F1040" s="38" t="n">
        <v>22950</v>
      </c>
      <c r="G1040" s="38" t="n">
        <v>-3150</v>
      </c>
      <c r="H1040" s="40" t="inlineStr">
        <is>
          <t>Alacak</t>
        </is>
      </c>
      <c r="I1040" s="38" t="n">
        <v>19800</v>
      </c>
      <c r="J1040" s="38" t="n">
        <v>22950</v>
      </c>
      <c r="K1040" s="38" t="n">
        <v>-3150</v>
      </c>
      <c r="L1040" s="40" t="inlineStr">
        <is>
          <t>Alacak</t>
        </is>
      </c>
    </row>
    <row r="1041" s="34">
      <c r="A1041" s="40" t="inlineStr">
        <is>
          <t>320.01.01.A188</t>
        </is>
      </c>
      <c r="B1041" s="40" t="inlineStr">
        <is>
          <t>Antufuk Aydınlatma ElekTRik Ltd.Şti.</t>
        </is>
      </c>
      <c r="C1041" s="40" t="inlineStr">
        <is>
          <t>TRY</t>
        </is>
      </c>
      <c r="D1041" s="40" t="inlineStr">
        <is>
          <t>SERTAŞ MERKEZ</t>
        </is>
      </c>
      <c r="E1041" s="38" t="n">
        <v>2250</v>
      </c>
      <c r="F1041" s="38" t="n">
        <v>0</v>
      </c>
      <c r="G1041" s="38" t="n">
        <v>2250</v>
      </c>
      <c r="H1041" s="40" t="inlineStr">
        <is>
          <t>Borç</t>
        </is>
      </c>
      <c r="I1041" s="38" t="n">
        <v>2250</v>
      </c>
      <c r="J1041" s="38" t="n">
        <v>0</v>
      </c>
      <c r="K1041" s="38" t="n">
        <v>2250</v>
      </c>
      <c r="L1041" s="40" t="inlineStr">
        <is>
          <t>Borç</t>
        </is>
      </c>
    </row>
    <row r="1042" s="34">
      <c r="A1042" s="40" t="inlineStr">
        <is>
          <t>320.01.01.A196</t>
        </is>
      </c>
      <c r="B1042" s="40" t="inlineStr">
        <is>
          <t>Aras Kargo Yurt Dışı Taş.A.Ş.</t>
        </is>
      </c>
      <c r="C1042" s="40" t="inlineStr">
        <is>
          <t>TRY</t>
        </is>
      </c>
      <c r="D1042" s="40" t="inlineStr">
        <is>
          <t>GİTAŞ MERKEZ</t>
        </is>
      </c>
      <c r="E1042" s="38" t="n">
        <v>671.4</v>
      </c>
      <c r="F1042" s="38" t="n">
        <v>0</v>
      </c>
      <c r="G1042" s="38" t="n">
        <v>671.4</v>
      </c>
      <c r="H1042" s="40" t="inlineStr">
        <is>
          <t>Borç</t>
        </is>
      </c>
      <c r="I1042" s="38" t="n">
        <v>671.4</v>
      </c>
      <c r="J1042" s="38" t="n">
        <v>0</v>
      </c>
      <c r="K1042" s="38" t="n">
        <v>671.4</v>
      </c>
      <c r="L1042" s="40" t="inlineStr">
        <is>
          <t>Borç</t>
        </is>
      </c>
    </row>
    <row r="1043" s="34">
      <c r="A1043" s="40" t="inlineStr">
        <is>
          <t>320.01.01.A198</t>
        </is>
      </c>
      <c r="B1043" s="40" t="inlineStr">
        <is>
          <t>Arbo Yon.Dan.Ozel Eg.Hizm.Tic.Ltd.Şti</t>
        </is>
      </c>
      <c r="C1043" s="40" t="inlineStr">
        <is>
          <t>TRY</t>
        </is>
      </c>
      <c r="D1043" s="40" t="inlineStr">
        <is>
          <t>GİTAŞ MERKEZ</t>
        </is>
      </c>
      <c r="E1043" s="38" t="n">
        <v>27600</v>
      </c>
      <c r="F1043" s="38" t="n">
        <v>0</v>
      </c>
      <c r="G1043" s="38" t="n">
        <v>27600</v>
      </c>
      <c r="H1043" s="40" t="inlineStr">
        <is>
          <t>Borç</t>
        </is>
      </c>
      <c r="I1043" s="38" t="n">
        <v>27600</v>
      </c>
      <c r="J1043" s="38" t="n">
        <v>0</v>
      </c>
      <c r="K1043" s="38" t="n">
        <v>27600</v>
      </c>
      <c r="L1043" s="40" t="inlineStr">
        <is>
          <t>Borç</t>
        </is>
      </c>
    </row>
    <row r="1044" s="34">
      <c r="A1044" s="40" t="inlineStr">
        <is>
          <t>320.01.01.A198</t>
        </is>
      </c>
      <c r="B1044" s="40" t="inlineStr">
        <is>
          <t>Arbo Yon.Dan.Ozel Eg.Hizm.Tic.Ltd.Şti</t>
        </is>
      </c>
      <c r="C1044" s="40" t="inlineStr">
        <is>
          <t>TRY</t>
        </is>
      </c>
      <c r="D1044" s="40" t="inlineStr">
        <is>
          <t>ROYAL ADAM EVE</t>
        </is>
      </c>
      <c r="E1044" s="38" t="n">
        <v>13800</v>
      </c>
      <c r="F1044" s="38" t="n">
        <v>13800</v>
      </c>
      <c r="G1044" s="38" t="n">
        <v>0</v>
      </c>
      <c r="I1044" s="38" t="n">
        <v>13800</v>
      </c>
      <c r="J1044" s="38" t="n">
        <v>13800</v>
      </c>
      <c r="K1044" s="38" t="n">
        <v>0</v>
      </c>
    </row>
    <row r="1045" s="34">
      <c r="A1045" s="40" t="inlineStr">
        <is>
          <t>320.01.01.A198</t>
        </is>
      </c>
      <c r="B1045" s="40" t="inlineStr">
        <is>
          <t>Arbo Yon.Dan.Ozel Eg.Hizm.Tic.Ltd.Şti</t>
        </is>
      </c>
      <c r="C1045" s="40" t="inlineStr">
        <is>
          <t>TRY</t>
        </is>
      </c>
      <c r="D1045" s="40" t="inlineStr">
        <is>
          <t>ROYAL SEGINUS</t>
        </is>
      </c>
      <c r="E1045" s="38" t="n">
        <v>0</v>
      </c>
      <c r="F1045" s="38" t="n">
        <v>13800</v>
      </c>
      <c r="G1045" s="38" t="n">
        <v>-13800</v>
      </c>
      <c r="H1045" s="40" t="inlineStr">
        <is>
          <t>Alacak</t>
        </is>
      </c>
      <c r="I1045" s="38" t="n">
        <v>0</v>
      </c>
      <c r="J1045" s="38" t="n">
        <v>13800</v>
      </c>
      <c r="K1045" s="38" t="n">
        <v>-13800</v>
      </c>
      <c r="L1045" s="40" t="inlineStr">
        <is>
          <t>Alacak</t>
        </is>
      </c>
    </row>
    <row r="1046" s="34">
      <c r="A1046" s="40" t="inlineStr">
        <is>
          <t>320.01.01.A198</t>
        </is>
      </c>
      <c r="B1046" s="40" t="inlineStr">
        <is>
          <t>Arbo Yon.Dan.Ozel Eg.Hizm.Tic.Ltd.Şti</t>
        </is>
      </c>
      <c r="C1046" s="40" t="inlineStr">
        <is>
          <t>TRY</t>
        </is>
      </c>
      <c r="D1046" s="40" t="inlineStr">
        <is>
          <t>SERTAŞ MERKEZ</t>
        </is>
      </c>
      <c r="E1046" s="38" t="n">
        <v>27600</v>
      </c>
      <c r="F1046" s="38" t="n">
        <v>0</v>
      </c>
      <c r="G1046" s="38" t="n">
        <v>27600</v>
      </c>
      <c r="H1046" s="40" t="inlineStr">
        <is>
          <t>Borç</t>
        </is>
      </c>
      <c r="I1046" s="38" t="n">
        <v>27600</v>
      </c>
      <c r="J1046" s="38" t="n">
        <v>0</v>
      </c>
      <c r="K1046" s="38" t="n">
        <v>27600</v>
      </c>
      <c r="L1046" s="40" t="inlineStr">
        <is>
          <t>Borç</t>
        </is>
      </c>
    </row>
    <row r="1047" s="34">
      <c r="A1047" s="40" t="inlineStr">
        <is>
          <t>320.01.01.A201</t>
        </is>
      </c>
      <c r="B1047" s="40" t="inlineStr">
        <is>
          <t>Ardem Food Pazarlama Ve Dış Ticaret A.Ş</t>
        </is>
      </c>
      <c r="C1047" s="40" t="inlineStr">
        <is>
          <t>TRY</t>
        </is>
      </c>
      <c r="D1047" s="40" t="inlineStr">
        <is>
          <t>GİTAŞ MERKEZ</t>
        </is>
      </c>
      <c r="E1047" s="38" t="n">
        <v>370914.1</v>
      </c>
      <c r="F1047" s="38" t="n">
        <v>0</v>
      </c>
      <c r="G1047" s="38" t="n">
        <v>370914.1</v>
      </c>
      <c r="H1047" s="40" t="inlineStr">
        <is>
          <t>Borç</t>
        </is>
      </c>
      <c r="I1047" s="38" t="n">
        <v>370914.1</v>
      </c>
      <c r="J1047" s="38" t="n">
        <v>0</v>
      </c>
      <c r="K1047" s="38" t="n">
        <v>370914.1</v>
      </c>
      <c r="L1047" s="40" t="inlineStr">
        <is>
          <t>Borç</t>
        </is>
      </c>
    </row>
    <row r="1048" s="34">
      <c r="A1048" s="40" t="inlineStr">
        <is>
          <t>320.01.01.A201</t>
        </is>
      </c>
      <c r="B1048" s="40" t="inlineStr">
        <is>
          <t>Ardem Food Pazarlama Ve Dış Ticaret A.Ş</t>
        </is>
      </c>
      <c r="C1048" s="40" t="inlineStr">
        <is>
          <t>TRY</t>
        </is>
      </c>
      <c r="D1048" s="40" t="inlineStr">
        <is>
          <t>ROYAL ADAM EVE</t>
        </is>
      </c>
      <c r="E1048" s="38" t="n">
        <v>96076.25999999999</v>
      </c>
      <c r="F1048" s="38" t="n">
        <v>8443.6</v>
      </c>
      <c r="G1048" s="38" t="n">
        <v>87632.66</v>
      </c>
      <c r="H1048" s="40" t="inlineStr">
        <is>
          <t>Borç</t>
        </is>
      </c>
      <c r="I1048" s="38" t="n">
        <v>96076.25999999999</v>
      </c>
      <c r="J1048" s="38" t="n">
        <v>8443.6</v>
      </c>
      <c r="K1048" s="38" t="n">
        <v>87632.66</v>
      </c>
      <c r="L1048" s="40" t="inlineStr">
        <is>
          <t>Borç</t>
        </is>
      </c>
    </row>
    <row r="1049" s="34">
      <c r="A1049" s="40" t="inlineStr">
        <is>
          <t>320.01.01.A201</t>
        </is>
      </c>
      <c r="B1049" s="40" t="inlineStr">
        <is>
          <t>Ardem Food Pazarlama Ve Dış Ticaret A.Ş</t>
        </is>
      </c>
      <c r="C1049" s="40" t="inlineStr">
        <is>
          <t>TRY</t>
        </is>
      </c>
      <c r="D1049" s="40" t="inlineStr">
        <is>
          <t>ROYAL ALHAMBRA</t>
        </is>
      </c>
      <c r="E1049" s="38" t="n">
        <v>0</v>
      </c>
      <c r="F1049" s="38" t="n">
        <v>76219.64999999999</v>
      </c>
      <c r="G1049" s="38" t="n">
        <v>-76219.64999999999</v>
      </c>
      <c r="H1049" s="40" t="inlineStr">
        <is>
          <t>Alacak</t>
        </is>
      </c>
      <c r="I1049" s="38" t="n">
        <v>0</v>
      </c>
      <c r="J1049" s="38" t="n">
        <v>76219.64999999999</v>
      </c>
      <c r="K1049" s="38" t="n">
        <v>-76219.64999999999</v>
      </c>
      <c r="L1049" s="40" t="inlineStr">
        <is>
          <t>Alacak</t>
        </is>
      </c>
    </row>
    <row r="1050" s="34">
      <c r="A1050" s="40" t="inlineStr">
        <is>
          <t>320.01.01.A201</t>
        </is>
      </c>
      <c r="B1050" s="40" t="inlineStr">
        <is>
          <t>Ardem Food Pazarlama Ve Dış Ticaret A.Ş</t>
        </is>
      </c>
      <c r="C1050" s="40" t="inlineStr">
        <is>
          <t>TRY</t>
        </is>
      </c>
      <c r="D1050" s="40" t="inlineStr">
        <is>
          <t>ROYAL DRAGON</t>
        </is>
      </c>
      <c r="E1050" s="38" t="n">
        <v>0</v>
      </c>
      <c r="F1050" s="38" t="n">
        <v>112487.57</v>
      </c>
      <c r="G1050" s="38" t="n">
        <v>-112487.57</v>
      </c>
      <c r="H1050" s="40" t="inlineStr">
        <is>
          <t>Alacak</t>
        </is>
      </c>
      <c r="I1050" s="38" t="n">
        <v>0</v>
      </c>
      <c r="J1050" s="38" t="n">
        <v>112487.57</v>
      </c>
      <c r="K1050" s="38" t="n">
        <v>-112487.57</v>
      </c>
      <c r="L1050" s="40" t="inlineStr">
        <is>
          <t>Alacak</t>
        </is>
      </c>
    </row>
    <row r="1051" s="34">
      <c r="A1051" s="40" t="inlineStr">
        <is>
          <t>320.01.01.A201</t>
        </is>
      </c>
      <c r="B1051" s="40" t="inlineStr">
        <is>
          <t>Ardem Food Pazarlama Ve Dış Ticaret A.Ş</t>
        </is>
      </c>
      <c r="C1051" s="40" t="inlineStr">
        <is>
          <t>TRY</t>
        </is>
      </c>
      <c r="D1051" s="40" t="inlineStr">
        <is>
          <t>ROYAL HOLIDAY</t>
        </is>
      </c>
      <c r="E1051" s="38" t="n">
        <v>0</v>
      </c>
      <c r="F1051" s="38" t="n">
        <v>197965.05</v>
      </c>
      <c r="G1051" s="38" t="n">
        <v>-197965.05</v>
      </c>
      <c r="H1051" s="40" t="inlineStr">
        <is>
          <t>Alacak</t>
        </is>
      </c>
      <c r="I1051" s="38" t="n">
        <v>0</v>
      </c>
      <c r="J1051" s="38" t="n">
        <v>197965.05</v>
      </c>
      <c r="K1051" s="38" t="n">
        <v>-197965.05</v>
      </c>
      <c r="L1051" s="40" t="inlineStr">
        <is>
          <t>Alacak</t>
        </is>
      </c>
    </row>
    <row r="1052" s="34">
      <c r="A1052" s="40" t="inlineStr">
        <is>
          <t>320.01.01.A201</t>
        </is>
      </c>
      <c r="B1052" s="40" t="inlineStr">
        <is>
          <t>Ardem Food Pazarlama Ve Dış Ticaret A.Ş</t>
        </is>
      </c>
      <c r="C1052" s="40" t="inlineStr">
        <is>
          <t>TRY</t>
        </is>
      </c>
      <c r="D1052" s="40" t="inlineStr">
        <is>
          <t>ROYAL SEGINUS</t>
        </is>
      </c>
      <c r="E1052" s="38" t="n">
        <v>0</v>
      </c>
      <c r="F1052" s="38" t="n">
        <v>143510.9</v>
      </c>
      <c r="G1052" s="38" t="n">
        <v>-143510.9</v>
      </c>
      <c r="H1052" s="40" t="inlineStr">
        <is>
          <t>Alacak</t>
        </is>
      </c>
      <c r="I1052" s="38" t="n">
        <v>0</v>
      </c>
      <c r="J1052" s="38" t="n">
        <v>143510.9</v>
      </c>
      <c r="K1052" s="38" t="n">
        <v>-143510.9</v>
      </c>
      <c r="L1052" s="40" t="inlineStr">
        <is>
          <t>Alacak</t>
        </is>
      </c>
    </row>
    <row r="1053" s="34">
      <c r="A1053" s="40" t="inlineStr">
        <is>
          <t>320.01.01.A201</t>
        </is>
      </c>
      <c r="B1053" s="40" t="inlineStr">
        <is>
          <t>Ardem Food Pazarlama Ve Dış Ticaret A.Ş</t>
        </is>
      </c>
      <c r="C1053" s="40" t="inlineStr">
        <is>
          <t>TRY</t>
        </is>
      </c>
      <c r="D1053" s="40" t="inlineStr">
        <is>
          <t>SERTAŞ MERKEZ</t>
        </is>
      </c>
      <c r="E1053" s="38" t="n">
        <v>624481.79</v>
      </c>
      <c r="F1053" s="38" t="n">
        <v>0</v>
      </c>
      <c r="G1053" s="38" t="n">
        <v>624481.79</v>
      </c>
      <c r="H1053" s="40" t="inlineStr">
        <is>
          <t>Borç</t>
        </is>
      </c>
      <c r="I1053" s="38" t="n">
        <v>624481.79</v>
      </c>
      <c r="J1053" s="38" t="n">
        <v>0</v>
      </c>
      <c r="K1053" s="38" t="n">
        <v>624481.79</v>
      </c>
      <c r="L1053" s="40" t="inlineStr">
        <is>
          <t>Borç</t>
        </is>
      </c>
    </row>
    <row r="1054" s="34">
      <c r="A1054" s="40" t="inlineStr">
        <is>
          <t>320.01.01.A213</t>
        </is>
      </c>
      <c r="B1054" s="40" t="inlineStr">
        <is>
          <t>Ars Et Ve Et Ürn.Gıda Hay.Tar.Turz.San.T</t>
        </is>
      </c>
      <c r="C1054" s="40" t="inlineStr">
        <is>
          <t>TRY</t>
        </is>
      </c>
      <c r="D1054" s="40" t="inlineStr">
        <is>
          <t>SERTAŞ MERKEZ</t>
        </is>
      </c>
      <c r="E1054" s="38" t="n">
        <v>15053.04</v>
      </c>
      <c r="F1054" s="38" t="n">
        <v>0</v>
      </c>
      <c r="G1054" s="38" t="n">
        <v>15053.04</v>
      </c>
      <c r="H1054" s="40" t="inlineStr">
        <is>
          <t>Borç</t>
        </is>
      </c>
      <c r="I1054" s="38" t="n">
        <v>15053.04</v>
      </c>
      <c r="J1054" s="38" t="n">
        <v>0</v>
      </c>
      <c r="K1054" s="38" t="n">
        <v>15053.04</v>
      </c>
      <c r="L1054" s="40" t="inlineStr">
        <is>
          <t>Borç</t>
        </is>
      </c>
    </row>
    <row r="1055" s="34">
      <c r="A1055" s="40" t="inlineStr">
        <is>
          <t>320.01.01.A222</t>
        </is>
      </c>
      <c r="B1055" s="40" t="inlineStr">
        <is>
          <t>Arse Global Isıtma Soğutma Sistemleri San.Tic.Ltd.Şti.</t>
        </is>
      </c>
      <c r="C1055" s="40" t="inlineStr">
        <is>
          <t>TRY</t>
        </is>
      </c>
      <c r="D1055" s="40" t="inlineStr">
        <is>
          <t>SERTAŞ MERKEZ</t>
        </is>
      </c>
      <c r="E1055" s="38" t="n">
        <v>9480</v>
      </c>
      <c r="F1055" s="38" t="n">
        <v>0</v>
      </c>
      <c r="G1055" s="38" t="n">
        <v>9480</v>
      </c>
      <c r="H1055" s="40" t="inlineStr">
        <is>
          <t>Borç</t>
        </is>
      </c>
      <c r="I1055" s="38" t="n">
        <v>9480</v>
      </c>
      <c r="J1055" s="38" t="n">
        <v>0</v>
      </c>
      <c r="K1055" s="38" t="n">
        <v>9480</v>
      </c>
      <c r="L1055" s="40" t="inlineStr">
        <is>
          <t>Borç</t>
        </is>
      </c>
    </row>
    <row r="1056" s="34">
      <c r="A1056" s="40" t="inlineStr">
        <is>
          <t>320.01.01.A227</t>
        </is>
      </c>
      <c r="B1056" s="40" t="inlineStr">
        <is>
          <t>As7 Kagıtcılık Ltd.Şti.</t>
        </is>
      </c>
      <c r="C1056" s="40" t="inlineStr">
        <is>
          <t>TRY</t>
        </is>
      </c>
      <c r="D1056" s="40" t="inlineStr">
        <is>
          <t>GİTAŞ MERKEZ</t>
        </is>
      </c>
      <c r="E1056" s="38" t="n">
        <v>6204</v>
      </c>
      <c r="F1056" s="38" t="n">
        <v>0</v>
      </c>
      <c r="G1056" s="38" t="n">
        <v>6204</v>
      </c>
      <c r="H1056" s="40" t="inlineStr">
        <is>
          <t>Borç</t>
        </is>
      </c>
      <c r="I1056" s="38" t="n">
        <v>6204</v>
      </c>
      <c r="J1056" s="38" t="n">
        <v>0</v>
      </c>
      <c r="K1056" s="38" t="n">
        <v>6204</v>
      </c>
      <c r="L1056" s="40" t="inlineStr">
        <is>
          <t>Borç</t>
        </is>
      </c>
    </row>
    <row r="1057" s="34">
      <c r="A1057" s="40" t="inlineStr">
        <is>
          <t>320.01.01.A227</t>
        </is>
      </c>
      <c r="B1057" s="40" t="inlineStr">
        <is>
          <t>As7 Kagıtcılık Ltd.Şti.</t>
        </is>
      </c>
      <c r="C1057" s="40" t="inlineStr">
        <is>
          <t>TRY</t>
        </is>
      </c>
      <c r="D1057" s="40" t="inlineStr">
        <is>
          <t>ROYAL ADAM EVE</t>
        </is>
      </c>
      <c r="E1057" s="38" t="n">
        <v>0</v>
      </c>
      <c r="F1057" s="38" t="n">
        <v>95040</v>
      </c>
      <c r="G1057" s="38" t="n">
        <v>-95040</v>
      </c>
      <c r="H1057" s="40" t="inlineStr">
        <is>
          <t>Alacak</t>
        </is>
      </c>
      <c r="I1057" s="38" t="n">
        <v>0</v>
      </c>
      <c r="J1057" s="38" t="n">
        <v>95040</v>
      </c>
      <c r="K1057" s="38" t="n">
        <v>-95040</v>
      </c>
      <c r="L1057" s="40" t="inlineStr">
        <is>
          <t>Alacak</t>
        </is>
      </c>
    </row>
    <row r="1058" s="34">
      <c r="A1058" s="40" t="inlineStr">
        <is>
          <t>320.01.01.A228</t>
        </is>
      </c>
      <c r="B1058" s="40" t="inlineStr">
        <is>
          <t>Asa Is Gücü Yönetim Danışmanlığı A.Ş.</t>
        </is>
      </c>
      <c r="C1058" s="40" t="inlineStr">
        <is>
          <t>TRY</t>
        </is>
      </c>
      <c r="D1058" s="40" t="inlineStr">
        <is>
          <t>ROYAL ADAM EVE</t>
        </is>
      </c>
      <c r="E1058" s="38" t="n">
        <v>27077.8</v>
      </c>
      <c r="F1058" s="38" t="n">
        <v>0</v>
      </c>
      <c r="G1058" s="38" t="n">
        <v>27077.8</v>
      </c>
      <c r="H1058" s="40" t="inlineStr">
        <is>
          <t>Borç</t>
        </is>
      </c>
      <c r="I1058" s="38" t="n">
        <v>27077.8</v>
      </c>
      <c r="J1058" s="38" t="n">
        <v>0</v>
      </c>
      <c r="K1058" s="38" t="n">
        <v>27077.8</v>
      </c>
      <c r="L1058" s="40" t="inlineStr">
        <is>
          <t>Borç</t>
        </is>
      </c>
    </row>
    <row r="1059" s="34">
      <c r="A1059" s="40" t="inlineStr">
        <is>
          <t>320.01.01.A228</t>
        </is>
      </c>
      <c r="B1059" s="40" t="inlineStr">
        <is>
          <t>Asa Is Gücü Yönetim Danışmanlığı A.Ş.</t>
        </is>
      </c>
      <c r="C1059" s="40" t="inlineStr">
        <is>
          <t>TRY</t>
        </is>
      </c>
      <c r="D1059" s="40" t="inlineStr">
        <is>
          <t>SERTAŞ MERKEZ</t>
        </is>
      </c>
      <c r="E1059" s="38" t="n">
        <v>13538.9</v>
      </c>
      <c r="F1059" s="38" t="n">
        <v>0</v>
      </c>
      <c r="G1059" s="38" t="n">
        <v>13538.9</v>
      </c>
      <c r="H1059" s="40" t="inlineStr">
        <is>
          <t>Borç</t>
        </is>
      </c>
      <c r="I1059" s="38" t="n">
        <v>13538.9</v>
      </c>
      <c r="J1059" s="38" t="n">
        <v>0</v>
      </c>
      <c r="K1059" s="38" t="n">
        <v>13538.9</v>
      </c>
      <c r="L1059" s="40" t="inlineStr">
        <is>
          <t>Borç</t>
        </is>
      </c>
    </row>
    <row r="1060" s="34">
      <c r="A1060" s="40" t="inlineStr">
        <is>
          <t>320.01.01.A249</t>
        </is>
      </c>
      <c r="B1060" s="40" t="inlineStr">
        <is>
          <t>Atlasglobal Ofis Makinaları San.Tic.Ltd.Şti.</t>
        </is>
      </c>
      <c r="C1060" s="40" t="inlineStr">
        <is>
          <t>TRY</t>
        </is>
      </c>
      <c r="D1060" s="40" t="inlineStr">
        <is>
          <t>GİTAŞ MERKEZ</t>
        </is>
      </c>
      <c r="E1060" s="38" t="n">
        <v>8093.42</v>
      </c>
      <c r="F1060" s="38" t="n">
        <v>0</v>
      </c>
      <c r="G1060" s="38" t="n">
        <v>8093.42</v>
      </c>
      <c r="H1060" s="40" t="inlineStr">
        <is>
          <t>Borç</t>
        </is>
      </c>
      <c r="I1060" s="38" t="n">
        <v>8093.42</v>
      </c>
      <c r="J1060" s="38" t="n">
        <v>0</v>
      </c>
      <c r="K1060" s="38" t="n">
        <v>8093.42</v>
      </c>
      <c r="L1060" s="40" t="inlineStr">
        <is>
          <t>Borç</t>
        </is>
      </c>
    </row>
    <row r="1061" s="34">
      <c r="A1061" s="40" t="inlineStr">
        <is>
          <t>320.01.01.A249</t>
        </is>
      </c>
      <c r="B1061" s="40" t="inlineStr">
        <is>
          <t>Atlasglobal Ofis Makinaları San.Tic.Ltd.Şti.</t>
        </is>
      </c>
      <c r="C1061" s="40" t="inlineStr">
        <is>
          <t>TRY</t>
        </is>
      </c>
      <c r="D1061" s="40" t="inlineStr">
        <is>
          <t>ROYAL ADAM EVE</t>
        </is>
      </c>
      <c r="E1061" s="38" t="n">
        <v>0</v>
      </c>
      <c r="F1061" s="38" t="n">
        <v>15089.2</v>
      </c>
      <c r="G1061" s="38" t="n">
        <v>-15089.2</v>
      </c>
      <c r="H1061" s="40" t="inlineStr">
        <is>
          <t>Alacak</t>
        </is>
      </c>
      <c r="I1061" s="38" t="n">
        <v>0</v>
      </c>
      <c r="J1061" s="38" t="n">
        <v>15089.2</v>
      </c>
      <c r="K1061" s="38" t="n">
        <v>-15089.2</v>
      </c>
      <c r="L1061" s="40" t="inlineStr">
        <is>
          <t>Alacak</t>
        </is>
      </c>
    </row>
    <row r="1062" s="34">
      <c r="A1062" s="40" t="inlineStr">
        <is>
          <t>320.01.01.A249</t>
        </is>
      </c>
      <c r="B1062" s="40" t="inlineStr">
        <is>
          <t>Atlasglobal Ofis Makinaları San.Tic.Ltd.Şti.</t>
        </is>
      </c>
      <c r="C1062" s="40" t="inlineStr">
        <is>
          <t>TRY</t>
        </is>
      </c>
      <c r="D1062" s="40" t="inlineStr">
        <is>
          <t>ROYAL HOLIDAY</t>
        </is>
      </c>
      <c r="E1062" s="38" t="n">
        <v>0</v>
      </c>
      <c r="F1062" s="38" t="n">
        <v>12008.21</v>
      </c>
      <c r="G1062" s="38" t="n">
        <v>-12008.21</v>
      </c>
      <c r="H1062" s="40" t="inlineStr">
        <is>
          <t>Alacak</t>
        </is>
      </c>
      <c r="I1062" s="38" t="n">
        <v>0</v>
      </c>
      <c r="J1062" s="38" t="n">
        <v>12008.21</v>
      </c>
      <c r="K1062" s="38" t="n">
        <v>-12008.21</v>
      </c>
      <c r="L1062" s="40" t="inlineStr">
        <is>
          <t>Alacak</t>
        </is>
      </c>
    </row>
    <row r="1063" s="34">
      <c r="A1063" s="40" t="inlineStr">
        <is>
          <t>320.01.01.A249</t>
        </is>
      </c>
      <c r="B1063" s="40" t="inlineStr">
        <is>
          <t>Atlasglobal Ofis Makinaları San.Tic.Ltd.Şti.</t>
        </is>
      </c>
      <c r="C1063" s="40" t="inlineStr">
        <is>
          <t>TRY</t>
        </is>
      </c>
      <c r="D1063" s="40" t="inlineStr">
        <is>
          <t>ROYAL SEGINUS</t>
        </is>
      </c>
      <c r="E1063" s="38" t="n">
        <v>0</v>
      </c>
      <c r="F1063" s="38" t="n">
        <v>89567.24000000001</v>
      </c>
      <c r="G1063" s="38" t="n">
        <v>-89567.24000000001</v>
      </c>
      <c r="H1063" s="40" t="inlineStr">
        <is>
          <t>Alacak</t>
        </is>
      </c>
      <c r="I1063" s="38" t="n">
        <v>0</v>
      </c>
      <c r="J1063" s="38" t="n">
        <v>89567.24000000001</v>
      </c>
      <c r="K1063" s="38" t="n">
        <v>-89567.24000000001</v>
      </c>
      <c r="L1063" s="40" t="inlineStr">
        <is>
          <t>Alacak</t>
        </is>
      </c>
    </row>
    <row r="1064" s="34">
      <c r="A1064" s="40" t="inlineStr">
        <is>
          <t>320.01.01.A249</t>
        </is>
      </c>
      <c r="B1064" s="40" t="inlineStr">
        <is>
          <t>Atlasglobal Ofis Makinaları San.Tic.Ltd.Şti.</t>
        </is>
      </c>
      <c r="C1064" s="40" t="inlineStr">
        <is>
          <t>TRY</t>
        </is>
      </c>
      <c r="D1064" s="40" t="inlineStr">
        <is>
          <t>SERTAŞ MERKEZ</t>
        </is>
      </c>
      <c r="E1064" s="38" t="n">
        <v>66229.50999999999</v>
      </c>
      <c r="F1064" s="38" t="n">
        <v>0</v>
      </c>
      <c r="G1064" s="38" t="n">
        <v>66229.50999999999</v>
      </c>
      <c r="H1064" s="40" t="inlineStr">
        <is>
          <t>Borç</t>
        </is>
      </c>
      <c r="I1064" s="38" t="n">
        <v>66229.50999999999</v>
      </c>
      <c r="J1064" s="38" t="n">
        <v>0</v>
      </c>
      <c r="K1064" s="38" t="n">
        <v>66229.50999999999</v>
      </c>
      <c r="L1064" s="40" t="inlineStr">
        <is>
          <t>Borç</t>
        </is>
      </c>
    </row>
    <row r="1065" s="34">
      <c r="A1065" s="40" t="inlineStr">
        <is>
          <t>320.01.01.A261</t>
        </is>
      </c>
      <c r="B1065" s="40" t="inlineStr">
        <is>
          <t>Aydın Un Pazarlama İmalat.İnş.A.Ş.</t>
        </is>
      </c>
      <c r="C1065" s="40" t="inlineStr">
        <is>
          <t>TRY</t>
        </is>
      </c>
      <c r="D1065" s="40" t="inlineStr">
        <is>
          <t>ROYAL ADAM EVE</t>
        </is>
      </c>
      <c r="E1065" s="38" t="n">
        <v>5090.4</v>
      </c>
      <c r="F1065" s="38" t="n">
        <v>0</v>
      </c>
      <c r="G1065" s="38" t="n">
        <v>5090.4</v>
      </c>
      <c r="H1065" s="40" t="inlineStr">
        <is>
          <t>Borç</t>
        </is>
      </c>
      <c r="I1065" s="38" t="n">
        <v>5090.4</v>
      </c>
      <c r="J1065" s="38" t="n">
        <v>0</v>
      </c>
      <c r="K1065" s="38" t="n">
        <v>5090.4</v>
      </c>
      <c r="L1065" s="40" t="inlineStr">
        <is>
          <t>Borç</t>
        </is>
      </c>
    </row>
    <row r="1066" s="34">
      <c r="A1066" s="40" t="inlineStr">
        <is>
          <t>320.01.01.A261</t>
        </is>
      </c>
      <c r="B1066" s="40" t="inlineStr">
        <is>
          <t>Aydın Un Pazarlama İmalat.İnş.A.Ş.</t>
        </is>
      </c>
      <c r="C1066" s="40" t="inlineStr">
        <is>
          <t>TRY</t>
        </is>
      </c>
      <c r="D1066" s="40" t="inlineStr">
        <is>
          <t>ROYAL DRAGON</t>
        </is>
      </c>
      <c r="E1066" s="38" t="n">
        <v>0</v>
      </c>
      <c r="F1066" s="38" t="n">
        <v>5726.7</v>
      </c>
      <c r="G1066" s="38" t="n">
        <v>-5726.7</v>
      </c>
      <c r="H1066" s="40" t="inlineStr">
        <is>
          <t>Alacak</t>
        </is>
      </c>
      <c r="I1066" s="38" t="n">
        <v>0</v>
      </c>
      <c r="J1066" s="38" t="n">
        <v>5726.7</v>
      </c>
      <c r="K1066" s="38" t="n">
        <v>-5726.7</v>
      </c>
      <c r="L1066" s="40" t="inlineStr">
        <is>
          <t>Alacak</t>
        </is>
      </c>
    </row>
    <row r="1067" s="34">
      <c r="A1067" s="40" t="inlineStr">
        <is>
          <t>320.01.01.A261</t>
        </is>
      </c>
      <c r="B1067" s="40" t="inlineStr">
        <is>
          <t>Aydın Un Pazarlama İmalat.İnş.A.Ş.</t>
        </is>
      </c>
      <c r="C1067" s="40" t="inlineStr">
        <is>
          <t>TRY</t>
        </is>
      </c>
      <c r="D1067" s="40" t="inlineStr">
        <is>
          <t>ROYAL HOLIDAY</t>
        </is>
      </c>
      <c r="E1067" s="38" t="n">
        <v>0</v>
      </c>
      <c r="F1067" s="38" t="n">
        <v>2636.1</v>
      </c>
      <c r="G1067" s="38" t="n">
        <v>-2636.1</v>
      </c>
      <c r="H1067" s="40" t="inlineStr">
        <is>
          <t>Alacak</t>
        </is>
      </c>
      <c r="I1067" s="38" t="n">
        <v>0</v>
      </c>
      <c r="J1067" s="38" t="n">
        <v>2636.1</v>
      </c>
      <c r="K1067" s="38" t="n">
        <v>-2636.1</v>
      </c>
      <c r="L1067" s="40" t="inlineStr">
        <is>
          <t>Alacak</t>
        </is>
      </c>
    </row>
    <row r="1068" s="34">
      <c r="A1068" s="40" t="inlineStr">
        <is>
          <t>320.01.01.A276</t>
        </is>
      </c>
      <c r="B1068" s="40" t="inlineStr">
        <is>
          <t>Aytas Yapı Malz.İnş.Tic.A.Ş.</t>
        </is>
      </c>
      <c r="C1068" s="40" t="inlineStr">
        <is>
          <t>TRY</t>
        </is>
      </c>
      <c r="D1068" s="40" t="inlineStr">
        <is>
          <t>GİTAŞ MERKEZ</t>
        </is>
      </c>
      <c r="E1068" s="38" t="n">
        <v>11967</v>
      </c>
      <c r="F1068" s="38" t="n">
        <v>0</v>
      </c>
      <c r="G1068" s="38" t="n">
        <v>11967</v>
      </c>
      <c r="H1068" s="40" t="inlineStr">
        <is>
          <t>Borç</t>
        </is>
      </c>
      <c r="I1068" s="38" t="n">
        <v>0</v>
      </c>
      <c r="J1068" s="38" t="n">
        <v>0</v>
      </c>
      <c r="K1068" s="38" t="n">
        <v>0</v>
      </c>
    </row>
    <row r="1069" s="34">
      <c r="A1069" s="40" t="inlineStr">
        <is>
          <t>320.01.01.A279</t>
        </is>
      </c>
      <c r="B1069" s="40" t="inlineStr">
        <is>
          <t>Ak Ticaret Hırdavat (Sultan Limoncu)</t>
        </is>
      </c>
      <c r="C1069" s="40" t="inlineStr">
        <is>
          <t>TRY</t>
        </is>
      </c>
      <c r="D1069" s="40" t="inlineStr">
        <is>
          <t>GİTAŞ MERKEZ</t>
        </is>
      </c>
      <c r="E1069" s="38" t="n">
        <v>1555.2</v>
      </c>
      <c r="F1069" s="38" t="n">
        <v>0</v>
      </c>
      <c r="G1069" s="38" t="n">
        <v>1555.2</v>
      </c>
      <c r="H1069" s="40" t="inlineStr">
        <is>
          <t>Borç</t>
        </is>
      </c>
      <c r="I1069" s="38" t="n">
        <v>1555.2</v>
      </c>
      <c r="J1069" s="38" t="n">
        <v>0</v>
      </c>
      <c r="K1069" s="38" t="n">
        <v>1555.2</v>
      </c>
      <c r="L1069" s="40" t="inlineStr">
        <is>
          <t>Borç</t>
        </is>
      </c>
    </row>
    <row r="1070" s="34">
      <c r="A1070" s="40" t="inlineStr">
        <is>
          <t>320.01.01.A279</t>
        </is>
      </c>
      <c r="B1070" s="40" t="inlineStr">
        <is>
          <t>Ak Ticaret Hırdavat (Sultan Limoncu)</t>
        </is>
      </c>
      <c r="C1070" s="40" t="inlineStr">
        <is>
          <t>TRY</t>
        </is>
      </c>
      <c r="D1070" s="40" t="inlineStr">
        <is>
          <t>ROYAL ADAM EVE</t>
        </is>
      </c>
      <c r="E1070" s="38" t="n">
        <v>75530.39999999999</v>
      </c>
      <c r="F1070" s="38" t="n">
        <v>0</v>
      </c>
      <c r="G1070" s="38" t="n">
        <v>75530.39999999999</v>
      </c>
      <c r="H1070" s="40" t="inlineStr">
        <is>
          <t>Borç</t>
        </is>
      </c>
      <c r="I1070" s="38" t="n">
        <v>75530.39999999999</v>
      </c>
      <c r="J1070" s="38" t="n">
        <v>0</v>
      </c>
      <c r="K1070" s="38" t="n">
        <v>75530.39999999999</v>
      </c>
      <c r="L1070" s="40" t="inlineStr">
        <is>
          <t>Borç</t>
        </is>
      </c>
    </row>
    <row r="1071" s="34">
      <c r="A1071" s="40" t="inlineStr">
        <is>
          <t>320.01.01.A279</t>
        </is>
      </c>
      <c r="B1071" s="40" t="inlineStr">
        <is>
          <t>Ak Ticaret Hırdavat (Sultan Limoncu)</t>
        </is>
      </c>
      <c r="C1071" s="40" t="inlineStr">
        <is>
          <t>TRY</t>
        </is>
      </c>
      <c r="D1071" s="40" t="inlineStr">
        <is>
          <t>SERTAŞ MERKEZ</t>
        </is>
      </c>
      <c r="E1071" s="38" t="n">
        <v>62171.4</v>
      </c>
      <c r="F1071" s="38" t="n">
        <v>0</v>
      </c>
      <c r="G1071" s="38" t="n">
        <v>62171.4</v>
      </c>
      <c r="H1071" s="40" t="inlineStr">
        <is>
          <t>Borç</t>
        </is>
      </c>
      <c r="I1071" s="38" t="n">
        <v>62171.4</v>
      </c>
      <c r="J1071" s="38" t="n">
        <v>0</v>
      </c>
      <c r="K1071" s="38" t="n">
        <v>62171.4</v>
      </c>
      <c r="L1071" s="40" t="inlineStr">
        <is>
          <t>Borç</t>
        </is>
      </c>
    </row>
    <row r="1072" s="34">
      <c r="A1072" s="40" t="inlineStr">
        <is>
          <t>320.01.01.A280</t>
        </is>
      </c>
      <c r="B1072" s="40" t="inlineStr">
        <is>
          <t>Amadeus Leisure It Gmbh</t>
        </is>
      </c>
      <c r="C1072" s="40" t="inlineStr">
        <is>
          <t>TRY</t>
        </is>
      </c>
      <c r="D1072" s="40" t="inlineStr">
        <is>
          <t>SERTAŞ MERKEZ</t>
        </is>
      </c>
      <c r="E1072" s="38" t="n">
        <v>4262.14</v>
      </c>
      <c r="F1072" s="38" t="n">
        <v>6.67</v>
      </c>
      <c r="G1072" s="38" t="n">
        <v>4255.47</v>
      </c>
      <c r="H1072" s="40" t="inlineStr">
        <is>
          <t>Borç</t>
        </is>
      </c>
      <c r="I1072" s="38" t="n">
        <v>80</v>
      </c>
      <c r="J1072" s="38" t="n">
        <v>0</v>
      </c>
      <c r="K1072" s="38" t="n">
        <v>80</v>
      </c>
      <c r="L1072" s="40" t="inlineStr">
        <is>
          <t>Borç</t>
        </is>
      </c>
    </row>
    <row r="1073" s="34">
      <c r="A1073" s="40" t="inlineStr">
        <is>
          <t>320.01.01.A281</t>
        </is>
      </c>
      <c r="B1073" s="40" t="inlineStr">
        <is>
          <t>Antalya 21. Noterliği</t>
        </is>
      </c>
      <c r="C1073" s="40" t="inlineStr">
        <is>
          <t>TRY</t>
        </is>
      </c>
      <c r="D1073" s="40" t="inlineStr">
        <is>
          <t>ROYAL ADAM EVE</t>
        </is>
      </c>
      <c r="E1073" s="38" t="n">
        <v>0</v>
      </c>
      <c r="F1073" s="38" t="n">
        <v>2436.94</v>
      </c>
      <c r="G1073" s="38" t="n">
        <v>-2436.94</v>
      </c>
      <c r="H1073" s="40" t="inlineStr">
        <is>
          <t>Alacak</t>
        </is>
      </c>
      <c r="I1073" s="38" t="n">
        <v>0</v>
      </c>
      <c r="J1073" s="38" t="n">
        <v>2436.94</v>
      </c>
      <c r="K1073" s="38" t="n">
        <v>-2436.94</v>
      </c>
      <c r="L1073" s="40" t="inlineStr">
        <is>
          <t>Alacak</t>
        </is>
      </c>
    </row>
    <row r="1074" s="34">
      <c r="A1074" s="40" t="inlineStr">
        <is>
          <t>320.01.01.A281</t>
        </is>
      </c>
      <c r="B1074" s="40" t="inlineStr">
        <is>
          <t>Antalya 21. Noterliği</t>
        </is>
      </c>
      <c r="C1074" s="40" t="inlineStr">
        <is>
          <t>TRY</t>
        </is>
      </c>
      <c r="D1074" s="40" t="inlineStr">
        <is>
          <t>SERTAŞ MERKEZ</t>
        </is>
      </c>
      <c r="E1074" s="38" t="n">
        <v>21479.99</v>
      </c>
      <c r="F1074" s="38" t="n">
        <v>8471.309999999999</v>
      </c>
      <c r="G1074" s="38" t="n">
        <v>13008.68</v>
      </c>
      <c r="H1074" s="40" t="inlineStr">
        <is>
          <t>Borç</t>
        </is>
      </c>
      <c r="I1074" s="38" t="n">
        <v>21479.99</v>
      </c>
      <c r="J1074" s="38" t="n">
        <v>8471.309999999999</v>
      </c>
      <c r="K1074" s="38" t="n">
        <v>13008.68</v>
      </c>
      <c r="L1074" s="40" t="inlineStr">
        <is>
          <t>Borç</t>
        </is>
      </c>
    </row>
    <row r="1075" s="34">
      <c r="A1075" s="40" t="inlineStr">
        <is>
          <t>320.01.01.A301</t>
        </is>
      </c>
      <c r="B1075" s="40" t="inlineStr">
        <is>
          <t>Abalık Restorant Su Ürünleri Gıda Tas.Tur.San.Tic.Ldt.Şti.</t>
        </is>
      </c>
      <c r="C1075" s="40" t="inlineStr">
        <is>
          <t>TRY</t>
        </is>
      </c>
      <c r="D1075" s="40" t="inlineStr">
        <is>
          <t>GİTAŞ MERKEZ</t>
        </is>
      </c>
      <c r="E1075" s="38" t="n">
        <v>11179.19</v>
      </c>
      <c r="F1075" s="38" t="n">
        <v>0</v>
      </c>
      <c r="G1075" s="38" t="n">
        <v>11179.19</v>
      </c>
      <c r="H1075" s="40" t="inlineStr">
        <is>
          <t>Borç</t>
        </is>
      </c>
      <c r="I1075" s="38" t="n">
        <v>11179.19</v>
      </c>
      <c r="J1075" s="38" t="n">
        <v>0</v>
      </c>
      <c r="K1075" s="38" t="n">
        <v>11179.19</v>
      </c>
      <c r="L1075" s="40" t="inlineStr">
        <is>
          <t>Borç</t>
        </is>
      </c>
    </row>
    <row r="1076" s="34">
      <c r="A1076" s="40" t="inlineStr">
        <is>
          <t>320.01.01.A301</t>
        </is>
      </c>
      <c r="B1076" s="40" t="inlineStr">
        <is>
          <t>Abalık Restorant Su Ürünleri Gıda Tas.Tur.San.Tic.Ldt.Şti.</t>
        </is>
      </c>
      <c r="C1076" s="40" t="inlineStr">
        <is>
          <t>TRY</t>
        </is>
      </c>
      <c r="D1076" s="40" t="inlineStr">
        <is>
          <t>ROYAL ADAM EVE</t>
        </is>
      </c>
      <c r="E1076" s="38" t="n">
        <v>27148.8</v>
      </c>
      <c r="F1076" s="38" t="n">
        <v>0</v>
      </c>
      <c r="G1076" s="38" t="n">
        <v>27148.8</v>
      </c>
      <c r="H1076" s="40" t="inlineStr">
        <is>
          <t>Borç</t>
        </is>
      </c>
      <c r="I1076" s="38" t="n">
        <v>27148.8</v>
      </c>
      <c r="J1076" s="38" t="n">
        <v>0</v>
      </c>
      <c r="K1076" s="38" t="n">
        <v>27148.8</v>
      </c>
      <c r="L1076" s="40" t="inlineStr">
        <is>
          <t>Borç</t>
        </is>
      </c>
    </row>
    <row r="1077" s="34">
      <c r="A1077" s="40" t="inlineStr">
        <is>
          <t>320.01.01.A301</t>
        </is>
      </c>
      <c r="B1077" s="40" t="inlineStr">
        <is>
          <t>Abalık Restorant Su Ürünleri Gıda Tas.Tur.San.Tic.Ldt.Şti.</t>
        </is>
      </c>
      <c r="C1077" s="40" t="inlineStr">
        <is>
          <t>TRY</t>
        </is>
      </c>
      <c r="D1077" s="40" t="inlineStr">
        <is>
          <t>ROYAL HOLIDAY</t>
        </is>
      </c>
      <c r="E1077" s="38" t="n">
        <v>0</v>
      </c>
      <c r="F1077" s="38" t="n">
        <v>23331</v>
      </c>
      <c r="G1077" s="38" t="n">
        <v>-23331</v>
      </c>
      <c r="H1077" s="40" t="inlineStr">
        <is>
          <t>Alacak</t>
        </is>
      </c>
      <c r="I1077" s="38" t="n">
        <v>0</v>
      </c>
      <c r="J1077" s="38" t="n">
        <v>23331</v>
      </c>
      <c r="K1077" s="38" t="n">
        <v>-23331</v>
      </c>
      <c r="L1077" s="40" t="inlineStr">
        <is>
          <t>Alacak</t>
        </is>
      </c>
    </row>
    <row r="1078" s="34">
      <c r="A1078" s="40" t="inlineStr">
        <is>
          <t>320.01.01.A301</t>
        </is>
      </c>
      <c r="B1078" s="40" t="inlineStr">
        <is>
          <t>Abalık Restorant Su Ürünleri Gıda Tas.Tur.San.Tic.Ldt.Şti.</t>
        </is>
      </c>
      <c r="C1078" s="40" t="inlineStr">
        <is>
          <t>TRY</t>
        </is>
      </c>
      <c r="D1078" s="40" t="inlineStr">
        <is>
          <t>SERTAŞ MERKEZ</t>
        </is>
      </c>
      <c r="E1078" s="38" t="n">
        <v>37814.4</v>
      </c>
      <c r="F1078" s="38" t="n">
        <v>0</v>
      </c>
      <c r="G1078" s="38" t="n">
        <v>37814.4</v>
      </c>
      <c r="H1078" s="40" t="inlineStr">
        <is>
          <t>Borç</t>
        </is>
      </c>
      <c r="I1078" s="38" t="n">
        <v>37814.4</v>
      </c>
      <c r="J1078" s="38" t="n">
        <v>0</v>
      </c>
      <c r="K1078" s="38" t="n">
        <v>37814.4</v>
      </c>
      <c r="L1078" s="40" t="inlineStr">
        <is>
          <t>Borç</t>
        </is>
      </c>
    </row>
    <row r="1079" s="34">
      <c r="A1079" s="40" t="inlineStr">
        <is>
          <t>320.01.01.A342</t>
        </is>
      </c>
      <c r="B1079" s="40" t="inlineStr">
        <is>
          <t>Afra Grup Turizm Sanayi Tic.Ldt Sti.</t>
        </is>
      </c>
      <c r="C1079" s="40" t="inlineStr">
        <is>
          <t>TRY</t>
        </is>
      </c>
      <c r="D1079" s="40" t="inlineStr">
        <is>
          <t>ROYAL ADAM EVE</t>
        </is>
      </c>
      <c r="E1079" s="38" t="n">
        <v>2390107.26</v>
      </c>
      <c r="F1079" s="38" t="n">
        <v>0</v>
      </c>
      <c r="G1079" s="38" t="n">
        <v>2390107.26</v>
      </c>
      <c r="H1079" s="40" t="inlineStr">
        <is>
          <t>Borç</t>
        </is>
      </c>
      <c r="I1079" s="38" t="n">
        <v>2390107.26</v>
      </c>
      <c r="J1079" s="38" t="n">
        <v>0</v>
      </c>
      <c r="K1079" s="38" t="n">
        <v>2390107.26</v>
      </c>
      <c r="L1079" s="40" t="inlineStr">
        <is>
          <t>Borç</t>
        </is>
      </c>
    </row>
    <row r="1080" s="34">
      <c r="A1080" s="40" t="inlineStr">
        <is>
          <t>320.01.01.A343</t>
        </is>
      </c>
      <c r="B1080" s="40" t="inlineStr">
        <is>
          <t>Alfa Edt Gıda San.Ve Tic.Ldt Sti.</t>
        </is>
      </c>
      <c r="C1080" s="40" t="inlineStr">
        <is>
          <t>TRY</t>
        </is>
      </c>
      <c r="D1080" s="40" t="inlineStr">
        <is>
          <t>SERTAŞ MERKEZ</t>
        </is>
      </c>
      <c r="E1080" s="38" t="n">
        <v>2424</v>
      </c>
      <c r="F1080" s="38" t="n">
        <v>0</v>
      </c>
      <c r="G1080" s="38" t="n">
        <v>2424</v>
      </c>
      <c r="H1080" s="40" t="inlineStr">
        <is>
          <t>Borç</t>
        </is>
      </c>
      <c r="I1080" s="38" t="n">
        <v>2424</v>
      </c>
      <c r="J1080" s="38" t="n">
        <v>0</v>
      </c>
      <c r="K1080" s="38" t="n">
        <v>2424</v>
      </c>
      <c r="L1080" s="40" t="inlineStr">
        <is>
          <t>Borç</t>
        </is>
      </c>
    </row>
    <row r="1081" s="34">
      <c r="A1081" s="40" t="inlineStr">
        <is>
          <t>320.01.01.A351</t>
        </is>
      </c>
      <c r="B1081" s="40" t="inlineStr">
        <is>
          <t>Adalya Balıkcılık Deniz Ür.San.Tic.A.S</t>
        </is>
      </c>
      <c r="C1081" s="40" t="inlineStr">
        <is>
          <t>TRY</t>
        </is>
      </c>
      <c r="D1081" s="40" t="inlineStr">
        <is>
          <t>ROYAL ADAM EVE</t>
        </is>
      </c>
      <c r="E1081" s="38" t="n">
        <v>0</v>
      </c>
      <c r="F1081" s="38" t="n">
        <v>26505.43</v>
      </c>
      <c r="G1081" s="38" t="n">
        <v>-26505.43</v>
      </c>
      <c r="H1081" s="40" t="inlineStr">
        <is>
          <t>Alacak</t>
        </is>
      </c>
      <c r="I1081" s="38" t="n">
        <v>0</v>
      </c>
      <c r="J1081" s="38" t="n">
        <v>26505.43</v>
      </c>
      <c r="K1081" s="38" t="n">
        <v>-26505.43</v>
      </c>
      <c r="L1081" s="40" t="inlineStr">
        <is>
          <t>Alacak</t>
        </is>
      </c>
    </row>
    <row r="1082" s="34">
      <c r="A1082" s="40" t="inlineStr">
        <is>
          <t>320.01.01.A351</t>
        </is>
      </c>
      <c r="B1082" s="40" t="inlineStr">
        <is>
          <t>Adalya Balıkcılık Deniz Ür.San.Tic.A.S</t>
        </is>
      </c>
      <c r="C1082" s="40" t="inlineStr">
        <is>
          <t>TRY</t>
        </is>
      </c>
      <c r="D1082" s="40" t="inlineStr">
        <is>
          <t>ROYAL ALHAMBRA</t>
        </is>
      </c>
      <c r="E1082" s="38" t="n">
        <v>0</v>
      </c>
      <c r="F1082" s="38" t="n">
        <v>1045170.73</v>
      </c>
      <c r="G1082" s="38" t="n">
        <v>-1045170.73</v>
      </c>
      <c r="H1082" s="40" t="inlineStr">
        <is>
          <t>Alacak</t>
        </is>
      </c>
      <c r="I1082" s="38" t="n">
        <v>0</v>
      </c>
      <c r="J1082" s="38" t="n">
        <v>1045170.73</v>
      </c>
      <c r="K1082" s="38" t="n">
        <v>-1045170.73</v>
      </c>
      <c r="L1082" s="40" t="inlineStr">
        <is>
          <t>Alacak</t>
        </is>
      </c>
    </row>
    <row r="1083" s="34">
      <c r="A1083" s="40" t="inlineStr">
        <is>
          <t>320.01.01.A351</t>
        </is>
      </c>
      <c r="B1083" s="40" t="inlineStr">
        <is>
          <t>Adalya Balıkcılık Deniz Ür.San.Tic.A.S</t>
        </is>
      </c>
      <c r="C1083" s="40" t="inlineStr">
        <is>
          <t>TRY</t>
        </is>
      </c>
      <c r="D1083" s="40" t="inlineStr">
        <is>
          <t>ROYAL DRAGON</t>
        </is>
      </c>
      <c r="E1083" s="38" t="n">
        <v>0</v>
      </c>
      <c r="F1083" s="38" t="n">
        <v>357408.85</v>
      </c>
      <c r="G1083" s="38" t="n">
        <v>-357408.85</v>
      </c>
      <c r="H1083" s="40" t="inlineStr">
        <is>
          <t>Alacak</t>
        </is>
      </c>
      <c r="I1083" s="38" t="n">
        <v>0</v>
      </c>
      <c r="J1083" s="38" t="n">
        <v>357408.85</v>
      </c>
      <c r="K1083" s="38" t="n">
        <v>-357408.85</v>
      </c>
      <c r="L1083" s="40" t="inlineStr">
        <is>
          <t>Alacak</t>
        </is>
      </c>
    </row>
    <row r="1084" s="34">
      <c r="A1084" s="40" t="inlineStr">
        <is>
          <t>320.01.01.A351</t>
        </is>
      </c>
      <c r="B1084" s="40" t="inlineStr">
        <is>
          <t>Adalya Balıkcılık Deniz Ür.San.Tic.A.S</t>
        </is>
      </c>
      <c r="C1084" s="40" t="inlineStr">
        <is>
          <t>TRY</t>
        </is>
      </c>
      <c r="D1084" s="40" t="inlineStr">
        <is>
          <t>ROYAL HOLIDAY</t>
        </is>
      </c>
      <c r="E1084" s="38" t="n">
        <v>0</v>
      </c>
      <c r="F1084" s="38" t="n">
        <v>481499.32</v>
      </c>
      <c r="G1084" s="38" t="n">
        <v>-481499.32</v>
      </c>
      <c r="H1084" s="40" t="inlineStr">
        <is>
          <t>Alacak</t>
        </is>
      </c>
      <c r="I1084" s="38" t="n">
        <v>0</v>
      </c>
      <c r="J1084" s="38" t="n">
        <v>481499.32</v>
      </c>
      <c r="K1084" s="38" t="n">
        <v>-481499.32</v>
      </c>
      <c r="L1084" s="40" t="inlineStr">
        <is>
          <t>Alacak</t>
        </is>
      </c>
    </row>
    <row r="1085" s="34">
      <c r="A1085" s="40" t="inlineStr">
        <is>
          <t>320.01.01.A351</t>
        </is>
      </c>
      <c r="B1085" s="40" t="inlineStr">
        <is>
          <t>Adalya Balıkcılık Deniz Ür.San.Tic.A.S</t>
        </is>
      </c>
      <c r="C1085" s="40" t="inlineStr">
        <is>
          <t>TRY</t>
        </is>
      </c>
      <c r="D1085" s="40" t="inlineStr">
        <is>
          <t>ROYAL SEGINUS</t>
        </is>
      </c>
      <c r="E1085" s="38" t="n">
        <v>0</v>
      </c>
      <c r="F1085" s="38" t="n">
        <v>414294.43</v>
      </c>
      <c r="G1085" s="38" t="n">
        <v>-414294.43</v>
      </c>
      <c r="H1085" s="40" t="inlineStr">
        <is>
          <t>Alacak</t>
        </is>
      </c>
      <c r="I1085" s="38" t="n">
        <v>0</v>
      </c>
      <c r="J1085" s="38" t="n">
        <v>414294.43</v>
      </c>
      <c r="K1085" s="38" t="n">
        <v>-414294.43</v>
      </c>
      <c r="L1085" s="40" t="inlineStr">
        <is>
          <t>Alacak</t>
        </is>
      </c>
    </row>
    <row r="1086" s="34">
      <c r="A1086" s="40" t="inlineStr">
        <is>
          <t>320.01.01.A354</t>
        </is>
      </c>
      <c r="B1086" s="40" t="inlineStr">
        <is>
          <t>Antalya Büyükşehir Belediyesi</t>
        </is>
      </c>
      <c r="C1086" s="40" t="inlineStr">
        <is>
          <t>TRY</t>
        </is>
      </c>
      <c r="D1086" s="40" t="inlineStr">
        <is>
          <t>GİTAŞ MERKEZ</t>
        </is>
      </c>
      <c r="E1086" s="38" t="n">
        <v>438403.89</v>
      </c>
      <c r="F1086" s="38" t="n">
        <v>0</v>
      </c>
      <c r="G1086" s="38" t="n">
        <v>438403.89</v>
      </c>
      <c r="H1086" s="40" t="inlineStr">
        <is>
          <t>Borç</t>
        </is>
      </c>
      <c r="I1086" s="38" t="n">
        <v>438403.89</v>
      </c>
      <c r="J1086" s="38" t="n">
        <v>0</v>
      </c>
      <c r="K1086" s="38" t="n">
        <v>438403.89</v>
      </c>
      <c r="L1086" s="40" t="inlineStr">
        <is>
          <t>Borç</t>
        </is>
      </c>
    </row>
    <row r="1087" s="34">
      <c r="A1087" s="40" t="inlineStr">
        <is>
          <t>320.01.01.A354</t>
        </is>
      </c>
      <c r="B1087" s="40" t="inlineStr">
        <is>
          <t>Antalya Büyükşehir Belediyesi</t>
        </is>
      </c>
      <c r="C1087" s="40" t="inlineStr">
        <is>
          <t>TRY</t>
        </is>
      </c>
      <c r="D1087" s="40" t="inlineStr">
        <is>
          <t>ROYAL ADAM EVE</t>
        </is>
      </c>
      <c r="E1087" s="38" t="n">
        <v>1785000</v>
      </c>
      <c r="F1087" s="38" t="n">
        <v>0</v>
      </c>
      <c r="G1087" s="38" t="n">
        <v>1785000</v>
      </c>
      <c r="H1087" s="40" t="inlineStr">
        <is>
          <t>Borç</t>
        </is>
      </c>
      <c r="I1087" s="38" t="n">
        <v>1785000</v>
      </c>
      <c r="J1087" s="38" t="n">
        <v>0</v>
      </c>
      <c r="K1087" s="38" t="n">
        <v>1785000</v>
      </c>
      <c r="L1087" s="40" t="inlineStr">
        <is>
          <t>Borç</t>
        </is>
      </c>
    </row>
    <row r="1088" s="34">
      <c r="A1088" s="40" t="inlineStr">
        <is>
          <t>320.01.01.A357</t>
        </is>
      </c>
      <c r="B1088" s="40" t="inlineStr">
        <is>
          <t>Alarko Carrıer San.Ve Tic.Aş.</t>
        </is>
      </c>
      <c r="C1088" s="40" t="inlineStr">
        <is>
          <t>TRY</t>
        </is>
      </c>
      <c r="D1088" s="40" t="inlineStr">
        <is>
          <t>SERTAŞ MERKEZ</t>
        </is>
      </c>
      <c r="E1088" s="38" t="n">
        <v>123960</v>
      </c>
      <c r="F1088" s="38" t="n">
        <v>0</v>
      </c>
      <c r="G1088" s="38" t="n">
        <v>123960</v>
      </c>
      <c r="H1088" s="40" t="inlineStr">
        <is>
          <t>Borç</t>
        </is>
      </c>
      <c r="I1088" s="38" t="n">
        <v>123960</v>
      </c>
      <c r="J1088" s="38" t="n">
        <v>0</v>
      </c>
      <c r="K1088" s="38" t="n">
        <v>123960</v>
      </c>
      <c r="L1088" s="40" t="inlineStr">
        <is>
          <t>Borç</t>
        </is>
      </c>
    </row>
    <row r="1089" s="34">
      <c r="A1089" s="40" t="inlineStr">
        <is>
          <t>320.01.01.A360</t>
        </is>
      </c>
      <c r="B1089" s="40" t="inlineStr">
        <is>
          <t>Arbek Teknik Hizmetler Ltd.Şti.</t>
        </is>
      </c>
      <c r="C1089" s="40" t="inlineStr">
        <is>
          <t>TRY</t>
        </is>
      </c>
      <c r="D1089" s="40" t="inlineStr">
        <is>
          <t>ROYAL ADAM EVE</t>
        </is>
      </c>
      <c r="E1089" s="38" t="n">
        <v>5832</v>
      </c>
      <c r="F1089" s="38" t="n">
        <v>5832</v>
      </c>
      <c r="G1089" s="38" t="n">
        <v>0</v>
      </c>
      <c r="I1089" s="38" t="n">
        <v>5832</v>
      </c>
      <c r="J1089" s="38" t="n">
        <v>5832</v>
      </c>
      <c r="K1089" s="38" t="n">
        <v>0</v>
      </c>
    </row>
    <row r="1090" s="34">
      <c r="A1090" s="40" t="inlineStr">
        <is>
          <t>320.01.01.B001</t>
        </is>
      </c>
      <c r="B1090" s="40" t="inlineStr">
        <is>
          <t>Bilal Habeş Aydın</t>
        </is>
      </c>
      <c r="C1090" s="40" t="inlineStr">
        <is>
          <t>TRY</t>
        </is>
      </c>
      <c r="D1090" s="40" t="inlineStr">
        <is>
          <t>GİTAŞ MERKEZ</t>
        </is>
      </c>
      <c r="E1090" s="38" t="n">
        <v>0</v>
      </c>
      <c r="F1090" s="38" t="n">
        <v>5406.89</v>
      </c>
      <c r="G1090" s="38" t="n">
        <v>-5406.89</v>
      </c>
      <c r="H1090" s="40" t="inlineStr">
        <is>
          <t>Alacak</t>
        </is>
      </c>
      <c r="I1090" s="38" t="n">
        <v>0</v>
      </c>
      <c r="J1090" s="38" t="n">
        <v>5406.89</v>
      </c>
      <c r="K1090" s="38" t="n">
        <v>-5406.89</v>
      </c>
      <c r="L1090" s="40" t="inlineStr">
        <is>
          <t>Alacak</t>
        </is>
      </c>
    </row>
    <row r="1091" s="34">
      <c r="A1091" s="40" t="inlineStr">
        <is>
          <t>320.01.01.B002</t>
        </is>
      </c>
      <c r="B1091" s="40" t="inlineStr">
        <is>
          <t>Brt Yonetim Danışmanlığı Sanayi Ticaret Ltd.Şti.</t>
        </is>
      </c>
      <c r="C1091" s="40" t="inlineStr">
        <is>
          <t>TRY</t>
        </is>
      </c>
      <c r="D1091" s="40" t="inlineStr">
        <is>
          <t>GİTAŞ MERKEZ</t>
        </is>
      </c>
      <c r="E1091" s="38" t="n">
        <v>210364.7</v>
      </c>
      <c r="F1091" s="38" t="n">
        <v>0</v>
      </c>
      <c r="G1091" s="38" t="n">
        <v>210364.7</v>
      </c>
      <c r="H1091" s="40" t="inlineStr">
        <is>
          <t>Borç</t>
        </is>
      </c>
      <c r="I1091" s="38" t="n">
        <v>3960</v>
      </c>
      <c r="J1091" s="38" t="n">
        <v>0</v>
      </c>
      <c r="K1091" s="38" t="n">
        <v>3960</v>
      </c>
      <c r="L1091" s="40" t="inlineStr">
        <is>
          <t>Borç</t>
        </is>
      </c>
    </row>
    <row r="1092" s="34">
      <c r="A1092" s="40" t="inlineStr">
        <is>
          <t>320.01.01.B002</t>
        </is>
      </c>
      <c r="B1092" s="40" t="inlineStr">
        <is>
          <t>Brt Yonetim Danışmanlığı Sanayi Ticaret Ltd.Şti.</t>
        </is>
      </c>
      <c r="C1092" s="40" t="inlineStr">
        <is>
          <t>TRY</t>
        </is>
      </c>
      <c r="D1092" s="40" t="inlineStr">
        <is>
          <t>SERTAŞ MERKEZ</t>
        </is>
      </c>
      <c r="E1092" s="38" t="n">
        <v>318999.3</v>
      </c>
      <c r="F1092" s="38" t="n">
        <v>0</v>
      </c>
      <c r="G1092" s="38" t="n">
        <v>318999.3</v>
      </c>
      <c r="H1092" s="40" t="inlineStr">
        <is>
          <t>Borç</t>
        </is>
      </c>
      <c r="I1092" s="38" t="n">
        <v>6000</v>
      </c>
      <c r="J1092" s="38" t="n">
        <v>0</v>
      </c>
      <c r="K1092" s="38" t="n">
        <v>6000</v>
      </c>
      <c r="L1092" s="40" t="inlineStr">
        <is>
          <t>Borç</t>
        </is>
      </c>
    </row>
    <row r="1093" s="34">
      <c r="A1093" s="40" t="inlineStr">
        <is>
          <t>320.01.01.B003</t>
        </is>
      </c>
      <c r="B1093" s="40" t="inlineStr">
        <is>
          <t>Burak Namlı</t>
        </is>
      </c>
      <c r="C1093" s="40" t="inlineStr">
        <is>
          <t>TRY</t>
        </is>
      </c>
      <c r="D1093" s="40" t="inlineStr">
        <is>
          <t>ROYAL HOLIDAY</t>
        </is>
      </c>
      <c r="E1093" s="38" t="n">
        <v>0</v>
      </c>
      <c r="F1093" s="38" t="n">
        <v>14400</v>
      </c>
      <c r="G1093" s="38" t="n">
        <v>-14400</v>
      </c>
      <c r="H1093" s="40" t="inlineStr">
        <is>
          <t>Alacak</t>
        </is>
      </c>
      <c r="I1093" s="38" t="n">
        <v>0</v>
      </c>
      <c r="J1093" s="38" t="n">
        <v>14400</v>
      </c>
      <c r="K1093" s="38" t="n">
        <v>-14400</v>
      </c>
      <c r="L1093" s="40" t="inlineStr">
        <is>
          <t>Alacak</t>
        </is>
      </c>
    </row>
    <row r="1094" s="34">
      <c r="A1094" s="40" t="inlineStr">
        <is>
          <t>320.01.01.B003</t>
        </is>
      </c>
      <c r="B1094" s="40" t="inlineStr">
        <is>
          <t>Burak Namlı</t>
        </is>
      </c>
      <c r="C1094" s="40" t="inlineStr">
        <is>
          <t>TRY</t>
        </is>
      </c>
      <c r="D1094" s="40" t="inlineStr">
        <is>
          <t>SERTAŞ MERKEZ</t>
        </is>
      </c>
      <c r="E1094" s="38" t="n">
        <v>24600</v>
      </c>
      <c r="F1094" s="38" t="n">
        <v>0</v>
      </c>
      <c r="G1094" s="38" t="n">
        <v>24600</v>
      </c>
      <c r="H1094" s="40" t="inlineStr">
        <is>
          <t>Borç</t>
        </is>
      </c>
      <c r="I1094" s="38" t="n">
        <v>24600</v>
      </c>
      <c r="J1094" s="38" t="n">
        <v>0</v>
      </c>
      <c r="K1094" s="38" t="n">
        <v>24600</v>
      </c>
      <c r="L1094" s="40" t="inlineStr">
        <is>
          <t>Borç</t>
        </is>
      </c>
    </row>
    <row r="1095" s="34">
      <c r="A1095" s="40" t="inlineStr">
        <is>
          <t>320.01.01.B008</t>
        </is>
      </c>
      <c r="B1095" s="40" t="inlineStr">
        <is>
          <t>Bahar Gıda İnş.Tur.Eml.San.Tic.A.Ş.</t>
        </is>
      </c>
      <c r="C1095" s="40" t="inlineStr">
        <is>
          <t>TRY</t>
        </is>
      </c>
      <c r="D1095" s="40" t="inlineStr">
        <is>
          <t>GİTAŞ MERKEZ</t>
        </is>
      </c>
      <c r="E1095" s="38" t="n">
        <v>524503.52</v>
      </c>
      <c r="F1095" s="38" t="n">
        <v>0</v>
      </c>
      <c r="G1095" s="38" t="n">
        <v>524503.52</v>
      </c>
      <c r="H1095" s="40" t="inlineStr">
        <is>
          <t>Borç</t>
        </is>
      </c>
      <c r="I1095" s="38" t="n">
        <v>0</v>
      </c>
      <c r="J1095" s="38" t="n">
        <v>0</v>
      </c>
      <c r="K1095" s="38" t="n">
        <v>0</v>
      </c>
    </row>
    <row r="1096" s="34">
      <c r="A1096" s="40" t="inlineStr">
        <is>
          <t>320.01.01.B008</t>
        </is>
      </c>
      <c r="B1096" s="40" t="inlineStr">
        <is>
          <t>Bahar Gıda İnş.Tur.Eml.San.Tic.A.Ş.</t>
        </is>
      </c>
      <c r="C1096" s="40" t="inlineStr">
        <is>
          <t>TRY</t>
        </is>
      </c>
      <c r="D1096" s="40" t="inlineStr">
        <is>
          <t>ROYAL ADAM EVE</t>
        </is>
      </c>
      <c r="E1096" s="38" t="n">
        <v>267478.25</v>
      </c>
      <c r="F1096" s="38" t="n">
        <v>117127.6</v>
      </c>
      <c r="G1096" s="38" t="n">
        <v>150350.65</v>
      </c>
      <c r="H1096" s="40" t="inlineStr">
        <is>
          <t>Borç</t>
        </is>
      </c>
      <c r="I1096" s="38" t="n">
        <v>267478.25</v>
      </c>
      <c r="J1096" s="38" t="n">
        <v>117127.6</v>
      </c>
      <c r="K1096" s="38" t="n">
        <v>150350.65</v>
      </c>
      <c r="L1096" s="40" t="inlineStr">
        <is>
          <t>Borç</t>
        </is>
      </c>
    </row>
    <row r="1097" s="34">
      <c r="A1097" s="40" t="inlineStr">
        <is>
          <t>320.01.01.B008</t>
        </is>
      </c>
      <c r="B1097" s="40" t="inlineStr">
        <is>
          <t>Bahar Gıda İnş.Tur.Eml.San.Tic.A.Ş.</t>
        </is>
      </c>
      <c r="C1097" s="40" t="inlineStr">
        <is>
          <t>TRY</t>
        </is>
      </c>
      <c r="D1097" s="40" t="inlineStr">
        <is>
          <t>ROYAL ALHAMBRA</t>
        </is>
      </c>
      <c r="E1097" s="38" t="n">
        <v>13461.28</v>
      </c>
      <c r="F1097" s="38" t="n">
        <v>752080.35</v>
      </c>
      <c r="G1097" s="38" t="n">
        <v>-738619.0699999999</v>
      </c>
      <c r="H1097" s="40" t="inlineStr">
        <is>
          <t>Alacak</t>
        </is>
      </c>
      <c r="I1097" s="38" t="n">
        <v>13461.28</v>
      </c>
      <c r="J1097" s="38" t="n">
        <v>752080.35</v>
      </c>
      <c r="K1097" s="38" t="n">
        <v>-738619.0699999999</v>
      </c>
      <c r="L1097" s="40" t="inlineStr">
        <is>
          <t>Alacak</t>
        </is>
      </c>
    </row>
    <row r="1098" s="34">
      <c r="A1098" s="40" t="inlineStr">
        <is>
          <t>320.01.01.B008</t>
        </is>
      </c>
      <c r="B1098" s="40" t="inlineStr">
        <is>
          <t>Bahar Gıda İnş.Tur.Eml.San.Tic.A.Ş.</t>
        </is>
      </c>
      <c r="C1098" s="40" t="inlineStr">
        <is>
          <t>TRY</t>
        </is>
      </c>
      <c r="D1098" s="40" t="inlineStr">
        <is>
          <t>ROYAL DRAGON</t>
        </is>
      </c>
      <c r="E1098" s="38" t="n">
        <v>0</v>
      </c>
      <c r="F1098" s="38" t="n">
        <v>261105.85</v>
      </c>
      <c r="G1098" s="38" t="n">
        <v>-261105.85</v>
      </c>
      <c r="H1098" s="40" t="inlineStr">
        <is>
          <t>Alacak</t>
        </is>
      </c>
      <c r="I1098" s="38" t="n">
        <v>0</v>
      </c>
      <c r="J1098" s="38" t="n">
        <v>261105.85</v>
      </c>
      <c r="K1098" s="38" t="n">
        <v>-261105.85</v>
      </c>
      <c r="L1098" s="40" t="inlineStr">
        <is>
          <t>Alacak</t>
        </is>
      </c>
    </row>
    <row r="1099" s="34">
      <c r="A1099" s="40" t="inlineStr">
        <is>
          <t>320.01.01.B008</t>
        </is>
      </c>
      <c r="B1099" s="40" t="inlineStr">
        <is>
          <t>Bahar Gıda İnş.Tur.Eml.San.Tic.A.Ş.</t>
        </is>
      </c>
      <c r="C1099" s="40" t="inlineStr">
        <is>
          <t>TRY</t>
        </is>
      </c>
      <c r="D1099" s="40" t="inlineStr">
        <is>
          <t>ROYAL HOLIDAY</t>
        </is>
      </c>
      <c r="E1099" s="38" t="n">
        <v>6024.88</v>
      </c>
      <c r="F1099" s="38" t="n">
        <v>762375.79</v>
      </c>
      <c r="G1099" s="38" t="n">
        <v>-756350.91</v>
      </c>
      <c r="H1099" s="40" t="inlineStr">
        <is>
          <t>Alacak</t>
        </is>
      </c>
      <c r="I1099" s="38" t="n">
        <v>6024.88</v>
      </c>
      <c r="J1099" s="38" t="n">
        <v>762375.79</v>
      </c>
      <c r="K1099" s="38" t="n">
        <v>-756350.91</v>
      </c>
      <c r="L1099" s="40" t="inlineStr">
        <is>
          <t>Alacak</t>
        </is>
      </c>
    </row>
    <row r="1100" s="34">
      <c r="A1100" s="40" t="inlineStr">
        <is>
          <t>320.01.01.B008</t>
        </is>
      </c>
      <c r="B1100" s="40" t="inlineStr">
        <is>
          <t>Bahar Gıda İnş.Tur.Eml.San.Tic.A.Ş.</t>
        </is>
      </c>
      <c r="C1100" s="40" t="inlineStr">
        <is>
          <t>TRY</t>
        </is>
      </c>
      <c r="D1100" s="40" t="inlineStr">
        <is>
          <t>ROYAL SEGINUS</t>
        </is>
      </c>
      <c r="E1100" s="38" t="n">
        <v>0</v>
      </c>
      <c r="F1100" s="38" t="n">
        <v>1099256.46</v>
      </c>
      <c r="G1100" s="38" t="n">
        <v>-1099256.46</v>
      </c>
      <c r="H1100" s="40" t="inlineStr">
        <is>
          <t>Alacak</t>
        </is>
      </c>
      <c r="I1100" s="38" t="n">
        <v>0</v>
      </c>
      <c r="J1100" s="38" t="n">
        <v>1099256.46</v>
      </c>
      <c r="K1100" s="38" t="n">
        <v>-1099256.46</v>
      </c>
      <c r="L1100" s="40" t="inlineStr">
        <is>
          <t>Alacak</t>
        </is>
      </c>
    </row>
    <row r="1101" s="34">
      <c r="A1101" s="40" t="inlineStr">
        <is>
          <t>320.01.01.B008</t>
        </is>
      </c>
      <c r="B1101" s="40" t="inlineStr">
        <is>
          <t>Bahar Gıda İnş.Tur.Eml.San.Tic.A.Ş.</t>
        </is>
      </c>
      <c r="C1101" s="40" t="inlineStr">
        <is>
          <t>TRY</t>
        </is>
      </c>
      <c r="D1101" s="40" t="inlineStr">
        <is>
          <t>SERTAŞ MERKEZ</t>
        </is>
      </c>
      <c r="E1101" s="38" t="n">
        <v>1087336.03</v>
      </c>
      <c r="F1101" s="38" t="n">
        <v>0</v>
      </c>
      <c r="G1101" s="38" t="n">
        <v>1087336.03</v>
      </c>
      <c r="H1101" s="40" t="inlineStr">
        <is>
          <t>Borç</t>
        </is>
      </c>
      <c r="I1101" s="38" t="n">
        <v>1087336.03</v>
      </c>
      <c r="J1101" s="38" t="n">
        <v>0</v>
      </c>
      <c r="K1101" s="38" t="n">
        <v>1087336.03</v>
      </c>
      <c r="L1101" s="40" t="inlineStr">
        <is>
          <t>Borç</t>
        </is>
      </c>
    </row>
    <row r="1102" s="34">
      <c r="A1102" s="40" t="inlineStr">
        <is>
          <t>320.01.01.B010</t>
        </is>
      </c>
      <c r="B1102" s="40" t="inlineStr">
        <is>
          <t>Bahar Hindi Entegre Sanayi Ve Ticaret A.</t>
        </is>
      </c>
      <c r="C1102" s="40" t="inlineStr">
        <is>
          <t>TRY</t>
        </is>
      </c>
      <c r="D1102" s="40" t="inlineStr">
        <is>
          <t>ROYAL ALHAMBRA</t>
        </is>
      </c>
      <c r="E1102" s="38" t="n">
        <v>0</v>
      </c>
      <c r="F1102" s="38" t="n">
        <v>166156.53</v>
      </c>
      <c r="G1102" s="38" t="n">
        <v>-166156.53</v>
      </c>
      <c r="H1102" s="40" t="inlineStr">
        <is>
          <t>Alacak</t>
        </is>
      </c>
      <c r="I1102" s="38" t="n">
        <v>0</v>
      </c>
      <c r="J1102" s="38" t="n">
        <v>166156.53</v>
      </c>
      <c r="K1102" s="38" t="n">
        <v>-166156.53</v>
      </c>
      <c r="L1102" s="40" t="inlineStr">
        <is>
          <t>Alacak</t>
        </is>
      </c>
    </row>
    <row r="1103" s="34">
      <c r="A1103" s="40" t="inlineStr">
        <is>
          <t>320.01.01.B010</t>
        </is>
      </c>
      <c r="B1103" s="40" t="inlineStr">
        <is>
          <t>Bahar Hindi Entegre Sanayi Ve Ticaret A.</t>
        </is>
      </c>
      <c r="C1103" s="40" t="inlineStr">
        <is>
          <t>TRY</t>
        </is>
      </c>
      <c r="D1103" s="40" t="inlineStr">
        <is>
          <t>ROYAL DRAGON</t>
        </is>
      </c>
      <c r="E1103" s="38" t="n">
        <v>0</v>
      </c>
      <c r="F1103" s="38" t="n">
        <v>190403.33</v>
      </c>
      <c r="G1103" s="38" t="n">
        <v>-190403.33</v>
      </c>
      <c r="H1103" s="40" t="inlineStr">
        <is>
          <t>Alacak</t>
        </is>
      </c>
      <c r="I1103" s="38" t="n">
        <v>0</v>
      </c>
      <c r="J1103" s="38" t="n">
        <v>190403.33</v>
      </c>
      <c r="K1103" s="38" t="n">
        <v>-190403.33</v>
      </c>
      <c r="L1103" s="40" t="inlineStr">
        <is>
          <t>Alacak</t>
        </is>
      </c>
    </row>
    <row r="1104" s="34">
      <c r="A1104" s="40" t="inlineStr">
        <is>
          <t>320.01.01.B010</t>
        </is>
      </c>
      <c r="B1104" s="40" t="inlineStr">
        <is>
          <t>Bahar Hindi Entegre Sanayi Ve Ticaret A.</t>
        </is>
      </c>
      <c r="C1104" s="40" t="inlineStr">
        <is>
          <t>TRY</t>
        </is>
      </c>
      <c r="D1104" s="40" t="inlineStr">
        <is>
          <t>ROYAL HOLIDAY</t>
        </is>
      </c>
      <c r="E1104" s="38" t="n">
        <v>0</v>
      </c>
      <c r="F1104" s="38" t="n">
        <v>160936.78</v>
      </c>
      <c r="G1104" s="38" t="n">
        <v>-160936.78</v>
      </c>
      <c r="H1104" s="40" t="inlineStr">
        <is>
          <t>Alacak</t>
        </is>
      </c>
      <c r="I1104" s="38" t="n">
        <v>0</v>
      </c>
      <c r="J1104" s="38" t="n">
        <v>160936.78</v>
      </c>
      <c r="K1104" s="38" t="n">
        <v>-160936.78</v>
      </c>
      <c r="L1104" s="40" t="inlineStr">
        <is>
          <t>Alacak</t>
        </is>
      </c>
    </row>
    <row r="1105" s="34">
      <c r="A1105" s="40" t="inlineStr">
        <is>
          <t>320.01.01.B010</t>
        </is>
      </c>
      <c r="B1105" s="40" t="inlineStr">
        <is>
          <t>Bahar Hindi Entegre Sanayi Ve Ticaret A.</t>
        </is>
      </c>
      <c r="C1105" s="40" t="inlineStr">
        <is>
          <t>TRY</t>
        </is>
      </c>
      <c r="D1105" s="40" t="inlineStr">
        <is>
          <t>ROYAL SEGINUS</t>
        </is>
      </c>
      <c r="E1105" s="38" t="n">
        <v>0</v>
      </c>
      <c r="F1105" s="38" t="n">
        <v>236430.46</v>
      </c>
      <c r="G1105" s="38" t="n">
        <v>-236430.46</v>
      </c>
      <c r="H1105" s="40" t="inlineStr">
        <is>
          <t>Alacak</t>
        </is>
      </c>
      <c r="I1105" s="38" t="n">
        <v>0</v>
      </c>
      <c r="J1105" s="38" t="n">
        <v>236430.46</v>
      </c>
      <c r="K1105" s="38" t="n">
        <v>-236430.46</v>
      </c>
      <c r="L1105" s="40" t="inlineStr">
        <is>
          <t>Alacak</t>
        </is>
      </c>
    </row>
    <row r="1106" s="34">
      <c r="A1106" s="40" t="inlineStr">
        <is>
          <t>320.01.01.B016</t>
        </is>
      </c>
      <c r="B1106" s="40" t="inlineStr">
        <is>
          <t>Balkan Süt Ürünleri San.Ve Tic.Ltd.Şti.</t>
        </is>
      </c>
      <c r="C1106" s="40" t="inlineStr">
        <is>
          <t>TRY</t>
        </is>
      </c>
      <c r="D1106" s="40" t="inlineStr">
        <is>
          <t>ROYAL ADAM EVE</t>
        </is>
      </c>
      <c r="E1106" s="38" t="n">
        <v>7211.4</v>
      </c>
      <c r="F1106" s="38" t="n">
        <v>0</v>
      </c>
      <c r="G1106" s="38" t="n">
        <v>7211.4</v>
      </c>
      <c r="H1106" s="40" t="inlineStr">
        <is>
          <t>Borç</t>
        </is>
      </c>
      <c r="I1106" s="38" t="n">
        <v>7211.4</v>
      </c>
      <c r="J1106" s="38" t="n">
        <v>0</v>
      </c>
      <c r="K1106" s="38" t="n">
        <v>7211.4</v>
      </c>
      <c r="L1106" s="40" t="inlineStr">
        <is>
          <t>Borç</t>
        </is>
      </c>
    </row>
    <row r="1107" s="34">
      <c r="A1107" s="40" t="inlineStr">
        <is>
          <t>320.01.01.B016</t>
        </is>
      </c>
      <c r="B1107" s="40" t="inlineStr">
        <is>
          <t>Balkan Süt Ürünleri San.Ve Tic.Ltd.Şti.</t>
        </is>
      </c>
      <c r="C1107" s="40" t="inlineStr">
        <is>
          <t>TRY</t>
        </is>
      </c>
      <c r="D1107" s="40" t="inlineStr">
        <is>
          <t>SERTAŞ MERKEZ</t>
        </is>
      </c>
      <c r="E1107" s="38" t="n">
        <v>14422.8</v>
      </c>
      <c r="F1107" s="38" t="n">
        <v>0</v>
      </c>
      <c r="G1107" s="38" t="n">
        <v>14422.8</v>
      </c>
      <c r="H1107" s="40" t="inlineStr">
        <is>
          <t>Borç</t>
        </is>
      </c>
      <c r="I1107" s="38" t="n">
        <v>14422.8</v>
      </c>
      <c r="J1107" s="38" t="n">
        <v>0</v>
      </c>
      <c r="K1107" s="38" t="n">
        <v>14422.8</v>
      </c>
      <c r="L1107" s="40" t="inlineStr">
        <is>
          <t>Borç</t>
        </is>
      </c>
    </row>
    <row r="1108" s="34">
      <c r="A1108" s="40" t="inlineStr">
        <is>
          <t>320.01.01.B023</t>
        </is>
      </c>
      <c r="B1108" s="40" t="inlineStr">
        <is>
          <t>BaruTLar Yem Ve Tarım Ürünl.Ltd.Şti</t>
        </is>
      </c>
      <c r="C1108" s="40" t="inlineStr">
        <is>
          <t>TRY</t>
        </is>
      </c>
      <c r="D1108" s="40" t="inlineStr">
        <is>
          <t>GİTAŞ MERKEZ</t>
        </is>
      </c>
      <c r="E1108" s="38" t="n">
        <v>60519.2</v>
      </c>
      <c r="F1108" s="38" t="n">
        <v>0</v>
      </c>
      <c r="G1108" s="38" t="n">
        <v>60519.2</v>
      </c>
      <c r="H1108" s="40" t="inlineStr">
        <is>
          <t>Borç</t>
        </is>
      </c>
      <c r="I1108" s="38" t="n">
        <v>60519.2</v>
      </c>
      <c r="J1108" s="38" t="n">
        <v>0</v>
      </c>
      <c r="K1108" s="38" t="n">
        <v>60519.2</v>
      </c>
      <c r="L1108" s="40" t="inlineStr">
        <is>
          <t>Borç</t>
        </is>
      </c>
    </row>
    <row r="1109" s="34">
      <c r="A1109" s="40" t="inlineStr">
        <is>
          <t>320.01.01.B023</t>
        </is>
      </c>
      <c r="B1109" s="40" t="inlineStr">
        <is>
          <t>BaruTLar Yem Ve Tarım Ürünl.Ltd.Şti</t>
        </is>
      </c>
      <c r="C1109" s="40" t="inlineStr">
        <is>
          <t>TRY</t>
        </is>
      </c>
      <c r="D1109" s="40" t="inlineStr">
        <is>
          <t>ROYAL ADAM EVE</t>
        </is>
      </c>
      <c r="E1109" s="38" t="n">
        <v>33402.72</v>
      </c>
      <c r="F1109" s="38" t="n">
        <v>0</v>
      </c>
      <c r="G1109" s="38" t="n">
        <v>33402.72</v>
      </c>
      <c r="H1109" s="40" t="inlineStr">
        <is>
          <t>Borç</t>
        </is>
      </c>
      <c r="I1109" s="38" t="n">
        <v>33402.72</v>
      </c>
      <c r="J1109" s="38" t="n">
        <v>0</v>
      </c>
      <c r="K1109" s="38" t="n">
        <v>33402.72</v>
      </c>
      <c r="L1109" s="40" t="inlineStr">
        <is>
          <t>Borç</t>
        </is>
      </c>
    </row>
    <row r="1110" s="34">
      <c r="A1110" s="40" t="inlineStr">
        <is>
          <t>320.01.01.B023</t>
        </is>
      </c>
      <c r="B1110" s="40" t="inlineStr">
        <is>
          <t>BaruTLar Yem Ve Tarım Ürünl.Ltd.Şti</t>
        </is>
      </c>
      <c r="C1110" s="40" t="inlineStr">
        <is>
          <t>TRY</t>
        </is>
      </c>
      <c r="D1110" s="40" t="inlineStr">
        <is>
          <t>SERTAŞ MERKEZ</t>
        </is>
      </c>
      <c r="E1110" s="38" t="n">
        <v>100906.07</v>
      </c>
      <c r="F1110" s="38" t="n">
        <v>0</v>
      </c>
      <c r="G1110" s="38" t="n">
        <v>100906.07</v>
      </c>
      <c r="H1110" s="40" t="inlineStr">
        <is>
          <t>Borç</t>
        </is>
      </c>
      <c r="I1110" s="38" t="n">
        <v>100906.07</v>
      </c>
      <c r="J1110" s="38" t="n">
        <v>0</v>
      </c>
      <c r="K1110" s="38" t="n">
        <v>100906.07</v>
      </c>
      <c r="L1110" s="40" t="inlineStr">
        <is>
          <t>Borç</t>
        </is>
      </c>
    </row>
    <row r="1111" s="34">
      <c r="A1111" s="40" t="inlineStr">
        <is>
          <t>320.01.01.B036</t>
        </is>
      </c>
      <c r="B1111" s="40" t="inlineStr">
        <is>
          <t>Bayram Soğutma Ve Isıtma Sis.Ltd.Şti.</t>
        </is>
      </c>
      <c r="C1111" s="40" t="inlineStr">
        <is>
          <t>TRY</t>
        </is>
      </c>
      <c r="D1111" s="40" t="inlineStr">
        <is>
          <t>ROYAL ADAM EVE</t>
        </is>
      </c>
      <c r="E1111" s="38" t="n">
        <v>25188</v>
      </c>
      <c r="F1111" s="38" t="n">
        <v>0</v>
      </c>
      <c r="G1111" s="38" t="n">
        <v>25188</v>
      </c>
      <c r="H1111" s="40" t="inlineStr">
        <is>
          <t>Borç</t>
        </is>
      </c>
      <c r="I1111" s="38" t="n">
        <v>25188</v>
      </c>
      <c r="J1111" s="38" t="n">
        <v>0</v>
      </c>
      <c r="K1111" s="38" t="n">
        <v>25188</v>
      </c>
      <c r="L1111" s="40" t="inlineStr">
        <is>
          <t>Borç</t>
        </is>
      </c>
    </row>
    <row r="1112" s="34">
      <c r="A1112" s="40" t="inlineStr">
        <is>
          <t>320.01.01.B036</t>
        </is>
      </c>
      <c r="B1112" s="40" t="inlineStr">
        <is>
          <t>Bayram Soğutma Ve Isıtma Sis.Ltd.Şti.</t>
        </is>
      </c>
      <c r="C1112" s="40" t="inlineStr">
        <is>
          <t>TRY</t>
        </is>
      </c>
      <c r="D1112" s="40" t="inlineStr">
        <is>
          <t>ROYAL SEGINUS</t>
        </is>
      </c>
      <c r="E1112" s="38" t="n">
        <v>0</v>
      </c>
      <c r="F1112" s="38" t="n">
        <v>3204</v>
      </c>
      <c r="G1112" s="38" t="n">
        <v>-3204</v>
      </c>
      <c r="H1112" s="40" t="inlineStr">
        <is>
          <t>Alacak</t>
        </is>
      </c>
      <c r="I1112" s="38" t="n">
        <v>0</v>
      </c>
      <c r="J1112" s="38" t="n">
        <v>3204</v>
      </c>
      <c r="K1112" s="38" t="n">
        <v>-3204</v>
      </c>
      <c r="L1112" s="40" t="inlineStr">
        <is>
          <t>Alacak</t>
        </is>
      </c>
    </row>
    <row r="1113" s="34">
      <c r="A1113" s="40" t="inlineStr">
        <is>
          <t>320.01.01.B036</t>
        </is>
      </c>
      <c r="B1113" s="40" t="inlineStr">
        <is>
          <t>Bayram Soğutma Ve Isıtma Sis.Ltd.Şti.</t>
        </is>
      </c>
      <c r="C1113" s="40" t="inlineStr">
        <is>
          <t>TRY</t>
        </is>
      </c>
      <c r="D1113" s="40" t="inlineStr">
        <is>
          <t>SERTAŞ MERKEZ</t>
        </is>
      </c>
      <c r="E1113" s="38" t="n">
        <v>5767.2</v>
      </c>
      <c r="F1113" s="38" t="n">
        <v>0</v>
      </c>
      <c r="G1113" s="38" t="n">
        <v>5767.2</v>
      </c>
      <c r="H1113" s="40" t="inlineStr">
        <is>
          <t>Borç</t>
        </is>
      </c>
      <c r="I1113" s="38" t="n">
        <v>5767.2</v>
      </c>
      <c r="J1113" s="38" t="n">
        <v>0</v>
      </c>
      <c r="K1113" s="38" t="n">
        <v>5767.2</v>
      </c>
      <c r="L1113" s="40" t="inlineStr">
        <is>
          <t>Borç</t>
        </is>
      </c>
    </row>
    <row r="1114" s="34">
      <c r="A1114" s="40" t="inlineStr">
        <is>
          <t>320.01.01.B046</t>
        </is>
      </c>
      <c r="B1114" s="40" t="inlineStr">
        <is>
          <t>Bens Pastacılık Ürnl.San.Tic.Ltd.Şti.</t>
        </is>
      </c>
      <c r="C1114" s="40" t="inlineStr">
        <is>
          <t>TRY</t>
        </is>
      </c>
      <c r="D1114" s="40" t="inlineStr">
        <is>
          <t>GİTAŞ MERKEZ</t>
        </is>
      </c>
      <c r="E1114" s="38" t="n">
        <v>378924.73</v>
      </c>
      <c r="F1114" s="38" t="n">
        <v>0</v>
      </c>
      <c r="G1114" s="38" t="n">
        <v>378924.73</v>
      </c>
      <c r="H1114" s="40" t="inlineStr">
        <is>
          <t>Borç</t>
        </is>
      </c>
      <c r="I1114" s="38" t="n">
        <v>378924.73</v>
      </c>
      <c r="J1114" s="38" t="n">
        <v>0</v>
      </c>
      <c r="K1114" s="38" t="n">
        <v>378924.73</v>
      </c>
      <c r="L1114" s="40" t="inlineStr">
        <is>
          <t>Borç</t>
        </is>
      </c>
    </row>
    <row r="1115" s="34">
      <c r="A1115" s="40" t="inlineStr">
        <is>
          <t>320.01.01.B046</t>
        </is>
      </c>
      <c r="B1115" s="40" t="inlineStr">
        <is>
          <t>Bens Pastacılık Ürnl.San.Tic.Ltd.Şti.</t>
        </is>
      </c>
      <c r="C1115" s="40" t="inlineStr">
        <is>
          <t>TRY</t>
        </is>
      </c>
      <c r="D1115" s="40" t="inlineStr">
        <is>
          <t>ROYAL ADAM EVE</t>
        </is>
      </c>
      <c r="E1115" s="38" t="n">
        <v>179952.71</v>
      </c>
      <c r="F1115" s="38" t="n">
        <v>57428.6</v>
      </c>
      <c r="G1115" s="38" t="n">
        <v>122524.11</v>
      </c>
      <c r="H1115" s="40" t="inlineStr">
        <is>
          <t>Borç</t>
        </is>
      </c>
      <c r="I1115" s="38" t="n">
        <v>179952.71</v>
      </c>
      <c r="J1115" s="38" t="n">
        <v>57428.6</v>
      </c>
      <c r="K1115" s="38" t="n">
        <v>122524.11</v>
      </c>
      <c r="L1115" s="40" t="inlineStr">
        <is>
          <t>Borç</t>
        </is>
      </c>
    </row>
    <row r="1116" s="34">
      <c r="A1116" s="40" t="inlineStr">
        <is>
          <t>320.01.01.B046</t>
        </is>
      </c>
      <c r="B1116" s="40" t="inlineStr">
        <is>
          <t>Bens Pastacılık Ürnl.San.Tic.Ltd.Şti.</t>
        </is>
      </c>
      <c r="C1116" s="40" t="inlineStr">
        <is>
          <t>TRY</t>
        </is>
      </c>
      <c r="D1116" s="40" t="inlineStr">
        <is>
          <t>ROYAL ALHAMBRA</t>
        </is>
      </c>
      <c r="E1116" s="38" t="n">
        <v>0</v>
      </c>
      <c r="F1116" s="38" t="n">
        <v>70821.2</v>
      </c>
      <c r="G1116" s="38" t="n">
        <v>-70821.2</v>
      </c>
      <c r="H1116" s="40" t="inlineStr">
        <is>
          <t>Alacak</t>
        </is>
      </c>
      <c r="I1116" s="38" t="n">
        <v>0</v>
      </c>
      <c r="J1116" s="38" t="n">
        <v>70821.2</v>
      </c>
      <c r="K1116" s="38" t="n">
        <v>-70821.2</v>
      </c>
      <c r="L1116" s="40" t="inlineStr">
        <is>
          <t>Alacak</t>
        </is>
      </c>
    </row>
    <row r="1117" s="34">
      <c r="A1117" s="40" t="inlineStr">
        <is>
          <t>320.01.01.B046</t>
        </is>
      </c>
      <c r="B1117" s="40" t="inlineStr">
        <is>
          <t>Bens Pastacılık Ürnl.San.Tic.Ltd.Şti.</t>
        </is>
      </c>
      <c r="C1117" s="40" t="inlineStr">
        <is>
          <t>TRY</t>
        </is>
      </c>
      <c r="D1117" s="40" t="inlineStr">
        <is>
          <t>ROYAL DRAGON</t>
        </is>
      </c>
      <c r="E1117" s="38" t="n">
        <v>0</v>
      </c>
      <c r="F1117" s="38" t="n">
        <v>75986.23</v>
      </c>
      <c r="G1117" s="38" t="n">
        <v>-75986.23</v>
      </c>
      <c r="H1117" s="40" t="inlineStr">
        <is>
          <t>Alacak</t>
        </is>
      </c>
      <c r="I1117" s="38" t="n">
        <v>0</v>
      </c>
      <c r="J1117" s="38" t="n">
        <v>75986.23</v>
      </c>
      <c r="K1117" s="38" t="n">
        <v>-75986.23</v>
      </c>
      <c r="L1117" s="40" t="inlineStr">
        <is>
          <t>Alacak</t>
        </is>
      </c>
    </row>
    <row r="1118" s="34">
      <c r="A1118" s="40" t="inlineStr">
        <is>
          <t>320.01.01.B046</t>
        </is>
      </c>
      <c r="B1118" s="40" t="inlineStr">
        <is>
          <t>Bens Pastacılık Ürnl.San.Tic.Ltd.Şti.</t>
        </is>
      </c>
      <c r="C1118" s="40" t="inlineStr">
        <is>
          <t>TRY</t>
        </is>
      </c>
      <c r="D1118" s="40" t="inlineStr">
        <is>
          <t>ROYAL HOLIDAY</t>
        </is>
      </c>
      <c r="E1118" s="38" t="n">
        <v>0</v>
      </c>
      <c r="F1118" s="38" t="n">
        <v>90217.42999999999</v>
      </c>
      <c r="G1118" s="38" t="n">
        <v>-90217.42999999999</v>
      </c>
      <c r="H1118" s="40" t="inlineStr">
        <is>
          <t>Alacak</t>
        </is>
      </c>
      <c r="I1118" s="38" t="n">
        <v>0</v>
      </c>
      <c r="J1118" s="38" t="n">
        <v>90217.42999999999</v>
      </c>
      <c r="K1118" s="38" t="n">
        <v>-90217.42999999999</v>
      </c>
      <c r="L1118" s="40" t="inlineStr">
        <is>
          <t>Alacak</t>
        </is>
      </c>
    </row>
    <row r="1119" s="34">
      <c r="A1119" s="40" t="inlineStr">
        <is>
          <t>320.01.01.B046</t>
        </is>
      </c>
      <c r="B1119" s="40" t="inlineStr">
        <is>
          <t>Bens Pastacılık Ürnl.San.Tic.Ltd.Şti.</t>
        </is>
      </c>
      <c r="C1119" s="40" t="inlineStr">
        <is>
          <t>TRY</t>
        </is>
      </c>
      <c r="D1119" s="40" t="inlineStr">
        <is>
          <t>ROYAL SEGINUS</t>
        </is>
      </c>
      <c r="E1119" s="38" t="n">
        <v>15109.6</v>
      </c>
      <c r="F1119" s="38" t="n">
        <v>185700.62</v>
      </c>
      <c r="G1119" s="38" t="n">
        <v>-170591.02</v>
      </c>
      <c r="H1119" s="40" t="inlineStr">
        <is>
          <t>Alacak</t>
        </is>
      </c>
      <c r="I1119" s="38" t="n">
        <v>15109.6</v>
      </c>
      <c r="J1119" s="38" t="n">
        <v>185700.62</v>
      </c>
      <c r="K1119" s="38" t="n">
        <v>-170591.02</v>
      </c>
      <c r="L1119" s="40" t="inlineStr">
        <is>
          <t>Alacak</t>
        </is>
      </c>
    </row>
    <row r="1120" s="34">
      <c r="A1120" s="40" t="inlineStr">
        <is>
          <t>320.01.01.B046</t>
        </is>
      </c>
      <c r="B1120" s="40" t="inlineStr">
        <is>
          <t>Bens Pastacılık Ürnl.San.Tic.Ltd.Şti.</t>
        </is>
      </c>
      <c r="C1120" s="40" t="inlineStr">
        <is>
          <t>TRY</t>
        </is>
      </c>
      <c r="D1120" s="40" t="inlineStr">
        <is>
          <t>SERTAŞ MERKEZ</t>
        </is>
      </c>
      <c r="E1120" s="38" t="n">
        <v>518855.9</v>
      </c>
      <c r="F1120" s="38" t="n">
        <v>0</v>
      </c>
      <c r="G1120" s="38" t="n">
        <v>518855.9</v>
      </c>
      <c r="H1120" s="40" t="inlineStr">
        <is>
          <t>Borç</t>
        </is>
      </c>
      <c r="I1120" s="38" t="n">
        <v>518855.9</v>
      </c>
      <c r="J1120" s="38" t="n">
        <v>0</v>
      </c>
      <c r="K1120" s="38" t="n">
        <v>518855.9</v>
      </c>
      <c r="L1120" s="40" t="inlineStr">
        <is>
          <t>Borç</t>
        </is>
      </c>
    </row>
    <row r="1121" s="34">
      <c r="A1121" s="40" t="inlineStr">
        <is>
          <t>320.01.01.B053</t>
        </is>
      </c>
      <c r="B1121" s="40" t="inlineStr">
        <is>
          <t>Betuyab Belek Yat. Turz.Ortak Gir.A.Ş.</t>
        </is>
      </c>
      <c r="C1121" s="40" t="inlineStr">
        <is>
          <t>TRY</t>
        </is>
      </c>
      <c r="D1121" s="40" t="inlineStr">
        <is>
          <t>ROYAL ADAM EVE</t>
        </is>
      </c>
      <c r="E1121" s="38" t="n">
        <v>151977.16</v>
      </c>
      <c r="F1121" s="38" t="n">
        <v>151977.16</v>
      </c>
      <c r="G1121" s="38" t="n">
        <v>0</v>
      </c>
      <c r="I1121" s="38" t="n">
        <v>151977.16</v>
      </c>
      <c r="J1121" s="38" t="n">
        <v>151977.16</v>
      </c>
      <c r="K1121" s="38" t="n">
        <v>0</v>
      </c>
    </row>
    <row r="1122" s="34">
      <c r="A1122" s="40" t="inlineStr">
        <is>
          <t>320.01.01.B059</t>
        </is>
      </c>
      <c r="B1122" s="40" t="inlineStr">
        <is>
          <t>Bıdfood Akdeniz Dağıtım Ve Pazarlama A.Ş</t>
        </is>
      </c>
      <c r="C1122" s="40" t="inlineStr">
        <is>
          <t>TRY</t>
        </is>
      </c>
      <c r="D1122" s="40" t="inlineStr">
        <is>
          <t>GİTAŞ MERKEZ</t>
        </is>
      </c>
      <c r="E1122" s="38" t="n">
        <v>116545.41</v>
      </c>
      <c r="F1122" s="38" t="n">
        <v>0</v>
      </c>
      <c r="G1122" s="38" t="n">
        <v>116545.41</v>
      </c>
      <c r="H1122" s="40" t="inlineStr">
        <is>
          <t>Borç</t>
        </is>
      </c>
      <c r="I1122" s="38" t="n">
        <v>116545.41</v>
      </c>
      <c r="J1122" s="38" t="n">
        <v>0</v>
      </c>
      <c r="K1122" s="38" t="n">
        <v>116545.41</v>
      </c>
      <c r="L1122" s="40" t="inlineStr">
        <is>
          <t>Borç</t>
        </is>
      </c>
    </row>
    <row r="1123" s="34">
      <c r="A1123" s="40" t="inlineStr">
        <is>
          <t>320.01.01.B059</t>
        </is>
      </c>
      <c r="B1123" s="40" t="inlineStr">
        <is>
          <t>Bıdfood Akdeniz Dağıtım Ve Pazarlama A.Ş</t>
        </is>
      </c>
      <c r="C1123" s="40" t="inlineStr">
        <is>
          <t>TRY</t>
        </is>
      </c>
      <c r="D1123" s="40" t="inlineStr">
        <is>
          <t>ROYAL ADAM EVE</t>
        </is>
      </c>
      <c r="E1123" s="38" t="n">
        <v>45851.98</v>
      </c>
      <c r="F1123" s="38" t="n">
        <v>22947.2</v>
      </c>
      <c r="G1123" s="38" t="n">
        <v>22904.78</v>
      </c>
      <c r="H1123" s="40" t="inlineStr">
        <is>
          <t>Borç</t>
        </is>
      </c>
      <c r="I1123" s="38" t="n">
        <v>45851.98</v>
      </c>
      <c r="J1123" s="38" t="n">
        <v>22947.2</v>
      </c>
      <c r="K1123" s="38" t="n">
        <v>22904.78</v>
      </c>
      <c r="L1123" s="40" t="inlineStr">
        <is>
          <t>Borç</t>
        </is>
      </c>
    </row>
    <row r="1124" s="34">
      <c r="A1124" s="40" t="inlineStr">
        <is>
          <t>320.01.01.B059</t>
        </is>
      </c>
      <c r="B1124" s="40" t="inlineStr">
        <is>
          <t>Bıdfood Akdeniz Dağıtım Ve Pazarlama A.Ş</t>
        </is>
      </c>
      <c r="C1124" s="40" t="inlineStr">
        <is>
          <t>TRY</t>
        </is>
      </c>
      <c r="D1124" s="40" t="inlineStr">
        <is>
          <t>ROYAL ALHAMBRA</t>
        </is>
      </c>
      <c r="E1124" s="38" t="n">
        <v>0</v>
      </c>
      <c r="F1124" s="38" t="n">
        <v>69814.03999999999</v>
      </c>
      <c r="G1124" s="38" t="n">
        <v>-69814.03999999999</v>
      </c>
      <c r="H1124" s="40" t="inlineStr">
        <is>
          <t>Alacak</t>
        </is>
      </c>
      <c r="I1124" s="38" t="n">
        <v>0</v>
      </c>
      <c r="J1124" s="38" t="n">
        <v>69814.03999999999</v>
      </c>
      <c r="K1124" s="38" t="n">
        <v>-69814.03999999999</v>
      </c>
      <c r="L1124" s="40" t="inlineStr">
        <is>
          <t>Alacak</t>
        </is>
      </c>
    </row>
    <row r="1125" s="34">
      <c r="A1125" s="40" t="inlineStr">
        <is>
          <t>320.01.01.B059</t>
        </is>
      </c>
      <c r="B1125" s="40" t="inlineStr">
        <is>
          <t>Bıdfood Akdeniz Dağıtım Ve Pazarlama A.Ş</t>
        </is>
      </c>
      <c r="C1125" s="40" t="inlineStr">
        <is>
          <t>TRY</t>
        </is>
      </c>
      <c r="D1125" s="40" t="inlineStr">
        <is>
          <t>ROYAL DRAGON</t>
        </is>
      </c>
      <c r="E1125" s="38" t="n">
        <v>0</v>
      </c>
      <c r="F1125" s="38" t="n">
        <v>90173.21000000001</v>
      </c>
      <c r="G1125" s="38" t="n">
        <v>-90173.21000000001</v>
      </c>
      <c r="H1125" s="40" t="inlineStr">
        <is>
          <t>Alacak</t>
        </is>
      </c>
      <c r="I1125" s="38" t="n">
        <v>0</v>
      </c>
      <c r="J1125" s="38" t="n">
        <v>90173.21000000001</v>
      </c>
      <c r="K1125" s="38" t="n">
        <v>-90173.21000000001</v>
      </c>
      <c r="L1125" s="40" t="inlineStr">
        <is>
          <t>Alacak</t>
        </is>
      </c>
    </row>
    <row r="1126" s="34">
      <c r="A1126" s="40" t="inlineStr">
        <is>
          <t>320.01.01.B059</t>
        </is>
      </c>
      <c r="B1126" s="40" t="inlineStr">
        <is>
          <t>Bıdfood Akdeniz Dağıtım Ve Pazarlama A.Ş</t>
        </is>
      </c>
      <c r="C1126" s="40" t="inlineStr">
        <is>
          <t>TRY</t>
        </is>
      </c>
      <c r="D1126" s="40" t="inlineStr">
        <is>
          <t>ROYAL HOLIDAY</t>
        </is>
      </c>
      <c r="E1126" s="38" t="n">
        <v>0</v>
      </c>
      <c r="F1126" s="38" t="n">
        <v>105437.56</v>
      </c>
      <c r="G1126" s="38" t="n">
        <v>-105437.56</v>
      </c>
      <c r="H1126" s="40" t="inlineStr">
        <is>
          <t>Alacak</t>
        </is>
      </c>
      <c r="I1126" s="38" t="n">
        <v>0</v>
      </c>
      <c r="J1126" s="38" t="n">
        <v>105437.56</v>
      </c>
      <c r="K1126" s="38" t="n">
        <v>-105437.56</v>
      </c>
      <c r="L1126" s="40" t="inlineStr">
        <is>
          <t>Alacak</t>
        </is>
      </c>
    </row>
    <row r="1127" s="34">
      <c r="A1127" s="40" t="inlineStr">
        <is>
          <t>320.01.01.B059</t>
        </is>
      </c>
      <c r="B1127" s="40" t="inlineStr">
        <is>
          <t>Bıdfood Akdeniz Dağıtım Ve Pazarlama A.Ş</t>
        </is>
      </c>
      <c r="C1127" s="40" t="inlineStr">
        <is>
          <t>TRY</t>
        </is>
      </c>
      <c r="D1127" s="40" t="inlineStr">
        <is>
          <t>ROYAL SEGINUS</t>
        </is>
      </c>
      <c r="E1127" s="38" t="n">
        <v>0</v>
      </c>
      <c r="F1127" s="38" t="n">
        <v>60111.75</v>
      </c>
      <c r="G1127" s="38" t="n">
        <v>-60111.75</v>
      </c>
      <c r="H1127" s="40" t="inlineStr">
        <is>
          <t>Alacak</t>
        </is>
      </c>
      <c r="I1127" s="38" t="n">
        <v>0</v>
      </c>
      <c r="J1127" s="38" t="n">
        <v>60111.75</v>
      </c>
      <c r="K1127" s="38" t="n">
        <v>-60111.75</v>
      </c>
      <c r="L1127" s="40" t="inlineStr">
        <is>
          <t>Alacak</t>
        </is>
      </c>
    </row>
    <row r="1128" s="34">
      <c r="A1128" s="40" t="inlineStr">
        <is>
          <t>320.01.01.B059</t>
        </is>
      </c>
      <c r="B1128" s="40" t="inlineStr">
        <is>
          <t>Bıdfood Akdeniz Dağıtım Ve Pazarlama A.Ş</t>
        </is>
      </c>
      <c r="C1128" s="40" t="inlineStr">
        <is>
          <t>TRY</t>
        </is>
      </c>
      <c r="D1128" s="40" t="inlineStr">
        <is>
          <t>SERTAŞ MERKEZ</t>
        </is>
      </c>
      <c r="E1128" s="38" t="n">
        <v>73387.13</v>
      </c>
      <c r="F1128" s="38" t="n">
        <v>0</v>
      </c>
      <c r="G1128" s="38" t="n">
        <v>73387.13</v>
      </c>
      <c r="H1128" s="40" t="inlineStr">
        <is>
          <t>Borç</t>
        </is>
      </c>
      <c r="I1128" s="38" t="n">
        <v>73387.13</v>
      </c>
      <c r="J1128" s="38" t="n">
        <v>0</v>
      </c>
      <c r="K1128" s="38" t="n">
        <v>73387.13</v>
      </c>
      <c r="L1128" s="40" t="inlineStr">
        <is>
          <t>Borç</t>
        </is>
      </c>
    </row>
    <row r="1129" s="34">
      <c r="A1129" s="40" t="inlineStr">
        <is>
          <t>320.01.01.B070</t>
        </is>
      </c>
      <c r="B1129" s="40" t="inlineStr">
        <is>
          <t>Birlesik Dağ.Paz.Tur.Tic.Ve San.A.Ş./Bir</t>
        </is>
      </c>
      <c r="C1129" s="40" t="inlineStr">
        <is>
          <t>TRY</t>
        </is>
      </c>
      <c r="D1129" s="40" t="inlineStr">
        <is>
          <t>ROYAL ADAM EVE</t>
        </is>
      </c>
      <c r="E1129" s="38" t="n">
        <v>959583.7</v>
      </c>
      <c r="F1129" s="38" t="n">
        <v>559661.1800000001</v>
      </c>
      <c r="G1129" s="38" t="n">
        <v>399922.52</v>
      </c>
      <c r="H1129" s="40" t="inlineStr">
        <is>
          <t>Borç</t>
        </is>
      </c>
      <c r="I1129" s="38" t="n">
        <v>959583.7</v>
      </c>
      <c r="J1129" s="38" t="n">
        <v>559661.1800000001</v>
      </c>
      <c r="K1129" s="38" t="n">
        <v>399922.52</v>
      </c>
      <c r="L1129" s="40" t="inlineStr">
        <is>
          <t>Borç</t>
        </is>
      </c>
    </row>
    <row r="1130" s="34">
      <c r="A1130" s="40" t="inlineStr">
        <is>
          <t>320.01.01.B070</t>
        </is>
      </c>
      <c r="B1130" s="40" t="inlineStr">
        <is>
          <t>Birlesik Dağ.Paz.Tur.Tic.Ve San.A.Ş./Bir</t>
        </is>
      </c>
      <c r="C1130" s="40" t="inlineStr">
        <is>
          <t>TRY</t>
        </is>
      </c>
      <c r="D1130" s="40" t="inlineStr">
        <is>
          <t>ROYAL SEGINUS</t>
        </is>
      </c>
      <c r="E1130" s="38" t="n">
        <v>59890.32</v>
      </c>
      <c r="F1130" s="38" t="n">
        <v>282430.53</v>
      </c>
      <c r="G1130" s="38" t="n">
        <v>-222540.21</v>
      </c>
      <c r="H1130" s="40" t="inlineStr">
        <is>
          <t>Alacak</t>
        </is>
      </c>
      <c r="I1130" s="38" t="n">
        <v>59890.32</v>
      </c>
      <c r="J1130" s="38" t="n">
        <v>282430.53</v>
      </c>
      <c r="K1130" s="38" t="n">
        <v>-222540.21</v>
      </c>
      <c r="L1130" s="40" t="inlineStr">
        <is>
          <t>Alacak</t>
        </is>
      </c>
    </row>
    <row r="1131" s="34">
      <c r="A1131" s="40" t="inlineStr">
        <is>
          <t>320.01.01.B070</t>
        </is>
      </c>
      <c r="B1131" s="40" t="inlineStr">
        <is>
          <t>Birlesik Dağ.Paz.Tur.Tic.Ve San.A.Ş./Bir</t>
        </is>
      </c>
      <c r="C1131" s="40" t="inlineStr">
        <is>
          <t>TRY</t>
        </is>
      </c>
      <c r="D1131" s="40" t="inlineStr">
        <is>
          <t>SERTAŞ MERKEZ</t>
        </is>
      </c>
      <c r="E1131" s="38" t="n">
        <v>650807.51</v>
      </c>
      <c r="F1131" s="38" t="n">
        <v>0</v>
      </c>
      <c r="G1131" s="38" t="n">
        <v>650807.51</v>
      </c>
      <c r="H1131" s="40" t="inlineStr">
        <is>
          <t>Borç</t>
        </is>
      </c>
      <c r="I1131" s="38" t="n">
        <v>650807.51</v>
      </c>
      <c r="J1131" s="38" t="n">
        <v>0</v>
      </c>
      <c r="K1131" s="38" t="n">
        <v>650807.51</v>
      </c>
      <c r="L1131" s="40" t="inlineStr">
        <is>
          <t>Borç</t>
        </is>
      </c>
    </row>
    <row r="1132" s="34">
      <c r="A1132" s="40" t="inlineStr">
        <is>
          <t>320.01.01.B077</t>
        </is>
      </c>
      <c r="B1132" s="40" t="inlineStr">
        <is>
          <t>Bolbey Lojistik Gıda Tic.A.Ş.</t>
        </is>
      </c>
      <c r="C1132" s="40" t="inlineStr">
        <is>
          <t>TRY</t>
        </is>
      </c>
      <c r="D1132" s="40" t="inlineStr">
        <is>
          <t>GİTAŞ MERKEZ</t>
        </is>
      </c>
      <c r="E1132" s="38" t="n">
        <v>13461.28</v>
      </c>
      <c r="F1132" s="38" t="n">
        <v>0</v>
      </c>
      <c r="G1132" s="38" t="n">
        <v>13461.28</v>
      </c>
      <c r="H1132" s="40" t="inlineStr">
        <is>
          <t>Borç</t>
        </is>
      </c>
      <c r="I1132" s="38" t="n">
        <v>0</v>
      </c>
      <c r="J1132" s="38" t="n">
        <v>0</v>
      </c>
      <c r="K1132" s="38" t="n">
        <v>0</v>
      </c>
    </row>
    <row r="1133" s="34">
      <c r="A1133" s="40" t="inlineStr">
        <is>
          <t>320.01.01.B077</t>
        </is>
      </c>
      <c r="B1133" s="40" t="inlineStr">
        <is>
          <t>Bolbey Lojistik Gıda Tic.A.Ş.</t>
        </is>
      </c>
      <c r="C1133" s="40" t="inlineStr">
        <is>
          <t>TRY</t>
        </is>
      </c>
      <c r="D1133" s="40" t="inlineStr">
        <is>
          <t>SERTAŞ MERKEZ</t>
        </is>
      </c>
      <c r="E1133" s="38" t="n">
        <v>4040</v>
      </c>
      <c r="F1133" s="38" t="n">
        <v>0</v>
      </c>
      <c r="G1133" s="38" t="n">
        <v>4040</v>
      </c>
      <c r="H1133" s="40" t="inlineStr">
        <is>
          <t>Borç</t>
        </is>
      </c>
      <c r="I1133" s="38" t="n">
        <v>4040</v>
      </c>
      <c r="J1133" s="38" t="n">
        <v>0</v>
      </c>
      <c r="K1133" s="38" t="n">
        <v>4040</v>
      </c>
      <c r="L1133" s="40" t="inlineStr">
        <is>
          <t>Borç</t>
        </is>
      </c>
    </row>
    <row r="1134" s="34">
      <c r="A1134" s="40" t="inlineStr">
        <is>
          <t>320.01.01.B086</t>
        </is>
      </c>
      <c r="B1134" s="40" t="inlineStr">
        <is>
          <t>Bravo Restoran Ltd.Şti.</t>
        </is>
      </c>
      <c r="C1134" s="40" t="inlineStr">
        <is>
          <t>TRY</t>
        </is>
      </c>
      <c r="D1134" s="40" t="inlineStr">
        <is>
          <t>GİTAŞ MERKEZ</t>
        </is>
      </c>
      <c r="E1134" s="38" t="n">
        <v>1200769.88</v>
      </c>
      <c r="F1134" s="38" t="n">
        <v>0</v>
      </c>
      <c r="G1134" s="38" t="n">
        <v>1200769.88</v>
      </c>
      <c r="H1134" s="40" t="inlineStr">
        <is>
          <t>Borç</t>
        </is>
      </c>
      <c r="I1134" s="38" t="n">
        <v>0</v>
      </c>
      <c r="J1134" s="38" t="n">
        <v>0</v>
      </c>
      <c r="K1134" s="38" t="n">
        <v>0</v>
      </c>
    </row>
    <row r="1135" s="34">
      <c r="A1135" s="40" t="inlineStr">
        <is>
          <t>320.01.01.B086</t>
        </is>
      </c>
      <c r="B1135" s="40" t="inlineStr">
        <is>
          <t>Bravo Restoran Ltd.Şti.</t>
        </is>
      </c>
      <c r="C1135" s="40" t="inlineStr">
        <is>
          <t>TRY</t>
        </is>
      </c>
      <c r="D1135" s="40" t="inlineStr">
        <is>
          <t>ROYAL ADAM EVE</t>
        </is>
      </c>
      <c r="E1135" s="38" t="n">
        <v>357105.09</v>
      </c>
      <c r="F1135" s="38" t="n">
        <v>158394.67</v>
      </c>
      <c r="G1135" s="38" t="n">
        <v>198710.42</v>
      </c>
      <c r="H1135" s="40" t="inlineStr">
        <is>
          <t>Borç</t>
        </is>
      </c>
      <c r="I1135" s="38" t="n">
        <v>357105.09</v>
      </c>
      <c r="J1135" s="38" t="n">
        <v>158394.67</v>
      </c>
      <c r="K1135" s="38" t="n">
        <v>198710.42</v>
      </c>
      <c r="L1135" s="40" t="inlineStr">
        <is>
          <t>Borç</t>
        </is>
      </c>
    </row>
    <row r="1136" s="34">
      <c r="A1136" s="40" t="inlineStr">
        <is>
          <t>320.01.01.B086</t>
        </is>
      </c>
      <c r="B1136" s="40" t="inlineStr">
        <is>
          <t>Bravo Restoran Ltd.Şti.</t>
        </is>
      </c>
      <c r="C1136" s="40" t="inlineStr">
        <is>
          <t>TRY</t>
        </is>
      </c>
      <c r="D1136" s="40" t="inlineStr">
        <is>
          <t>ROYAL ALHAMBRA</t>
        </is>
      </c>
      <c r="E1136" s="38" t="n">
        <v>0</v>
      </c>
      <c r="F1136" s="38" t="n">
        <v>810162.22</v>
      </c>
      <c r="G1136" s="38" t="n">
        <v>-810162.22</v>
      </c>
      <c r="H1136" s="40" t="inlineStr">
        <is>
          <t>Alacak</t>
        </is>
      </c>
      <c r="I1136" s="38" t="n">
        <v>0</v>
      </c>
      <c r="J1136" s="38" t="n">
        <v>810162.22</v>
      </c>
      <c r="K1136" s="38" t="n">
        <v>-810162.22</v>
      </c>
      <c r="L1136" s="40" t="inlineStr">
        <is>
          <t>Alacak</t>
        </is>
      </c>
    </row>
    <row r="1137" s="34">
      <c r="A1137" s="40" t="inlineStr">
        <is>
          <t>320.01.01.B086</t>
        </is>
      </c>
      <c r="B1137" s="40" t="inlineStr">
        <is>
          <t>Bravo Restoran Ltd.Şti.</t>
        </is>
      </c>
      <c r="C1137" s="40" t="inlineStr">
        <is>
          <t>TRY</t>
        </is>
      </c>
      <c r="D1137" s="40" t="inlineStr">
        <is>
          <t>ROYAL DRAGON</t>
        </is>
      </c>
      <c r="E1137" s="38" t="n">
        <v>0</v>
      </c>
      <c r="F1137" s="38" t="n">
        <v>214474.31</v>
      </c>
      <c r="G1137" s="38" t="n">
        <v>-214474.31</v>
      </c>
      <c r="H1137" s="40" t="inlineStr">
        <is>
          <t>Alacak</t>
        </is>
      </c>
      <c r="I1137" s="38" t="n">
        <v>0</v>
      </c>
      <c r="J1137" s="38" t="n">
        <v>214474.31</v>
      </c>
      <c r="K1137" s="38" t="n">
        <v>-214474.31</v>
      </c>
      <c r="L1137" s="40" t="inlineStr">
        <is>
          <t>Alacak</t>
        </is>
      </c>
    </row>
    <row r="1138" s="34">
      <c r="A1138" s="40" t="inlineStr">
        <is>
          <t>320.01.01.B086</t>
        </is>
      </c>
      <c r="B1138" s="40" t="inlineStr">
        <is>
          <t>Bravo Restoran Ltd.Şti.</t>
        </is>
      </c>
      <c r="C1138" s="40" t="inlineStr">
        <is>
          <t>TRY</t>
        </is>
      </c>
      <c r="D1138" s="40" t="inlineStr">
        <is>
          <t>ROYAL HOLIDAY</t>
        </is>
      </c>
      <c r="E1138" s="38" t="n">
        <v>0</v>
      </c>
      <c r="F1138" s="38" t="n">
        <v>1032512.55</v>
      </c>
      <c r="G1138" s="38" t="n">
        <v>-1032512.55</v>
      </c>
      <c r="H1138" s="40" t="inlineStr">
        <is>
          <t>Alacak</t>
        </is>
      </c>
      <c r="I1138" s="38" t="n">
        <v>0</v>
      </c>
      <c r="J1138" s="38" t="n">
        <v>1032512.55</v>
      </c>
      <c r="K1138" s="38" t="n">
        <v>-1032512.55</v>
      </c>
      <c r="L1138" s="40" t="inlineStr">
        <is>
          <t>Alacak</t>
        </is>
      </c>
    </row>
    <row r="1139" s="34">
      <c r="A1139" s="40" t="inlineStr">
        <is>
          <t>320.01.01.B086</t>
        </is>
      </c>
      <c r="B1139" s="40" t="inlineStr">
        <is>
          <t>Bravo Restoran Ltd.Şti.</t>
        </is>
      </c>
      <c r="C1139" s="40" t="inlineStr">
        <is>
          <t>TRY</t>
        </is>
      </c>
      <c r="D1139" s="40" t="inlineStr">
        <is>
          <t>ROYAL SEGINUS</t>
        </is>
      </c>
      <c r="E1139" s="38" t="n">
        <v>0</v>
      </c>
      <c r="F1139" s="38" t="n">
        <v>283046.55</v>
      </c>
      <c r="G1139" s="38" t="n">
        <v>-283046.55</v>
      </c>
      <c r="H1139" s="40" t="inlineStr">
        <is>
          <t>Alacak</t>
        </is>
      </c>
      <c r="I1139" s="38" t="n">
        <v>0</v>
      </c>
      <c r="J1139" s="38" t="n">
        <v>283046.55</v>
      </c>
      <c r="K1139" s="38" t="n">
        <v>-283046.55</v>
      </c>
      <c r="L1139" s="40" t="inlineStr">
        <is>
          <t>Alacak</t>
        </is>
      </c>
    </row>
    <row r="1140" s="34">
      <c r="A1140" s="40" t="inlineStr">
        <is>
          <t>320.01.01.B086</t>
        </is>
      </c>
      <c r="B1140" s="40" t="inlineStr">
        <is>
          <t>Bravo Restoran Ltd.Şti.</t>
        </is>
      </c>
      <c r="C1140" s="40" t="inlineStr">
        <is>
          <t>TRY</t>
        </is>
      </c>
      <c r="D1140" s="40" t="inlineStr">
        <is>
          <t>SERTAŞ MERKEZ</t>
        </is>
      </c>
      <c r="E1140" s="38" t="n">
        <v>1064145.38</v>
      </c>
      <c r="F1140" s="38" t="n">
        <v>0</v>
      </c>
      <c r="G1140" s="38" t="n">
        <v>1064145.38</v>
      </c>
      <c r="H1140" s="40" t="inlineStr">
        <is>
          <t>Borç</t>
        </is>
      </c>
      <c r="I1140" s="38" t="n">
        <v>1064145.38</v>
      </c>
      <c r="J1140" s="38" t="n">
        <v>0</v>
      </c>
      <c r="K1140" s="38" t="n">
        <v>1064145.38</v>
      </c>
      <c r="L1140" s="40" t="inlineStr">
        <is>
          <t>Borç</t>
        </is>
      </c>
    </row>
    <row r="1141" s="34">
      <c r="A1141" s="40" t="inlineStr">
        <is>
          <t>320.01.01.B090</t>
        </is>
      </c>
      <c r="B1141" s="40" t="inlineStr">
        <is>
          <t>Buberoğlu Elektronik Elektrik İnş.Tur.Tic. ve San.Ltd.Şti.</t>
        </is>
      </c>
      <c r="C1141" s="40" t="inlineStr">
        <is>
          <t>TRY</t>
        </is>
      </c>
      <c r="D1141" s="40" t="inlineStr">
        <is>
          <t>GİTAŞ MERKEZ</t>
        </is>
      </c>
      <c r="E1141" s="38" t="n">
        <v>63457.45</v>
      </c>
      <c r="F1141" s="38" t="n">
        <v>0</v>
      </c>
      <c r="G1141" s="38" t="n">
        <v>63457.45</v>
      </c>
      <c r="H1141" s="40" t="inlineStr">
        <is>
          <t>Borç</t>
        </is>
      </c>
      <c r="I1141" s="38" t="n">
        <v>63457.45</v>
      </c>
      <c r="J1141" s="38" t="n">
        <v>0</v>
      </c>
      <c r="K1141" s="38" t="n">
        <v>63457.45</v>
      </c>
      <c r="L1141" s="40" t="inlineStr">
        <is>
          <t>Borç</t>
        </is>
      </c>
    </row>
    <row r="1142" s="34">
      <c r="A1142" s="40" t="inlineStr">
        <is>
          <t>320.01.01.B090</t>
        </is>
      </c>
      <c r="B1142" s="40" t="inlineStr">
        <is>
          <t>Buberoğlu Elektronik Elektrik İnş.Tur.Tic. ve San.Ltd.Şti.</t>
        </is>
      </c>
      <c r="C1142" s="40" t="inlineStr">
        <is>
          <t>TRY</t>
        </is>
      </c>
      <c r="D1142" s="40" t="inlineStr">
        <is>
          <t>ROYAL ADAM EVE</t>
        </is>
      </c>
      <c r="E1142" s="38" t="n">
        <v>38012.82</v>
      </c>
      <c r="F1142" s="38" t="n">
        <v>0</v>
      </c>
      <c r="G1142" s="38" t="n">
        <v>38012.82</v>
      </c>
      <c r="H1142" s="40" t="inlineStr">
        <is>
          <t>Borç</t>
        </is>
      </c>
      <c r="I1142" s="38" t="n">
        <v>38012.82</v>
      </c>
      <c r="J1142" s="38" t="n">
        <v>0</v>
      </c>
      <c r="K1142" s="38" t="n">
        <v>38012.82</v>
      </c>
      <c r="L1142" s="40" t="inlineStr">
        <is>
          <t>Borç</t>
        </is>
      </c>
    </row>
    <row r="1143" s="34">
      <c r="A1143" s="40" t="inlineStr">
        <is>
          <t>320.01.01.B090</t>
        </is>
      </c>
      <c r="B1143" s="40" t="inlineStr">
        <is>
          <t>Buberoğlu Elektronik Elektrik İnş.Tur.Tic. ve San.Ltd.Şti.</t>
        </is>
      </c>
      <c r="C1143" s="40" t="inlineStr">
        <is>
          <t>TRY</t>
        </is>
      </c>
      <c r="D1143" s="40" t="inlineStr">
        <is>
          <t>ROYAL ALHAMBRA</t>
        </is>
      </c>
      <c r="E1143" s="38" t="n">
        <v>0</v>
      </c>
      <c r="F1143" s="38" t="n">
        <v>4992</v>
      </c>
      <c r="G1143" s="38" t="n">
        <v>-4992</v>
      </c>
      <c r="H1143" s="40" t="inlineStr">
        <is>
          <t>Alacak</t>
        </is>
      </c>
      <c r="I1143" s="38" t="n">
        <v>0</v>
      </c>
      <c r="J1143" s="38" t="n">
        <v>4992</v>
      </c>
      <c r="K1143" s="38" t="n">
        <v>-4992</v>
      </c>
      <c r="L1143" s="40" t="inlineStr">
        <is>
          <t>Alacak</t>
        </is>
      </c>
    </row>
    <row r="1144" s="34">
      <c r="A1144" s="40" t="inlineStr">
        <is>
          <t>320.01.01.B095</t>
        </is>
      </c>
      <c r="B1144" s="40" t="inlineStr">
        <is>
          <t>Bursa Ucuz Kumas Paz.Teks.San.Ltd.Şti</t>
        </is>
      </c>
      <c r="C1144" s="40" t="inlineStr">
        <is>
          <t>TRY</t>
        </is>
      </c>
      <c r="D1144" s="40" t="inlineStr">
        <is>
          <t>ROYAL ADAM EVE</t>
        </is>
      </c>
      <c r="E1144" s="38" t="n">
        <v>22000</v>
      </c>
      <c r="F1144" s="38" t="n">
        <v>0</v>
      </c>
      <c r="G1144" s="38" t="n">
        <v>22000</v>
      </c>
      <c r="H1144" s="40" t="inlineStr">
        <is>
          <t>Borç</t>
        </is>
      </c>
      <c r="I1144" s="38" t="n">
        <v>22000</v>
      </c>
      <c r="J1144" s="38" t="n">
        <v>0</v>
      </c>
      <c r="K1144" s="38" t="n">
        <v>22000</v>
      </c>
      <c r="L1144" s="40" t="inlineStr">
        <is>
          <t>Borç</t>
        </is>
      </c>
    </row>
    <row r="1145" s="34">
      <c r="A1145" s="40" t="inlineStr">
        <is>
          <t>320.01.01.B104</t>
        </is>
      </c>
      <c r="B1145" s="40" t="inlineStr">
        <is>
          <t>Booking.Com B.V</t>
        </is>
      </c>
      <c r="C1145" s="40" t="inlineStr">
        <is>
          <t>EUR</t>
        </is>
      </c>
      <c r="D1145" s="40" t="inlineStr">
        <is>
          <t>GİTAŞ MERKEZ</t>
        </is>
      </c>
      <c r="E1145" s="38" t="n">
        <v>147046.86</v>
      </c>
      <c r="F1145" s="38" t="n">
        <v>0</v>
      </c>
      <c r="G1145" s="38" t="n">
        <v>147046.86</v>
      </c>
      <c r="H1145" s="40" t="inlineStr">
        <is>
          <t>Borç</t>
        </is>
      </c>
      <c r="I1145" s="38" t="n">
        <v>2745.8</v>
      </c>
      <c r="J1145" s="38" t="n">
        <v>0</v>
      </c>
      <c r="K1145" s="38" t="n">
        <v>2745.8</v>
      </c>
      <c r="L1145" s="40" t="inlineStr">
        <is>
          <t>Borç</t>
        </is>
      </c>
    </row>
    <row r="1146" s="34">
      <c r="A1146" s="40" t="inlineStr">
        <is>
          <t>320.01.01.B104</t>
        </is>
      </c>
      <c r="B1146" s="40" t="inlineStr">
        <is>
          <t>Booking.Com B.V</t>
        </is>
      </c>
      <c r="C1146" s="40" t="inlineStr">
        <is>
          <t>EUR</t>
        </is>
      </c>
      <c r="D1146" s="40" t="inlineStr">
        <is>
          <t>ROYAL ADAM EVE</t>
        </is>
      </c>
      <c r="E1146" s="38" t="n">
        <v>421221.92</v>
      </c>
      <c r="F1146" s="38" t="n">
        <v>421745.97</v>
      </c>
      <c r="G1146" s="38" t="n">
        <v>-524.05</v>
      </c>
      <c r="H1146" s="40" t="inlineStr">
        <is>
          <t>Alacak</t>
        </is>
      </c>
      <c r="I1146" s="38" t="n">
        <v>7865.46</v>
      </c>
      <c r="J1146" s="38" t="n">
        <v>7865.46</v>
      </c>
      <c r="K1146" s="38" t="n">
        <v>0</v>
      </c>
    </row>
    <row r="1147" s="34">
      <c r="A1147" s="40" t="inlineStr">
        <is>
          <t>320.01.01.B104</t>
        </is>
      </c>
      <c r="B1147" s="40" t="inlineStr">
        <is>
          <t>Booking.Com B.V</t>
        </is>
      </c>
      <c r="C1147" s="40" t="inlineStr">
        <is>
          <t>EUR</t>
        </is>
      </c>
      <c r="D1147" s="40" t="inlineStr">
        <is>
          <t>ROYAL ALHAMBRA</t>
        </is>
      </c>
      <c r="E1147" s="38" t="n">
        <v>0</v>
      </c>
      <c r="F1147" s="38" t="n">
        <v>57433.32</v>
      </c>
      <c r="G1147" s="38" t="n">
        <v>-57433.32</v>
      </c>
      <c r="H1147" s="40" t="inlineStr">
        <is>
          <t>Alacak</t>
        </is>
      </c>
      <c r="I1147" s="38" t="n">
        <v>0</v>
      </c>
      <c r="J1147" s="38" t="n">
        <v>1072.45</v>
      </c>
      <c r="K1147" s="38" t="n">
        <v>-1072.45</v>
      </c>
      <c r="L1147" s="40" t="inlineStr">
        <is>
          <t>Alacak</t>
        </is>
      </c>
    </row>
    <row r="1148" s="34">
      <c r="A1148" s="40" t="inlineStr">
        <is>
          <t>320.01.01.B104</t>
        </is>
      </c>
      <c r="B1148" s="40" t="inlineStr">
        <is>
          <t>Booking.Com B.V</t>
        </is>
      </c>
      <c r="C1148" s="40" t="inlineStr">
        <is>
          <t>EUR</t>
        </is>
      </c>
      <c r="D1148" s="40" t="inlineStr">
        <is>
          <t>ROYAL DRAGON</t>
        </is>
      </c>
      <c r="E1148" s="38" t="n">
        <v>0</v>
      </c>
      <c r="F1148" s="38" t="n">
        <v>89613.53999999999</v>
      </c>
      <c r="G1148" s="38" t="n">
        <v>-89613.53999999999</v>
      </c>
      <c r="H1148" s="40" t="inlineStr">
        <is>
          <t>Alacak</t>
        </is>
      </c>
      <c r="I1148" s="38" t="n">
        <v>0</v>
      </c>
      <c r="J1148" s="38" t="n">
        <v>1673.35</v>
      </c>
      <c r="K1148" s="38" t="n">
        <v>-1673.35</v>
      </c>
      <c r="L1148" s="40" t="inlineStr">
        <is>
          <t>Alacak</t>
        </is>
      </c>
    </row>
    <row r="1149" s="34">
      <c r="A1149" s="40" t="inlineStr">
        <is>
          <t>320.01.01.B104</t>
        </is>
      </c>
      <c r="B1149" s="40" t="inlineStr">
        <is>
          <t>Booking.Com B.V</t>
        </is>
      </c>
      <c r="C1149" s="40" t="inlineStr">
        <is>
          <t>EUR</t>
        </is>
      </c>
      <c r="D1149" s="40" t="inlineStr">
        <is>
          <t>ROYAL HOLIDAY</t>
        </is>
      </c>
      <c r="E1149" s="38" t="n">
        <v>0</v>
      </c>
      <c r="F1149" s="38" t="n">
        <v>172119.47</v>
      </c>
      <c r="G1149" s="38" t="n">
        <v>-172119.47</v>
      </c>
      <c r="H1149" s="40" t="inlineStr">
        <is>
          <t>Alacak</t>
        </is>
      </c>
      <c r="I1149" s="38" t="n">
        <v>0</v>
      </c>
      <c r="J1149" s="38" t="n">
        <v>3213.98</v>
      </c>
      <c r="K1149" s="38" t="n">
        <v>-3213.98</v>
      </c>
      <c r="L1149" s="40" t="inlineStr">
        <is>
          <t>Alacak</t>
        </is>
      </c>
    </row>
    <row r="1150" s="34">
      <c r="A1150" s="40" t="inlineStr">
        <is>
          <t>320.01.01.B104</t>
        </is>
      </c>
      <c r="B1150" s="40" t="inlineStr">
        <is>
          <t>Booking.Com B.V</t>
        </is>
      </c>
      <c r="C1150" s="40" t="inlineStr">
        <is>
          <t>EUR</t>
        </is>
      </c>
      <c r="D1150" s="40" t="inlineStr">
        <is>
          <t>ROYAL SEGINUS</t>
        </is>
      </c>
      <c r="E1150" s="38" t="n">
        <v>0</v>
      </c>
      <c r="F1150" s="38" t="n">
        <v>613859.83</v>
      </c>
      <c r="G1150" s="38" t="n">
        <v>-613859.83</v>
      </c>
      <c r="H1150" s="40" t="inlineStr">
        <is>
          <t>Alacak</t>
        </is>
      </c>
      <c r="I1150" s="38" t="n">
        <v>0</v>
      </c>
      <c r="J1150" s="38" t="n">
        <v>11462.58</v>
      </c>
      <c r="K1150" s="38" t="n">
        <v>-11462.58</v>
      </c>
      <c r="L1150" s="40" t="inlineStr">
        <is>
          <t>Alacak</t>
        </is>
      </c>
    </row>
    <row r="1151" s="34">
      <c r="A1151" s="40" t="inlineStr">
        <is>
          <t>320.01.01.B104</t>
        </is>
      </c>
      <c r="B1151" s="40" t="inlineStr">
        <is>
          <t>Booking.Com B.V</t>
        </is>
      </c>
      <c r="C1151" s="40" t="inlineStr">
        <is>
          <t>EUR</t>
        </is>
      </c>
      <c r="D1151" s="40" t="inlineStr">
        <is>
          <t>SERTAŞ MERKEZ</t>
        </is>
      </c>
      <c r="E1151" s="38" t="n">
        <v>785979.3</v>
      </c>
      <c r="F1151" s="38" t="n">
        <v>0</v>
      </c>
      <c r="G1151" s="38" t="n">
        <v>785979.3</v>
      </c>
      <c r="H1151" s="40" t="inlineStr">
        <is>
          <t>Borç</t>
        </is>
      </c>
      <c r="I1151" s="38" t="n">
        <v>14676.56</v>
      </c>
      <c r="J1151" s="38" t="n">
        <v>0</v>
      </c>
      <c r="K1151" s="38" t="n">
        <v>14676.56</v>
      </c>
      <c r="L1151" s="40" t="inlineStr">
        <is>
          <t>Borç</t>
        </is>
      </c>
    </row>
    <row r="1152" s="34">
      <c r="A1152" s="40" t="inlineStr">
        <is>
          <t>320.01.01.B106</t>
        </is>
      </c>
      <c r="B1152" s="40" t="inlineStr">
        <is>
          <t>Bayram Metin</t>
        </is>
      </c>
      <c r="C1152" s="40" t="inlineStr">
        <is>
          <t>TRY</t>
        </is>
      </c>
      <c r="D1152" s="40" t="inlineStr">
        <is>
          <t>GİTAŞ MERKEZ</t>
        </is>
      </c>
      <c r="E1152" s="38" t="n">
        <v>142620</v>
      </c>
      <c r="F1152" s="38" t="n">
        <v>0</v>
      </c>
      <c r="G1152" s="38" t="n">
        <v>142620</v>
      </c>
      <c r="H1152" s="40" t="inlineStr">
        <is>
          <t>Borç</t>
        </is>
      </c>
      <c r="I1152" s="38" t="n">
        <v>142620</v>
      </c>
      <c r="J1152" s="38" t="n">
        <v>0</v>
      </c>
      <c r="K1152" s="38" t="n">
        <v>142620</v>
      </c>
      <c r="L1152" s="40" t="inlineStr">
        <is>
          <t>Borç</t>
        </is>
      </c>
    </row>
    <row r="1153" s="34">
      <c r="A1153" s="40" t="inlineStr">
        <is>
          <t>320.01.01.B107</t>
        </is>
      </c>
      <c r="B1153" s="40" t="inlineStr">
        <is>
          <t>Bülent Sözen</t>
        </is>
      </c>
      <c r="C1153" s="40" t="inlineStr">
        <is>
          <t>TRY</t>
        </is>
      </c>
      <c r="D1153" s="40" t="inlineStr">
        <is>
          <t>ROYAL HOLIDAY</t>
        </is>
      </c>
      <c r="E1153" s="38" t="n">
        <v>0</v>
      </c>
      <c r="F1153" s="38" t="n">
        <v>21870</v>
      </c>
      <c r="G1153" s="38" t="n">
        <v>-21870</v>
      </c>
      <c r="H1153" s="40" t="inlineStr">
        <is>
          <t>Alacak</t>
        </is>
      </c>
      <c r="I1153" s="38" t="n">
        <v>0</v>
      </c>
      <c r="J1153" s="38" t="n">
        <v>21870</v>
      </c>
      <c r="K1153" s="38" t="n">
        <v>-21870</v>
      </c>
      <c r="L1153" s="40" t="inlineStr">
        <is>
          <t>Alacak</t>
        </is>
      </c>
    </row>
    <row r="1154" s="34">
      <c r="A1154" s="40" t="inlineStr">
        <is>
          <t>320.01.01.B107</t>
        </is>
      </c>
      <c r="B1154" s="40" t="inlineStr">
        <is>
          <t>Bülent Sözen</t>
        </is>
      </c>
      <c r="C1154" s="40" t="inlineStr">
        <is>
          <t>TRY</t>
        </is>
      </c>
      <c r="D1154" s="40" t="inlineStr">
        <is>
          <t>SERTAŞ MERKEZ</t>
        </is>
      </c>
      <c r="E1154" s="38" t="n">
        <v>21870</v>
      </c>
      <c r="F1154" s="38" t="n">
        <v>0</v>
      </c>
      <c r="G1154" s="38" t="n">
        <v>21870</v>
      </c>
      <c r="H1154" s="40" t="inlineStr">
        <is>
          <t>Borç</t>
        </is>
      </c>
      <c r="I1154" s="38" t="n">
        <v>21870</v>
      </c>
      <c r="J1154" s="38" t="n">
        <v>0</v>
      </c>
      <c r="K1154" s="38" t="n">
        <v>21870</v>
      </c>
      <c r="L1154" s="40" t="inlineStr">
        <is>
          <t>Borç</t>
        </is>
      </c>
    </row>
    <row r="1155" s="34">
      <c r="A1155" s="40" t="inlineStr">
        <is>
          <t>320.01.01.B108</t>
        </is>
      </c>
      <c r="B1155" s="40" t="inlineStr">
        <is>
          <t>Bünyamin Meydan - Alanya Global Teknik</t>
        </is>
      </c>
      <c r="C1155" s="40" t="inlineStr">
        <is>
          <t>TRY</t>
        </is>
      </c>
      <c r="D1155" s="40" t="inlineStr">
        <is>
          <t>GİTAŞ MERKEZ</t>
        </is>
      </c>
      <c r="E1155" s="38" t="n">
        <v>138000</v>
      </c>
      <c r="F1155" s="38" t="n">
        <v>0</v>
      </c>
      <c r="G1155" s="38" t="n">
        <v>138000</v>
      </c>
      <c r="H1155" s="40" t="inlineStr">
        <is>
          <t>Borç</t>
        </is>
      </c>
      <c r="I1155" s="38" t="n">
        <v>138000</v>
      </c>
      <c r="J1155" s="38" t="n">
        <v>0</v>
      </c>
      <c r="K1155" s="38" t="n">
        <v>138000</v>
      </c>
      <c r="L1155" s="40" t="inlineStr">
        <is>
          <t>Borç</t>
        </is>
      </c>
    </row>
    <row r="1156" s="34">
      <c r="A1156" s="40" t="inlineStr">
        <is>
          <t>320.01.01.C002</t>
        </is>
      </c>
      <c r="B1156" s="40" t="inlineStr">
        <is>
          <t>Crea Events Turizm Organizasyon A.ş.</t>
        </is>
      </c>
      <c r="C1156" s="40" t="inlineStr">
        <is>
          <t>TRY</t>
        </is>
      </c>
      <c r="D1156" s="40" t="inlineStr">
        <is>
          <t>ROYAL ADAM EVE</t>
        </is>
      </c>
      <c r="E1156" s="38" t="n">
        <v>159367.2</v>
      </c>
      <c r="F1156" s="38" t="n">
        <v>159367.2</v>
      </c>
      <c r="G1156" s="38" t="n">
        <v>0</v>
      </c>
      <c r="I1156" s="38" t="n">
        <v>3000</v>
      </c>
      <c r="J1156" s="38" t="n">
        <v>3000</v>
      </c>
      <c r="K1156" s="38" t="n">
        <v>0</v>
      </c>
    </row>
    <row r="1157" s="34">
      <c r="A1157" s="40" t="inlineStr">
        <is>
          <t>320.01.01.Ç002</t>
        </is>
      </c>
      <c r="B1157" s="40" t="inlineStr">
        <is>
          <t>Çetinkaya Rulman Pnömatik Endüstriyel Ürünler Otomotiv Hırdavat Sanayi ve Ticaret Ltd. Şti</t>
        </is>
      </c>
      <c r="C1157" s="40" t="inlineStr">
        <is>
          <t>TRY</t>
        </is>
      </c>
      <c r="D1157" s="40" t="inlineStr">
        <is>
          <t>ROYAL ADAM EVE</t>
        </is>
      </c>
      <c r="E1157" s="38" t="n">
        <v>10807.2</v>
      </c>
      <c r="F1157" s="38" t="n">
        <v>0</v>
      </c>
      <c r="G1157" s="38" t="n">
        <v>10807.2</v>
      </c>
      <c r="H1157" s="40" t="inlineStr">
        <is>
          <t>Borç</t>
        </is>
      </c>
      <c r="I1157" s="38" t="n">
        <v>10807.2</v>
      </c>
      <c r="J1157" s="38" t="n">
        <v>0</v>
      </c>
      <c r="K1157" s="38" t="n">
        <v>10807.2</v>
      </c>
      <c r="L1157" s="40" t="inlineStr">
        <is>
          <t>Borç</t>
        </is>
      </c>
    </row>
    <row r="1158" s="34">
      <c r="A1158" s="40" t="inlineStr">
        <is>
          <t>320.01.01.Ç003</t>
        </is>
      </c>
      <c r="B1158" s="40" t="inlineStr">
        <is>
          <t>Çağlar Klima Sanayi ve Ticaret Limited Şirketi</t>
        </is>
      </c>
      <c r="C1158" s="40" t="inlineStr">
        <is>
          <t>TRY</t>
        </is>
      </c>
      <c r="D1158" s="40" t="inlineStr">
        <is>
          <t>ROYAL ADAM EVE</t>
        </is>
      </c>
      <c r="E1158" s="38" t="n">
        <v>198000</v>
      </c>
      <c r="F1158" s="38" t="n">
        <v>0</v>
      </c>
      <c r="G1158" s="38" t="n">
        <v>198000</v>
      </c>
      <c r="H1158" s="40" t="inlineStr">
        <is>
          <t>Borç</t>
        </is>
      </c>
      <c r="I1158" s="38" t="n">
        <v>198000</v>
      </c>
      <c r="J1158" s="38" t="n">
        <v>0</v>
      </c>
      <c r="K1158" s="38" t="n">
        <v>198000</v>
      </c>
      <c r="L1158" s="40" t="inlineStr">
        <is>
          <t>Borç</t>
        </is>
      </c>
    </row>
    <row r="1159" s="34">
      <c r="A1159" s="40" t="inlineStr">
        <is>
          <t>320.01.01.C020</t>
        </is>
      </c>
      <c r="B1159" s="40" t="inlineStr">
        <is>
          <t>Cat Global Turizm Sanayi Ticaret Limited Şirket</t>
        </is>
      </c>
      <c r="C1159" s="40" t="inlineStr">
        <is>
          <t>TRY</t>
        </is>
      </c>
      <c r="D1159" s="40" t="inlineStr">
        <is>
          <t>ROYAL ADAM EVE</t>
        </is>
      </c>
      <c r="E1159" s="38" t="n">
        <v>478101.6</v>
      </c>
      <c r="F1159" s="38" t="n">
        <v>1532.7</v>
      </c>
      <c r="G1159" s="38" t="n">
        <v>476568.9</v>
      </c>
      <c r="H1159" s="40" t="inlineStr">
        <is>
          <t>Borç</t>
        </is>
      </c>
      <c r="I1159" s="38" t="n">
        <v>9000</v>
      </c>
      <c r="J1159" s="38" t="n">
        <v>0</v>
      </c>
      <c r="K1159" s="38" t="n">
        <v>9000</v>
      </c>
      <c r="L1159" s="40" t="inlineStr">
        <is>
          <t>Borç</t>
        </is>
      </c>
    </row>
    <row r="1160" s="34">
      <c r="A1160" s="40" t="inlineStr">
        <is>
          <t>320.01.01.C032</t>
        </is>
      </c>
      <c r="B1160" s="40" t="inlineStr">
        <is>
          <t>Cea Gıda Tarım Turz. Paz. Tic. Ve San. A.Ş.</t>
        </is>
      </c>
      <c r="C1160" s="40" t="inlineStr">
        <is>
          <t>TRY</t>
        </is>
      </c>
      <c r="D1160" s="40" t="inlineStr">
        <is>
          <t>ROYAL ADAM EVE</t>
        </is>
      </c>
      <c r="E1160" s="38" t="n">
        <v>0</v>
      </c>
      <c r="F1160" s="38" t="n">
        <v>294625.67</v>
      </c>
      <c r="G1160" s="38" t="n">
        <v>-294625.67</v>
      </c>
      <c r="H1160" s="40" t="inlineStr">
        <is>
          <t>Alacak</t>
        </is>
      </c>
      <c r="I1160" s="38" t="n">
        <v>0</v>
      </c>
      <c r="J1160" s="38" t="n">
        <v>294625.67</v>
      </c>
      <c r="K1160" s="38" t="n">
        <v>-294625.67</v>
      </c>
      <c r="L1160" s="40" t="inlineStr">
        <is>
          <t>Alacak</t>
        </is>
      </c>
    </row>
    <row r="1161" s="34">
      <c r="A1161" s="40" t="inlineStr">
        <is>
          <t>320.01.01.C032</t>
        </is>
      </c>
      <c r="B1161" s="40" t="inlineStr">
        <is>
          <t>Cea Gıda Tarım Turz. Paz. Tic. Ve San. A.Ş.</t>
        </is>
      </c>
      <c r="C1161" s="40" t="inlineStr">
        <is>
          <t>TRY</t>
        </is>
      </c>
      <c r="D1161" s="40" t="inlineStr">
        <is>
          <t>ROYAL ALHAMBRA</t>
        </is>
      </c>
      <c r="E1161" s="38" t="n">
        <v>0</v>
      </c>
      <c r="F1161" s="38" t="n">
        <v>272096.68</v>
      </c>
      <c r="G1161" s="38" t="n">
        <v>-272096.68</v>
      </c>
      <c r="H1161" s="40" t="inlineStr">
        <is>
          <t>Alacak</t>
        </is>
      </c>
      <c r="I1161" s="38" t="n">
        <v>0</v>
      </c>
      <c r="J1161" s="38" t="n">
        <v>272096.68</v>
      </c>
      <c r="K1161" s="38" t="n">
        <v>-272096.68</v>
      </c>
      <c r="L1161" s="40" t="inlineStr">
        <is>
          <t>Alacak</t>
        </is>
      </c>
    </row>
    <row r="1162" s="34">
      <c r="A1162" s="40" t="inlineStr">
        <is>
          <t>320.01.01.C032</t>
        </is>
      </c>
      <c r="B1162" s="40" t="inlineStr">
        <is>
          <t>Cea Gıda Tarım Turz. Paz. Tic. Ve San. A.Ş.</t>
        </is>
      </c>
      <c r="C1162" s="40" t="inlineStr">
        <is>
          <t>TRY</t>
        </is>
      </c>
      <c r="D1162" s="40" t="inlineStr">
        <is>
          <t>ROYAL DRAGON</t>
        </is>
      </c>
      <c r="E1162" s="38" t="n">
        <v>0</v>
      </c>
      <c r="F1162" s="38" t="n">
        <v>409694.89</v>
      </c>
      <c r="G1162" s="38" t="n">
        <v>-409694.89</v>
      </c>
      <c r="H1162" s="40" t="inlineStr">
        <is>
          <t>Alacak</t>
        </is>
      </c>
      <c r="I1162" s="38" t="n">
        <v>0</v>
      </c>
      <c r="J1162" s="38" t="n">
        <v>409694.89</v>
      </c>
      <c r="K1162" s="38" t="n">
        <v>-409694.89</v>
      </c>
      <c r="L1162" s="40" t="inlineStr">
        <is>
          <t>Alacak</t>
        </is>
      </c>
    </row>
    <row r="1163" s="34">
      <c r="A1163" s="40" t="inlineStr">
        <is>
          <t>320.01.01.C032</t>
        </is>
      </c>
      <c r="B1163" s="40" t="inlineStr">
        <is>
          <t>Cea Gıda Tarım Turz. Paz. Tic. Ve San. A.Ş.</t>
        </is>
      </c>
      <c r="C1163" s="40" t="inlineStr">
        <is>
          <t>TRY</t>
        </is>
      </c>
      <c r="D1163" s="40" t="inlineStr">
        <is>
          <t>ROYAL HOLIDAY</t>
        </is>
      </c>
      <c r="E1163" s="38" t="n">
        <v>0</v>
      </c>
      <c r="F1163" s="38" t="n">
        <v>911564.2</v>
      </c>
      <c r="G1163" s="38" t="n">
        <v>-911564.2</v>
      </c>
      <c r="H1163" s="40" t="inlineStr">
        <is>
          <t>Alacak</t>
        </is>
      </c>
      <c r="I1163" s="38" t="n">
        <v>0</v>
      </c>
      <c r="J1163" s="38" t="n">
        <v>911564.2</v>
      </c>
      <c r="K1163" s="38" t="n">
        <v>-911564.2</v>
      </c>
      <c r="L1163" s="40" t="inlineStr">
        <is>
          <t>Alacak</t>
        </is>
      </c>
    </row>
    <row r="1164" s="34">
      <c r="A1164" s="40" t="inlineStr">
        <is>
          <t>320.01.01.C032</t>
        </is>
      </c>
      <c r="B1164" s="40" t="inlineStr">
        <is>
          <t>Cea Gıda Tarım Turz. Paz. Tic. Ve San. A.Ş.</t>
        </is>
      </c>
      <c r="C1164" s="40" t="inlineStr">
        <is>
          <t>TRY</t>
        </is>
      </c>
      <c r="D1164" s="40" t="inlineStr">
        <is>
          <t>ROYAL SEGINUS</t>
        </is>
      </c>
      <c r="E1164" s="38" t="n">
        <v>0</v>
      </c>
      <c r="F1164" s="38" t="n">
        <v>470766.12</v>
      </c>
      <c r="G1164" s="38" t="n">
        <v>-470766.12</v>
      </c>
      <c r="H1164" s="40" t="inlineStr">
        <is>
          <t>Alacak</t>
        </is>
      </c>
      <c r="I1164" s="38" t="n">
        <v>0</v>
      </c>
      <c r="J1164" s="38" t="n">
        <v>470766.12</v>
      </c>
      <c r="K1164" s="38" t="n">
        <v>-470766.12</v>
      </c>
      <c r="L1164" s="40" t="inlineStr">
        <is>
          <t>Alacak</t>
        </is>
      </c>
    </row>
    <row r="1165" s="34">
      <c r="A1165" s="40" t="inlineStr">
        <is>
          <t>320.01.01.C040</t>
        </is>
      </c>
      <c r="B1165" s="40" t="inlineStr">
        <is>
          <t>Cemil Metin Orman Bahçe Ve Tarım Mak.San</t>
        </is>
      </c>
      <c r="C1165" s="40" t="inlineStr">
        <is>
          <t>TRY</t>
        </is>
      </c>
      <c r="D1165" s="40" t="inlineStr">
        <is>
          <t>ROYAL ADAM EVE</t>
        </is>
      </c>
      <c r="E1165" s="38" t="n">
        <v>30396</v>
      </c>
      <c r="F1165" s="38" t="n">
        <v>2100</v>
      </c>
      <c r="G1165" s="38" t="n">
        <v>28296</v>
      </c>
      <c r="H1165" s="40" t="inlineStr">
        <is>
          <t>Borç</t>
        </is>
      </c>
      <c r="I1165" s="38" t="n">
        <v>30396</v>
      </c>
      <c r="J1165" s="38" t="n">
        <v>2100</v>
      </c>
      <c r="K1165" s="38" t="n">
        <v>28296</v>
      </c>
      <c r="L1165" s="40" t="inlineStr">
        <is>
          <t>Borç</t>
        </is>
      </c>
    </row>
    <row r="1166" s="34">
      <c r="A1166" s="40" t="inlineStr">
        <is>
          <t>320.01.01.C040</t>
        </is>
      </c>
      <c r="B1166" s="40" t="inlineStr">
        <is>
          <t>Cemil Metin Orman Bahçe Ve Tarım Mak.San</t>
        </is>
      </c>
      <c r="C1166" s="40" t="inlineStr">
        <is>
          <t>TRY</t>
        </is>
      </c>
      <c r="D1166" s="40" t="inlineStr">
        <is>
          <t>SERTAŞ MERKEZ</t>
        </is>
      </c>
      <c r="E1166" s="38" t="n">
        <v>6120</v>
      </c>
      <c r="F1166" s="38" t="n">
        <v>0</v>
      </c>
      <c r="G1166" s="38" t="n">
        <v>6120</v>
      </c>
      <c r="H1166" s="40" t="inlineStr">
        <is>
          <t>Borç</t>
        </is>
      </c>
      <c r="I1166" s="38" t="n">
        <v>6120</v>
      </c>
      <c r="J1166" s="38" t="n">
        <v>0</v>
      </c>
      <c r="K1166" s="38" t="n">
        <v>6120</v>
      </c>
      <c r="L1166" s="40" t="inlineStr">
        <is>
          <t>Borç</t>
        </is>
      </c>
    </row>
    <row r="1167" s="34">
      <c r="A1167" s="40" t="inlineStr">
        <is>
          <t>320.01.01.C046</t>
        </is>
      </c>
      <c r="B1167" s="40" t="inlineStr">
        <is>
          <t>Çiğdem Soğutma Isıtma Elek.End.Mak.İnş.S</t>
        </is>
      </c>
      <c r="C1167" s="40" t="inlineStr">
        <is>
          <t>TRY</t>
        </is>
      </c>
      <c r="D1167" s="40" t="inlineStr">
        <is>
          <t>ROYAL ADAM EVE</t>
        </is>
      </c>
      <c r="E1167" s="38" t="n">
        <v>18870</v>
      </c>
      <c r="F1167" s="38" t="n">
        <v>0</v>
      </c>
      <c r="G1167" s="38" t="n">
        <v>18870</v>
      </c>
      <c r="H1167" s="40" t="inlineStr">
        <is>
          <t>Borç</t>
        </is>
      </c>
      <c r="I1167" s="38" t="n">
        <v>18870</v>
      </c>
      <c r="J1167" s="38" t="n">
        <v>0</v>
      </c>
      <c r="K1167" s="38" t="n">
        <v>18870</v>
      </c>
      <c r="L1167" s="40" t="inlineStr">
        <is>
          <t>Borç</t>
        </is>
      </c>
    </row>
    <row r="1168" s="34">
      <c r="A1168" s="40" t="inlineStr">
        <is>
          <t>320.01.01.C046</t>
        </is>
      </c>
      <c r="B1168" s="40" t="inlineStr">
        <is>
          <t>Çiğdem Soğutma Isıtma Elek.End.Mak.İnş.S</t>
        </is>
      </c>
      <c r="C1168" s="40" t="inlineStr">
        <is>
          <t>TRY</t>
        </is>
      </c>
      <c r="D1168" s="40" t="inlineStr">
        <is>
          <t>SERTAŞ MERKEZ</t>
        </is>
      </c>
      <c r="E1168" s="38" t="n">
        <v>43200</v>
      </c>
      <c r="F1168" s="38" t="n">
        <v>0</v>
      </c>
      <c r="G1168" s="38" t="n">
        <v>43200</v>
      </c>
      <c r="H1168" s="40" t="inlineStr">
        <is>
          <t>Borç</t>
        </is>
      </c>
      <c r="I1168" s="38" t="n">
        <v>43200</v>
      </c>
      <c r="J1168" s="38" t="n">
        <v>0</v>
      </c>
      <c r="K1168" s="38" t="n">
        <v>43200</v>
      </c>
      <c r="L1168" s="40" t="inlineStr">
        <is>
          <t>Borç</t>
        </is>
      </c>
    </row>
    <row r="1169" s="34">
      <c r="A1169" s="40" t="inlineStr">
        <is>
          <t>320.01.01.C050</t>
        </is>
      </c>
      <c r="B1169" s="40" t="inlineStr">
        <is>
          <t>Ck Akdeniz ElekTRik Perakende Satış A.Ş.</t>
        </is>
      </c>
      <c r="C1169" s="40" t="inlineStr">
        <is>
          <t>TRY</t>
        </is>
      </c>
      <c r="D1169" s="40" t="inlineStr">
        <is>
          <t>ROYAL ADAM EVE</t>
        </is>
      </c>
      <c r="E1169" s="38" t="n">
        <v>3038805</v>
      </c>
      <c r="F1169" s="38" t="n">
        <v>0</v>
      </c>
      <c r="G1169" s="38" t="n">
        <v>3038805</v>
      </c>
      <c r="H1169" s="40" t="inlineStr">
        <is>
          <t>Borç</t>
        </is>
      </c>
      <c r="I1169" s="38" t="n">
        <v>3038805</v>
      </c>
      <c r="J1169" s="38" t="n">
        <v>0</v>
      </c>
      <c r="K1169" s="38" t="n">
        <v>3038805</v>
      </c>
      <c r="L1169" s="40" t="inlineStr">
        <is>
          <t>Borç</t>
        </is>
      </c>
    </row>
    <row r="1170" s="34">
      <c r="A1170" s="40" t="inlineStr">
        <is>
          <t>320.01.01.C050</t>
        </is>
      </c>
      <c r="B1170" s="40" t="inlineStr">
        <is>
          <t>Ck Akdeniz ElekTRik Perakende Satış A.Ş.</t>
        </is>
      </c>
      <c r="C1170" s="40" t="inlineStr">
        <is>
          <t>TRY</t>
        </is>
      </c>
      <c r="D1170" s="40" t="inlineStr">
        <is>
          <t>SERTAŞ MERKEZ</t>
        </is>
      </c>
      <c r="E1170" s="38" t="n">
        <v>10507055</v>
      </c>
      <c r="F1170" s="38" t="n">
        <v>3.65</v>
      </c>
      <c r="G1170" s="38" t="n">
        <v>10507051.35</v>
      </c>
      <c r="H1170" s="40" t="inlineStr">
        <is>
          <t>Borç</t>
        </is>
      </c>
      <c r="I1170" s="38" t="n">
        <v>10507055</v>
      </c>
      <c r="J1170" s="38" t="n">
        <v>3.65</v>
      </c>
      <c r="K1170" s="38" t="n">
        <v>10507051.35</v>
      </c>
      <c r="L1170" s="40" t="inlineStr">
        <is>
          <t>Borç</t>
        </is>
      </c>
    </row>
    <row r="1171" s="34">
      <c r="A1171" s="40" t="inlineStr">
        <is>
          <t>320.01.01.C054</t>
        </is>
      </c>
      <c r="B1171" s="40" t="inlineStr">
        <is>
          <t>Coca Cola Satıs Ve Dagıtım A.Ş.</t>
        </is>
      </c>
      <c r="C1171" s="40" t="inlineStr">
        <is>
          <t>TRY</t>
        </is>
      </c>
      <c r="D1171" s="40" t="inlineStr">
        <is>
          <t>ROYAL ADAM EVE</t>
        </is>
      </c>
      <c r="E1171" s="38" t="n">
        <v>1524731.02</v>
      </c>
      <c r="F1171" s="38" t="n">
        <v>75004.49000000001</v>
      </c>
      <c r="G1171" s="38" t="n">
        <v>1449726.53</v>
      </c>
      <c r="H1171" s="40" t="inlineStr">
        <is>
          <t>Borç</t>
        </is>
      </c>
      <c r="I1171" s="38" t="n">
        <v>1524731.02</v>
      </c>
      <c r="J1171" s="38" t="n">
        <v>75004.49000000001</v>
      </c>
      <c r="K1171" s="38" t="n">
        <v>1449726.53</v>
      </c>
      <c r="L1171" s="40" t="inlineStr">
        <is>
          <t>Borç</t>
        </is>
      </c>
    </row>
    <row r="1172" s="34">
      <c r="A1172" s="40" t="inlineStr">
        <is>
          <t>320.01.01.C054</t>
        </is>
      </c>
      <c r="B1172" s="40" t="inlineStr">
        <is>
          <t>Coca Cola Satıs Ve Dagıtım A.Ş.</t>
        </is>
      </c>
      <c r="C1172" s="40" t="inlineStr">
        <is>
          <t>TRY</t>
        </is>
      </c>
      <c r="D1172" s="40" t="inlineStr">
        <is>
          <t>ROYAL HOLIDAY</t>
        </is>
      </c>
      <c r="E1172" s="38" t="n">
        <v>425000</v>
      </c>
      <c r="F1172" s="38" t="n">
        <v>1094305.98</v>
      </c>
      <c r="G1172" s="38" t="n">
        <v>-669305.98</v>
      </c>
      <c r="H1172" s="40" t="inlineStr">
        <is>
          <t>Alacak</t>
        </is>
      </c>
      <c r="I1172" s="38" t="n">
        <v>425000</v>
      </c>
      <c r="J1172" s="38" t="n">
        <v>1094305.98</v>
      </c>
      <c r="K1172" s="38" t="n">
        <v>-669305.98</v>
      </c>
      <c r="L1172" s="40" t="inlineStr">
        <is>
          <t>Alacak</t>
        </is>
      </c>
    </row>
    <row r="1173" s="34">
      <c r="A1173" s="40" t="inlineStr">
        <is>
          <t>320.01.01.C054</t>
        </is>
      </c>
      <c r="B1173" s="40" t="inlineStr">
        <is>
          <t>Coca Cola Satıs Ve Dagıtım A.Ş.</t>
        </is>
      </c>
      <c r="C1173" s="40" t="inlineStr">
        <is>
          <t>TRY</t>
        </is>
      </c>
      <c r="D1173" s="40" t="inlineStr">
        <is>
          <t>ROYAL SEGINUS</t>
        </is>
      </c>
      <c r="E1173" s="38" t="n">
        <v>0</v>
      </c>
      <c r="F1173" s="38" t="n">
        <v>141461.02</v>
      </c>
      <c r="G1173" s="38" t="n">
        <v>-141461.02</v>
      </c>
      <c r="H1173" s="40" t="inlineStr">
        <is>
          <t>Alacak</t>
        </is>
      </c>
      <c r="I1173" s="38" t="n">
        <v>0</v>
      </c>
      <c r="J1173" s="38" t="n">
        <v>141461.02</v>
      </c>
      <c r="K1173" s="38" t="n">
        <v>-141461.02</v>
      </c>
      <c r="L1173" s="40" t="inlineStr">
        <is>
          <t>Alacak</t>
        </is>
      </c>
    </row>
    <row r="1174" s="34">
      <c r="A1174" s="40" t="inlineStr">
        <is>
          <t>320.01.01.C054</t>
        </is>
      </c>
      <c r="B1174" s="40" t="inlineStr">
        <is>
          <t>Coca Cola Satıs Ve Dagıtım A.Ş.</t>
        </is>
      </c>
      <c r="C1174" s="40" t="inlineStr">
        <is>
          <t>TRY</t>
        </is>
      </c>
      <c r="D1174" s="40" t="inlineStr">
        <is>
          <t>SERTAŞ MERKEZ</t>
        </is>
      </c>
      <c r="E1174" s="38" t="n">
        <v>2601645.03</v>
      </c>
      <c r="F1174" s="38" t="n">
        <v>0</v>
      </c>
      <c r="G1174" s="38" t="n">
        <v>2601645.03</v>
      </c>
      <c r="H1174" s="40" t="inlineStr">
        <is>
          <t>Borç</t>
        </is>
      </c>
      <c r="I1174" s="38" t="n">
        <v>2601645.03</v>
      </c>
      <c r="J1174" s="38" t="n">
        <v>0</v>
      </c>
      <c r="K1174" s="38" t="n">
        <v>2601645.03</v>
      </c>
      <c r="L1174" s="40" t="inlineStr">
        <is>
          <t>Borç</t>
        </is>
      </c>
    </row>
    <row r="1175" s="34">
      <c r="A1175" s="40" t="inlineStr">
        <is>
          <t>320.01.01.C071</t>
        </is>
      </c>
      <c r="B1175" s="40" t="inlineStr">
        <is>
          <t>Cem Akay</t>
        </is>
      </c>
      <c r="C1175" s="40" t="inlineStr">
        <is>
          <t>TRY</t>
        </is>
      </c>
      <c r="D1175" s="40" t="inlineStr">
        <is>
          <t>GİTAŞ MERKEZ</t>
        </is>
      </c>
      <c r="E1175" s="38" t="n">
        <v>63601.2</v>
      </c>
      <c r="F1175" s="38" t="n">
        <v>0</v>
      </c>
      <c r="G1175" s="38" t="n">
        <v>63601.2</v>
      </c>
      <c r="H1175" s="40" t="inlineStr">
        <is>
          <t>Borç</t>
        </is>
      </c>
      <c r="I1175" s="38" t="n">
        <v>63601.2</v>
      </c>
      <c r="J1175" s="38" t="n">
        <v>0</v>
      </c>
      <c r="K1175" s="38" t="n">
        <v>63601.2</v>
      </c>
      <c r="L1175" s="40" t="inlineStr">
        <is>
          <t>Borç</t>
        </is>
      </c>
    </row>
    <row r="1176" s="34">
      <c r="A1176" s="40" t="inlineStr">
        <is>
          <t>320.01.01.C072</t>
        </is>
      </c>
      <c r="B1176" s="40" t="inlineStr">
        <is>
          <t>Ceren Cabukoglu</t>
        </is>
      </c>
      <c r="C1176" s="40" t="inlineStr">
        <is>
          <t>TRY</t>
        </is>
      </c>
      <c r="D1176" s="40" t="inlineStr">
        <is>
          <t>SERTAŞ MERKEZ</t>
        </is>
      </c>
      <c r="E1176" s="38" t="n">
        <v>166490</v>
      </c>
      <c r="F1176" s="38" t="n">
        <v>166490</v>
      </c>
      <c r="G1176" s="38" t="n">
        <v>0</v>
      </c>
      <c r="I1176" s="38" t="n">
        <v>166490</v>
      </c>
      <c r="J1176" s="38" t="n">
        <v>166490</v>
      </c>
      <c r="K1176" s="38" t="n">
        <v>0</v>
      </c>
    </row>
    <row r="1177" s="34">
      <c r="A1177" s="40" t="inlineStr">
        <is>
          <t>320.01.01.C075</t>
        </is>
      </c>
      <c r="B1177" s="40" t="inlineStr">
        <is>
          <t>Cengiz Birsoy</t>
        </is>
      </c>
      <c r="C1177" s="40" t="inlineStr">
        <is>
          <t>TRY</t>
        </is>
      </c>
      <c r="D1177" s="40" t="inlineStr">
        <is>
          <t>GİTAŞ MERKEZ</t>
        </is>
      </c>
      <c r="E1177" s="38" t="n">
        <v>45897.75</v>
      </c>
      <c r="F1177" s="38" t="n">
        <v>0</v>
      </c>
      <c r="G1177" s="38" t="n">
        <v>45897.75</v>
      </c>
      <c r="H1177" s="40" t="inlineStr">
        <is>
          <t>Borç</t>
        </is>
      </c>
      <c r="I1177" s="38" t="n">
        <v>864</v>
      </c>
      <c r="J1177" s="38" t="n">
        <v>0</v>
      </c>
      <c r="K1177" s="38" t="n">
        <v>864</v>
      </c>
      <c r="L1177" s="40" t="inlineStr">
        <is>
          <t>Borç</t>
        </is>
      </c>
    </row>
    <row r="1178" s="34">
      <c r="A1178" s="40" t="inlineStr">
        <is>
          <t>320.01.01.C075</t>
        </is>
      </c>
      <c r="B1178" s="40" t="inlineStr">
        <is>
          <t>Cengiz Birsoy</t>
        </is>
      </c>
      <c r="C1178" s="40" t="inlineStr">
        <is>
          <t>TRY</t>
        </is>
      </c>
      <c r="D1178" s="40" t="inlineStr">
        <is>
          <t>SERTAŞ MERKEZ</t>
        </is>
      </c>
      <c r="E1178" s="38" t="n">
        <v>40252.88</v>
      </c>
      <c r="F1178" s="38" t="n">
        <v>464.6</v>
      </c>
      <c r="G1178" s="38" t="n">
        <v>39788.28</v>
      </c>
      <c r="H1178" s="40" t="inlineStr">
        <is>
          <t>Borç</t>
        </is>
      </c>
      <c r="I1178" s="38" t="n">
        <v>753.74</v>
      </c>
      <c r="J1178" s="38" t="n">
        <v>0</v>
      </c>
      <c r="K1178" s="38" t="n">
        <v>753.74</v>
      </c>
      <c r="L1178" s="40" t="inlineStr">
        <is>
          <t>Borç</t>
        </is>
      </c>
    </row>
    <row r="1179" s="34">
      <c r="A1179" s="40" t="inlineStr">
        <is>
          <t>320.01.01.C076</t>
        </is>
      </c>
      <c r="B1179" s="40" t="inlineStr">
        <is>
          <t>Cosmos Akademi Eğitim Dan. San. Ve Tic A.S.</t>
        </is>
      </c>
      <c r="C1179" s="40" t="inlineStr">
        <is>
          <t>TRY</t>
        </is>
      </c>
      <c r="D1179" s="40" t="inlineStr">
        <is>
          <t>GİTAŞ MERKEZ</t>
        </is>
      </c>
      <c r="E1179" s="38" t="n">
        <v>54000</v>
      </c>
      <c r="F1179" s="38" t="n">
        <v>0</v>
      </c>
      <c r="G1179" s="38" t="n">
        <v>54000</v>
      </c>
      <c r="H1179" s="40" t="inlineStr">
        <is>
          <t>Borç</t>
        </is>
      </c>
      <c r="I1179" s="38" t="n">
        <v>54000</v>
      </c>
      <c r="J1179" s="38" t="n">
        <v>0</v>
      </c>
      <c r="K1179" s="38" t="n">
        <v>54000</v>
      </c>
      <c r="L1179" s="40" t="inlineStr">
        <is>
          <t>Borç</t>
        </is>
      </c>
    </row>
    <row r="1180" s="34">
      <c r="A1180" s="40" t="inlineStr">
        <is>
          <t>320.01.01.C077</t>
        </is>
      </c>
      <c r="B1180" s="40" t="inlineStr">
        <is>
          <t>Can Oğuzhan Yıldırım</t>
        </is>
      </c>
      <c r="C1180" s="40" t="inlineStr">
        <is>
          <t>TRY</t>
        </is>
      </c>
      <c r="D1180" s="40" t="inlineStr">
        <is>
          <t>SERTAŞ MERKEZ</t>
        </is>
      </c>
      <c r="E1180" s="38" t="n">
        <v>119880</v>
      </c>
      <c r="F1180" s="38" t="n">
        <v>0</v>
      </c>
      <c r="G1180" s="38" t="n">
        <v>119880</v>
      </c>
      <c r="H1180" s="40" t="inlineStr">
        <is>
          <t>Borç</t>
        </is>
      </c>
      <c r="I1180" s="38" t="n">
        <v>119880</v>
      </c>
      <c r="J1180" s="38" t="n">
        <v>0</v>
      </c>
      <c r="K1180" s="38" t="n">
        <v>119880</v>
      </c>
      <c r="L1180" s="40" t="inlineStr">
        <is>
          <t>Borç</t>
        </is>
      </c>
    </row>
    <row r="1181" s="34">
      <c r="A1181" s="40" t="inlineStr">
        <is>
          <t>320.01.01.D002</t>
        </is>
      </c>
      <c r="B1181" s="40" t="inlineStr">
        <is>
          <t>D2 Gıda Paz.Turz.Tic.Ve San.A.Ş.</t>
        </is>
      </c>
      <c r="C1181" s="40" t="inlineStr">
        <is>
          <t>TRY</t>
        </is>
      </c>
      <c r="D1181" s="40" t="inlineStr">
        <is>
          <t>GİTAŞ MERKEZ</t>
        </is>
      </c>
      <c r="E1181" s="38" t="n">
        <v>35220.73</v>
      </c>
      <c r="F1181" s="38" t="n">
        <v>0</v>
      </c>
      <c r="G1181" s="38" t="n">
        <v>35220.73</v>
      </c>
      <c r="H1181" s="40" t="inlineStr">
        <is>
          <t>Borç</t>
        </is>
      </c>
      <c r="I1181" s="38" t="n">
        <v>0</v>
      </c>
      <c r="J1181" s="38" t="n">
        <v>0</v>
      </c>
      <c r="K1181" s="38" t="n">
        <v>0</v>
      </c>
    </row>
    <row r="1182" s="34">
      <c r="A1182" s="40" t="inlineStr">
        <is>
          <t>320.01.01.D002</t>
        </is>
      </c>
      <c r="B1182" s="40" t="inlineStr">
        <is>
          <t>D2 Gıda Paz.Turz.Tic.Ve San.A.Ş.</t>
        </is>
      </c>
      <c r="C1182" s="40" t="inlineStr">
        <is>
          <t>TRY</t>
        </is>
      </c>
      <c r="D1182" s="40" t="inlineStr">
        <is>
          <t>ROYAL ADAM EVE</t>
        </is>
      </c>
      <c r="E1182" s="38" t="n">
        <v>33087.2</v>
      </c>
      <c r="F1182" s="38" t="n">
        <v>0</v>
      </c>
      <c r="G1182" s="38" t="n">
        <v>33087.2</v>
      </c>
      <c r="H1182" s="40" t="inlineStr">
        <is>
          <t>Borç</t>
        </is>
      </c>
      <c r="I1182" s="38" t="n">
        <v>33087.2</v>
      </c>
      <c r="J1182" s="38" t="n">
        <v>0</v>
      </c>
      <c r="K1182" s="38" t="n">
        <v>33087.2</v>
      </c>
      <c r="L1182" s="40" t="inlineStr">
        <is>
          <t>Borç</t>
        </is>
      </c>
    </row>
    <row r="1183" s="34">
      <c r="A1183" s="40" t="inlineStr">
        <is>
          <t>320.01.01.D002</t>
        </is>
      </c>
      <c r="B1183" s="40" t="inlineStr">
        <is>
          <t>D2 Gıda Paz.Turz.Tic.Ve San.A.Ş.</t>
        </is>
      </c>
      <c r="C1183" s="40" t="inlineStr">
        <is>
          <t>TRY</t>
        </is>
      </c>
      <c r="D1183" s="40" t="inlineStr">
        <is>
          <t>ROYAL ALHAMBRA</t>
        </is>
      </c>
      <c r="E1183" s="38" t="n">
        <v>0</v>
      </c>
      <c r="F1183" s="38" t="n">
        <v>5909.41</v>
      </c>
      <c r="G1183" s="38" t="n">
        <v>-5909.41</v>
      </c>
      <c r="H1183" s="40" t="inlineStr">
        <is>
          <t>Alacak</t>
        </is>
      </c>
      <c r="I1183" s="38" t="n">
        <v>0</v>
      </c>
      <c r="J1183" s="38" t="n">
        <v>5909.41</v>
      </c>
      <c r="K1183" s="38" t="n">
        <v>-5909.41</v>
      </c>
      <c r="L1183" s="40" t="inlineStr">
        <is>
          <t>Alacak</t>
        </is>
      </c>
    </row>
    <row r="1184" s="34">
      <c r="A1184" s="40" t="inlineStr">
        <is>
          <t>320.01.01.D002</t>
        </is>
      </c>
      <c r="B1184" s="40" t="inlineStr">
        <is>
          <t>D2 Gıda Paz.Turz.Tic.Ve San.A.Ş.</t>
        </is>
      </c>
      <c r="C1184" s="40" t="inlineStr">
        <is>
          <t>TRY</t>
        </is>
      </c>
      <c r="D1184" s="40" t="inlineStr">
        <is>
          <t>ROYAL HOLIDAY</t>
        </is>
      </c>
      <c r="E1184" s="38" t="n">
        <v>0</v>
      </c>
      <c r="F1184" s="38" t="n">
        <v>6446.63</v>
      </c>
      <c r="G1184" s="38" t="n">
        <v>-6446.63</v>
      </c>
      <c r="H1184" s="40" t="inlineStr">
        <is>
          <t>Alacak</t>
        </is>
      </c>
      <c r="I1184" s="38" t="n">
        <v>0</v>
      </c>
      <c r="J1184" s="38" t="n">
        <v>6446.63</v>
      </c>
      <c r="K1184" s="38" t="n">
        <v>-6446.63</v>
      </c>
      <c r="L1184" s="40" t="inlineStr">
        <is>
          <t>Alacak</t>
        </is>
      </c>
    </row>
    <row r="1185" s="34">
      <c r="A1185" s="40" t="inlineStr">
        <is>
          <t>320.01.01.D002</t>
        </is>
      </c>
      <c r="B1185" s="40" t="inlineStr">
        <is>
          <t>D2 Gıda Paz.Turz.Tic.Ve San.A.Ş.</t>
        </is>
      </c>
      <c r="C1185" s="40" t="inlineStr">
        <is>
          <t>TRY</t>
        </is>
      </c>
      <c r="D1185" s="40" t="inlineStr">
        <is>
          <t>SERTAŞ MERKEZ</t>
        </is>
      </c>
      <c r="E1185" s="38" t="n">
        <v>52098.22</v>
      </c>
      <c r="F1185" s="38" t="n">
        <v>0</v>
      </c>
      <c r="G1185" s="38" t="n">
        <v>52098.22</v>
      </c>
      <c r="H1185" s="40" t="inlineStr">
        <is>
          <t>Borç</t>
        </is>
      </c>
      <c r="I1185" s="38" t="n">
        <v>52098.22</v>
      </c>
      <c r="J1185" s="38" t="n">
        <v>0</v>
      </c>
      <c r="K1185" s="38" t="n">
        <v>52098.22</v>
      </c>
      <c r="L1185" s="40" t="inlineStr">
        <is>
          <t>Borç</t>
        </is>
      </c>
    </row>
    <row r="1186" s="34">
      <c r="A1186" s="40" t="inlineStr">
        <is>
          <t>320.01.01.D003</t>
        </is>
      </c>
      <c r="B1186" s="40" t="inlineStr">
        <is>
          <t>Doğa Edt Gıda Turizm Sanayi VE Ticaret Limited Şirketi</t>
        </is>
      </c>
      <c r="C1186" s="40" t="inlineStr">
        <is>
          <t>TRY</t>
        </is>
      </c>
      <c r="D1186" s="40" t="inlineStr">
        <is>
          <t>GİTAŞ MERKEZ</t>
        </is>
      </c>
      <c r="E1186" s="38" t="n">
        <v>203933.14</v>
      </c>
      <c r="F1186" s="38" t="n">
        <v>0</v>
      </c>
      <c r="G1186" s="38" t="n">
        <v>203933.14</v>
      </c>
      <c r="H1186" s="40" t="inlineStr">
        <is>
          <t>Borç</t>
        </is>
      </c>
      <c r="I1186" s="38" t="n">
        <v>0</v>
      </c>
      <c r="J1186" s="38" t="n">
        <v>0</v>
      </c>
      <c r="K1186" s="38" t="n">
        <v>0</v>
      </c>
    </row>
    <row r="1187" s="34">
      <c r="A1187" s="40" t="inlineStr">
        <is>
          <t>320.01.01.D003</t>
        </is>
      </c>
      <c r="B1187" s="40" t="inlineStr">
        <is>
          <t>Doğa Edt Gıda Turizm Sanayi VE Ticaret Limited Şirketi</t>
        </is>
      </c>
      <c r="C1187" s="40" t="inlineStr">
        <is>
          <t>TRY</t>
        </is>
      </c>
      <c r="D1187" s="40" t="inlineStr">
        <is>
          <t>ROYAL ADAM EVE</t>
        </is>
      </c>
      <c r="E1187" s="38" t="n">
        <v>125088.5</v>
      </c>
      <c r="F1187" s="38" t="n">
        <v>0</v>
      </c>
      <c r="G1187" s="38" t="n">
        <v>125088.5</v>
      </c>
      <c r="H1187" s="40" t="inlineStr">
        <is>
          <t>Borç</t>
        </is>
      </c>
      <c r="I1187" s="38" t="n">
        <v>125088.5</v>
      </c>
      <c r="J1187" s="38" t="n">
        <v>0</v>
      </c>
      <c r="K1187" s="38" t="n">
        <v>125088.5</v>
      </c>
      <c r="L1187" s="40" t="inlineStr">
        <is>
          <t>Borç</t>
        </is>
      </c>
    </row>
    <row r="1188" s="34">
      <c r="A1188" s="40" t="inlineStr">
        <is>
          <t>320.01.01.D003</t>
        </is>
      </c>
      <c r="B1188" s="40" t="inlineStr">
        <is>
          <t>Doğa Edt Gıda Turizm Sanayi VE Ticaret Limited Şirketi</t>
        </is>
      </c>
      <c r="C1188" s="40" t="inlineStr">
        <is>
          <t>TRY</t>
        </is>
      </c>
      <c r="D1188" s="40" t="inlineStr">
        <is>
          <t>ROYAL ALHAMBRA</t>
        </is>
      </c>
      <c r="E1188" s="38" t="n">
        <v>0</v>
      </c>
      <c r="F1188" s="38" t="n">
        <v>32926</v>
      </c>
      <c r="G1188" s="38" t="n">
        <v>-32926</v>
      </c>
      <c r="H1188" s="40" t="inlineStr">
        <is>
          <t>Alacak</t>
        </is>
      </c>
      <c r="I1188" s="38" t="n">
        <v>0</v>
      </c>
      <c r="J1188" s="38" t="n">
        <v>32926</v>
      </c>
      <c r="K1188" s="38" t="n">
        <v>-32926</v>
      </c>
      <c r="L1188" s="40" t="inlineStr">
        <is>
          <t>Alacak</t>
        </is>
      </c>
    </row>
    <row r="1189" s="34">
      <c r="A1189" s="40" t="inlineStr">
        <is>
          <t>320.01.01.D003</t>
        </is>
      </c>
      <c r="B1189" s="40" t="inlineStr">
        <is>
          <t>Doğa Edt Gıda Turizm Sanayi VE Ticaret Limited Şirketi</t>
        </is>
      </c>
      <c r="C1189" s="40" t="inlineStr">
        <is>
          <t>TRY</t>
        </is>
      </c>
      <c r="D1189" s="40" t="inlineStr">
        <is>
          <t>ROYAL DRAGON</t>
        </is>
      </c>
      <c r="E1189" s="38" t="n">
        <v>0</v>
      </c>
      <c r="F1189" s="38" t="n">
        <v>39137.5</v>
      </c>
      <c r="G1189" s="38" t="n">
        <v>-39137.5</v>
      </c>
      <c r="H1189" s="40" t="inlineStr">
        <is>
          <t>Alacak</t>
        </is>
      </c>
      <c r="I1189" s="38" t="n">
        <v>0</v>
      </c>
      <c r="J1189" s="38" t="n">
        <v>39137.5</v>
      </c>
      <c r="K1189" s="38" t="n">
        <v>-39137.5</v>
      </c>
      <c r="L1189" s="40" t="inlineStr">
        <is>
          <t>Alacak</t>
        </is>
      </c>
    </row>
    <row r="1190" s="34">
      <c r="A1190" s="40" t="inlineStr">
        <is>
          <t>320.01.01.D003</t>
        </is>
      </c>
      <c r="B1190" s="40" t="inlineStr">
        <is>
          <t>Doğa Edt Gıda Turizm Sanayi VE Ticaret Limited Şirketi</t>
        </is>
      </c>
      <c r="C1190" s="40" t="inlineStr">
        <is>
          <t>TRY</t>
        </is>
      </c>
      <c r="D1190" s="40" t="inlineStr">
        <is>
          <t>ROYAL HOLIDAY</t>
        </is>
      </c>
      <c r="E1190" s="38" t="n">
        <v>0</v>
      </c>
      <c r="F1190" s="38" t="n">
        <v>144935</v>
      </c>
      <c r="G1190" s="38" t="n">
        <v>-144935</v>
      </c>
      <c r="H1190" s="40" t="inlineStr">
        <is>
          <t>Alacak</t>
        </is>
      </c>
      <c r="I1190" s="38" t="n">
        <v>0</v>
      </c>
      <c r="J1190" s="38" t="n">
        <v>144935</v>
      </c>
      <c r="K1190" s="38" t="n">
        <v>-144935</v>
      </c>
      <c r="L1190" s="40" t="inlineStr">
        <is>
          <t>Alacak</t>
        </is>
      </c>
    </row>
    <row r="1191" s="34">
      <c r="A1191" s="40" t="inlineStr">
        <is>
          <t>320.01.01.D003</t>
        </is>
      </c>
      <c r="B1191" s="40" t="inlineStr">
        <is>
          <t>Doğa Edt Gıda Turizm Sanayi VE Ticaret Limited Şirketi</t>
        </is>
      </c>
      <c r="C1191" s="40" t="inlineStr">
        <is>
          <t>TRY</t>
        </is>
      </c>
      <c r="D1191" s="40" t="inlineStr">
        <is>
          <t>SERTAŞ MERKEZ</t>
        </is>
      </c>
      <c r="E1191" s="38" t="n">
        <v>408327.85</v>
      </c>
      <c r="F1191" s="38" t="n">
        <v>0</v>
      </c>
      <c r="G1191" s="38" t="n">
        <v>408327.85</v>
      </c>
      <c r="H1191" s="40" t="inlineStr">
        <is>
          <t>Borç</t>
        </is>
      </c>
      <c r="I1191" s="38" t="n">
        <v>408327.85</v>
      </c>
      <c r="J1191" s="38" t="n">
        <v>0</v>
      </c>
      <c r="K1191" s="38" t="n">
        <v>408327.85</v>
      </c>
      <c r="L1191" s="40" t="inlineStr">
        <is>
          <t>Borç</t>
        </is>
      </c>
    </row>
    <row r="1192" s="34">
      <c r="A1192" s="40" t="inlineStr">
        <is>
          <t>320.01.01.D004</t>
        </is>
      </c>
      <c r="B1192" s="40" t="inlineStr">
        <is>
          <t xml:space="preserve">Deniz Uzel - Uzeller Mobilya Boya Uygulama  </t>
        </is>
      </c>
      <c r="C1192" s="40" t="inlineStr">
        <is>
          <t>TRY</t>
        </is>
      </c>
      <c r="D1192" s="40" t="inlineStr">
        <is>
          <t>SERTAŞ MERKEZ</t>
        </is>
      </c>
      <c r="E1192" s="38" t="n">
        <v>5059332.43</v>
      </c>
      <c r="F1192" s="38" t="n">
        <v>18927.57</v>
      </c>
      <c r="G1192" s="38" t="n">
        <v>5040404.86</v>
      </c>
      <c r="H1192" s="40" t="inlineStr">
        <is>
          <t>Borç</t>
        </is>
      </c>
      <c r="I1192" s="38" t="n">
        <v>5059332.43</v>
      </c>
      <c r="J1192" s="38" t="n">
        <v>18927.57</v>
      </c>
      <c r="K1192" s="38" t="n">
        <v>5040404.86</v>
      </c>
      <c r="L1192" s="40" t="inlineStr">
        <is>
          <t>Borç</t>
        </is>
      </c>
    </row>
    <row r="1193" s="34">
      <c r="A1193" s="40" t="inlineStr">
        <is>
          <t>320.01.01.D008</t>
        </is>
      </c>
      <c r="B1193" s="40" t="inlineStr">
        <is>
          <t>Deva Icecek Gıda San.Ve.Tıc.Aş.</t>
        </is>
      </c>
      <c r="C1193" s="40" t="inlineStr">
        <is>
          <t>TRY</t>
        </is>
      </c>
      <c r="D1193" s="40" t="inlineStr">
        <is>
          <t>GİTAŞ MERKEZ</t>
        </is>
      </c>
      <c r="E1193" s="38" t="n">
        <v>621337.99</v>
      </c>
      <c r="F1193" s="38" t="n">
        <v>0</v>
      </c>
      <c r="G1193" s="38" t="n">
        <v>621337.99</v>
      </c>
      <c r="H1193" s="40" t="inlineStr">
        <is>
          <t>Borç</t>
        </is>
      </c>
      <c r="I1193" s="38" t="n">
        <v>621337.99</v>
      </c>
      <c r="J1193" s="38" t="n">
        <v>0</v>
      </c>
      <c r="K1193" s="38" t="n">
        <v>621337.99</v>
      </c>
      <c r="L1193" s="40" t="inlineStr">
        <is>
          <t>Borç</t>
        </is>
      </c>
    </row>
    <row r="1194" s="34">
      <c r="A1194" s="40" t="inlineStr">
        <is>
          <t>320.01.01.D008</t>
        </is>
      </c>
      <c r="B1194" s="40" t="inlineStr">
        <is>
          <t>Deva Icecek Gıda San.Ve.Tıc.Aş.</t>
        </is>
      </c>
      <c r="C1194" s="40" t="inlineStr">
        <is>
          <t>TRY</t>
        </is>
      </c>
      <c r="D1194" s="40" t="inlineStr">
        <is>
          <t>ROYAL ADAM EVE</t>
        </is>
      </c>
      <c r="E1194" s="38" t="n">
        <v>734400</v>
      </c>
      <c r="F1194" s="38" t="n">
        <v>0</v>
      </c>
      <c r="G1194" s="38" t="n">
        <v>734400</v>
      </c>
      <c r="H1194" s="40" t="inlineStr">
        <is>
          <t>Borç</t>
        </is>
      </c>
      <c r="I1194" s="38" t="n">
        <v>734400</v>
      </c>
      <c r="J1194" s="38" t="n">
        <v>0</v>
      </c>
      <c r="K1194" s="38" t="n">
        <v>734400</v>
      </c>
      <c r="L1194" s="40" t="inlineStr">
        <is>
          <t>Borç</t>
        </is>
      </c>
    </row>
    <row r="1195" s="34">
      <c r="A1195" s="40" t="inlineStr">
        <is>
          <t>320.01.01.D008</t>
        </is>
      </c>
      <c r="B1195" s="40" t="inlineStr">
        <is>
          <t>Deva Icecek Gıda San.Ve.Tıc.Aş.</t>
        </is>
      </c>
      <c r="C1195" s="40" t="inlineStr">
        <is>
          <t>TRY</t>
        </is>
      </c>
      <c r="D1195" s="40" t="inlineStr">
        <is>
          <t>ROYAL DRAGON</t>
        </is>
      </c>
      <c r="E1195" s="38" t="n">
        <v>92340.41</v>
      </c>
      <c r="F1195" s="38" t="n">
        <v>0</v>
      </c>
      <c r="G1195" s="38" t="n">
        <v>92340.41</v>
      </c>
      <c r="H1195" s="40" t="inlineStr">
        <is>
          <t>Borç</t>
        </is>
      </c>
      <c r="I1195" s="38" t="n">
        <v>92340.41</v>
      </c>
      <c r="J1195" s="38" t="n">
        <v>0</v>
      </c>
      <c r="K1195" s="38" t="n">
        <v>92340.41</v>
      </c>
      <c r="L1195" s="40" t="inlineStr">
        <is>
          <t>Borç</t>
        </is>
      </c>
    </row>
    <row r="1196" s="34">
      <c r="A1196" s="40" t="inlineStr">
        <is>
          <t>320.01.01.D012</t>
        </is>
      </c>
      <c r="B1196" s="40" t="inlineStr">
        <is>
          <t>Derya Nur Temelat</t>
        </is>
      </c>
      <c r="C1196" s="40" t="inlineStr">
        <is>
          <t>TRY</t>
        </is>
      </c>
      <c r="D1196" s="40" t="inlineStr">
        <is>
          <t>GİTAŞ MERKEZ</t>
        </is>
      </c>
      <c r="E1196" s="38" t="n">
        <v>350890.5</v>
      </c>
      <c r="F1196" s="38" t="n">
        <v>0</v>
      </c>
      <c r="G1196" s="38" t="n">
        <v>350890.5</v>
      </c>
      <c r="H1196" s="40" t="inlineStr">
        <is>
          <t>Borç</t>
        </is>
      </c>
      <c r="I1196" s="38" t="n">
        <v>350890.5</v>
      </c>
      <c r="J1196" s="38" t="n">
        <v>0</v>
      </c>
      <c r="K1196" s="38" t="n">
        <v>350890.5</v>
      </c>
      <c r="L1196" s="40" t="inlineStr">
        <is>
          <t>Borç</t>
        </is>
      </c>
    </row>
    <row r="1197" s="34">
      <c r="A1197" s="40" t="inlineStr">
        <is>
          <t>320.01.01.D014</t>
        </is>
      </c>
      <c r="B1197" s="40" t="inlineStr">
        <is>
          <t>Debu ElekTRik Sanayi Ve Ticaret Ltd.Şti.</t>
        </is>
      </c>
      <c r="C1197" s="40" t="inlineStr">
        <is>
          <t>TRY</t>
        </is>
      </c>
      <c r="D1197" s="40" t="inlineStr">
        <is>
          <t>ROYAL HOLIDAY</t>
        </is>
      </c>
      <c r="E1197" s="38" t="n">
        <v>0</v>
      </c>
      <c r="F1197" s="38" t="n">
        <v>26933.88</v>
      </c>
      <c r="G1197" s="38" t="n">
        <v>-26933.88</v>
      </c>
      <c r="H1197" s="40" t="inlineStr">
        <is>
          <t>Alacak</t>
        </is>
      </c>
      <c r="I1197" s="38" t="n">
        <v>0</v>
      </c>
      <c r="J1197" s="38" t="n">
        <v>26933.88</v>
      </c>
      <c r="K1197" s="38" t="n">
        <v>-26933.88</v>
      </c>
      <c r="L1197" s="40" t="inlineStr">
        <is>
          <t>Alacak</t>
        </is>
      </c>
    </row>
    <row r="1198" s="34">
      <c r="A1198" s="40" t="inlineStr">
        <is>
          <t>320.01.01.D014</t>
        </is>
      </c>
      <c r="B1198" s="40" t="inlineStr">
        <is>
          <t>Debu ElekTRik Sanayi Ve Ticaret Ltd.Şti.</t>
        </is>
      </c>
      <c r="C1198" s="40" t="inlineStr">
        <is>
          <t>TRY</t>
        </is>
      </c>
      <c r="D1198" s="40" t="inlineStr">
        <is>
          <t>ROYAL SEGINUS</t>
        </is>
      </c>
      <c r="E1198" s="38" t="n">
        <v>0</v>
      </c>
      <c r="F1198" s="38" t="n">
        <v>6877.68</v>
      </c>
      <c r="G1198" s="38" t="n">
        <v>-6877.68</v>
      </c>
      <c r="H1198" s="40" t="inlineStr">
        <is>
          <t>Alacak</t>
        </is>
      </c>
      <c r="I1198" s="38" t="n">
        <v>0</v>
      </c>
      <c r="J1198" s="38" t="n">
        <v>6877.68</v>
      </c>
      <c r="K1198" s="38" t="n">
        <v>-6877.68</v>
      </c>
      <c r="L1198" s="40" t="inlineStr">
        <is>
          <t>Alacak</t>
        </is>
      </c>
    </row>
    <row r="1199" s="34">
      <c r="A1199" s="40" t="inlineStr">
        <is>
          <t>320.01.01.D014</t>
        </is>
      </c>
      <c r="B1199" s="40" t="inlineStr">
        <is>
          <t>Debu ElekTRik Sanayi Ve Ticaret Ltd.Şti.</t>
        </is>
      </c>
      <c r="C1199" s="40" t="inlineStr">
        <is>
          <t>TRY</t>
        </is>
      </c>
      <c r="D1199" s="40" t="inlineStr">
        <is>
          <t>SERTAŞ MERKEZ</t>
        </is>
      </c>
      <c r="E1199" s="38" t="n">
        <v>61356.57</v>
      </c>
      <c r="F1199" s="38" t="n">
        <v>0</v>
      </c>
      <c r="G1199" s="38" t="n">
        <v>61356.57</v>
      </c>
      <c r="H1199" s="40" t="inlineStr">
        <is>
          <t>Borç</t>
        </is>
      </c>
      <c r="I1199" s="38" t="n">
        <v>61356.57</v>
      </c>
      <c r="J1199" s="38" t="n">
        <v>0</v>
      </c>
      <c r="K1199" s="38" t="n">
        <v>61356.57</v>
      </c>
      <c r="L1199" s="40" t="inlineStr">
        <is>
          <t>Borç</t>
        </is>
      </c>
    </row>
    <row r="1200" s="34">
      <c r="A1200" s="40" t="inlineStr">
        <is>
          <t>320.01.01.D033</t>
        </is>
      </c>
      <c r="B1200" s="40" t="inlineStr">
        <is>
          <t>Detay Otel İht. Mal.San.Ve Tic.Ltd. Şti.</t>
        </is>
      </c>
      <c r="C1200" s="40" t="inlineStr">
        <is>
          <t>TRY</t>
        </is>
      </c>
      <c r="D1200" s="40" t="inlineStr">
        <is>
          <t>GİTAŞ MERKEZ</t>
        </is>
      </c>
      <c r="E1200" s="38" t="n">
        <v>305470</v>
      </c>
      <c r="F1200" s="38" t="n">
        <v>0</v>
      </c>
      <c r="G1200" s="38" t="n">
        <v>305470</v>
      </c>
      <c r="H1200" s="40" t="inlineStr">
        <is>
          <t>Borç</t>
        </is>
      </c>
      <c r="I1200" s="38" t="n">
        <v>305470</v>
      </c>
      <c r="J1200" s="38" t="n">
        <v>0</v>
      </c>
      <c r="K1200" s="38" t="n">
        <v>305470</v>
      </c>
      <c r="L1200" s="40" t="inlineStr">
        <is>
          <t>Borç</t>
        </is>
      </c>
    </row>
    <row r="1201" s="34">
      <c r="A1201" s="40" t="inlineStr">
        <is>
          <t>320.01.01.D033</t>
        </is>
      </c>
      <c r="B1201" s="40" t="inlineStr">
        <is>
          <t>Detay Otel İht. Mal.San.Ve Tic.Ltd. Şti.</t>
        </is>
      </c>
      <c r="C1201" s="40" t="inlineStr">
        <is>
          <t>TRY</t>
        </is>
      </c>
      <c r="D1201" s="40" t="inlineStr">
        <is>
          <t>ROYAL ADAM EVE</t>
        </is>
      </c>
      <c r="E1201" s="38" t="n">
        <v>86989.2</v>
      </c>
      <c r="F1201" s="38" t="n">
        <v>0</v>
      </c>
      <c r="G1201" s="38" t="n">
        <v>86989.2</v>
      </c>
      <c r="H1201" s="40" t="inlineStr">
        <is>
          <t>Borç</t>
        </is>
      </c>
      <c r="I1201" s="38" t="n">
        <v>86989.2</v>
      </c>
      <c r="J1201" s="38" t="n">
        <v>0</v>
      </c>
      <c r="K1201" s="38" t="n">
        <v>86989.2</v>
      </c>
      <c r="L1201" s="40" t="inlineStr">
        <is>
          <t>Borç</t>
        </is>
      </c>
    </row>
    <row r="1202" s="34">
      <c r="A1202" s="40" t="inlineStr">
        <is>
          <t>320.01.01.D033</t>
        </is>
      </c>
      <c r="B1202" s="40" t="inlineStr">
        <is>
          <t>Detay Otel İht. Mal.San.Ve Tic.Ltd. Şti.</t>
        </is>
      </c>
      <c r="C1202" s="40" t="inlineStr">
        <is>
          <t>TRY</t>
        </is>
      </c>
      <c r="D1202" s="40" t="inlineStr">
        <is>
          <t>ROYAL HOLIDAY</t>
        </is>
      </c>
      <c r="E1202" s="38" t="n">
        <v>0</v>
      </c>
      <c r="F1202" s="38" t="n">
        <v>7800</v>
      </c>
      <c r="G1202" s="38" t="n">
        <v>-7800</v>
      </c>
      <c r="H1202" s="40" t="inlineStr">
        <is>
          <t>Alacak</t>
        </is>
      </c>
      <c r="I1202" s="38" t="n">
        <v>0</v>
      </c>
      <c r="J1202" s="38" t="n">
        <v>7800</v>
      </c>
      <c r="K1202" s="38" t="n">
        <v>-7800</v>
      </c>
      <c r="L1202" s="40" t="inlineStr">
        <is>
          <t>Alacak</t>
        </is>
      </c>
    </row>
    <row r="1203" s="34">
      <c r="A1203" s="40" t="inlineStr">
        <is>
          <t>320.01.01.D033</t>
        </is>
      </c>
      <c r="B1203" s="40" t="inlineStr">
        <is>
          <t>Detay Otel İht. Mal.San.Ve Tic.Ltd. Şti.</t>
        </is>
      </c>
      <c r="C1203" s="40" t="inlineStr">
        <is>
          <t>TRY</t>
        </is>
      </c>
      <c r="D1203" s="40" t="inlineStr">
        <is>
          <t>SERTAŞ MERKEZ</t>
        </is>
      </c>
      <c r="E1203" s="38" t="n">
        <v>203418</v>
      </c>
      <c r="F1203" s="38" t="n">
        <v>0</v>
      </c>
      <c r="G1203" s="38" t="n">
        <v>203418</v>
      </c>
      <c r="H1203" s="40" t="inlineStr">
        <is>
          <t>Borç</t>
        </is>
      </c>
      <c r="I1203" s="38" t="n">
        <v>203418</v>
      </c>
      <c r="J1203" s="38" t="n">
        <v>0</v>
      </c>
      <c r="K1203" s="38" t="n">
        <v>203418</v>
      </c>
      <c r="L1203" s="40" t="inlineStr">
        <is>
          <t>Borç</t>
        </is>
      </c>
    </row>
    <row r="1204" s="34">
      <c r="A1204" s="40" t="inlineStr">
        <is>
          <t>320.01.01.D035</t>
        </is>
      </c>
      <c r="B1204" s="40" t="inlineStr">
        <is>
          <t>Devtas Otelcilik Turizm Tic.A.Ş.</t>
        </is>
      </c>
      <c r="C1204" s="40" t="inlineStr">
        <is>
          <t>TRY</t>
        </is>
      </c>
      <c r="D1204" s="40" t="inlineStr">
        <is>
          <t>GİTAŞ MERKEZ</t>
        </is>
      </c>
      <c r="E1204" s="38" t="n">
        <v>667747.86</v>
      </c>
      <c r="F1204" s="38" t="n">
        <v>0</v>
      </c>
      <c r="G1204" s="38" t="n">
        <v>667747.86</v>
      </c>
      <c r="H1204" s="40" t="inlineStr">
        <is>
          <t>Borç</t>
        </is>
      </c>
      <c r="I1204" s="38" t="n">
        <v>667747.86</v>
      </c>
      <c r="J1204" s="38" t="n">
        <v>0</v>
      </c>
      <c r="K1204" s="38" t="n">
        <v>667747.86</v>
      </c>
      <c r="L1204" s="40" t="inlineStr">
        <is>
          <t>Borç</t>
        </is>
      </c>
    </row>
    <row r="1205" s="34">
      <c r="A1205" s="40" t="inlineStr">
        <is>
          <t>320.01.01.D035</t>
        </is>
      </c>
      <c r="B1205" s="40" t="inlineStr">
        <is>
          <t>Devtas Otelcilik Turizm Tic.A.Ş.</t>
        </is>
      </c>
      <c r="C1205" s="40" t="inlineStr">
        <is>
          <t>TRY</t>
        </is>
      </c>
      <c r="D1205" s="40" t="inlineStr">
        <is>
          <t>ROYAL ADAM EVE</t>
        </is>
      </c>
      <c r="E1205" s="38" t="n">
        <v>214917.85</v>
      </c>
      <c r="F1205" s="38" t="n">
        <v>50994.9</v>
      </c>
      <c r="G1205" s="38" t="n">
        <v>163922.95</v>
      </c>
      <c r="H1205" s="40" t="inlineStr">
        <is>
          <t>Borç</t>
        </is>
      </c>
      <c r="I1205" s="38" t="n">
        <v>214917.85</v>
      </c>
      <c r="J1205" s="38" t="n">
        <v>50994.9</v>
      </c>
      <c r="K1205" s="38" t="n">
        <v>163922.95</v>
      </c>
      <c r="L1205" s="40" t="inlineStr">
        <is>
          <t>Borç</t>
        </is>
      </c>
    </row>
    <row r="1206" s="34">
      <c r="A1206" s="40" t="inlineStr">
        <is>
          <t>320.01.01.D035</t>
        </is>
      </c>
      <c r="B1206" s="40" t="inlineStr">
        <is>
          <t>Devtas Otelcilik Turizm Tic.A.Ş.</t>
        </is>
      </c>
      <c r="C1206" s="40" t="inlineStr">
        <is>
          <t>TRY</t>
        </is>
      </c>
      <c r="D1206" s="40" t="inlineStr">
        <is>
          <t>ROYAL ALHAMBRA</t>
        </is>
      </c>
      <c r="E1206" s="38" t="n">
        <v>0</v>
      </c>
      <c r="F1206" s="38" t="n">
        <v>216225.85</v>
      </c>
      <c r="G1206" s="38" t="n">
        <v>-216225.85</v>
      </c>
      <c r="H1206" s="40" t="inlineStr">
        <is>
          <t>Alacak</t>
        </is>
      </c>
      <c r="I1206" s="38" t="n">
        <v>0</v>
      </c>
      <c r="J1206" s="38" t="n">
        <v>216225.85</v>
      </c>
      <c r="K1206" s="38" t="n">
        <v>-216225.85</v>
      </c>
      <c r="L1206" s="40" t="inlineStr">
        <is>
          <t>Alacak</t>
        </is>
      </c>
    </row>
    <row r="1207" s="34">
      <c r="A1207" s="40" t="inlineStr">
        <is>
          <t>320.01.01.D035</t>
        </is>
      </c>
      <c r="B1207" s="40" t="inlineStr">
        <is>
          <t>Devtas Otelcilik Turizm Tic.A.Ş.</t>
        </is>
      </c>
      <c r="C1207" s="40" t="inlineStr">
        <is>
          <t>TRY</t>
        </is>
      </c>
      <c r="D1207" s="40" t="inlineStr">
        <is>
          <t>ROYAL DRAGON</t>
        </is>
      </c>
      <c r="E1207" s="38" t="n">
        <v>0</v>
      </c>
      <c r="F1207" s="38" t="n">
        <v>90566.7</v>
      </c>
      <c r="G1207" s="38" t="n">
        <v>-90566.7</v>
      </c>
      <c r="H1207" s="40" t="inlineStr">
        <is>
          <t>Alacak</t>
        </is>
      </c>
      <c r="I1207" s="38" t="n">
        <v>0</v>
      </c>
      <c r="J1207" s="38" t="n">
        <v>90566.7</v>
      </c>
      <c r="K1207" s="38" t="n">
        <v>-90566.7</v>
      </c>
      <c r="L1207" s="40" t="inlineStr">
        <is>
          <t>Alacak</t>
        </is>
      </c>
    </row>
    <row r="1208" s="34">
      <c r="A1208" s="40" t="inlineStr">
        <is>
          <t>320.01.01.D035</t>
        </is>
      </c>
      <c r="B1208" s="40" t="inlineStr">
        <is>
          <t>Devtas Otelcilik Turizm Tic.A.Ş.</t>
        </is>
      </c>
      <c r="C1208" s="40" t="inlineStr">
        <is>
          <t>TRY</t>
        </is>
      </c>
      <c r="D1208" s="40" t="inlineStr">
        <is>
          <t>ROYAL HOLIDAY</t>
        </is>
      </c>
      <c r="E1208" s="38" t="n">
        <v>0</v>
      </c>
      <c r="F1208" s="38" t="n">
        <v>261631.92</v>
      </c>
      <c r="G1208" s="38" t="n">
        <v>-261631.92</v>
      </c>
      <c r="H1208" s="40" t="inlineStr">
        <is>
          <t>Alacak</t>
        </is>
      </c>
      <c r="I1208" s="38" t="n">
        <v>0</v>
      </c>
      <c r="J1208" s="38" t="n">
        <v>261631.92</v>
      </c>
      <c r="K1208" s="38" t="n">
        <v>-261631.92</v>
      </c>
      <c r="L1208" s="40" t="inlineStr">
        <is>
          <t>Alacak</t>
        </is>
      </c>
    </row>
    <row r="1209" s="34">
      <c r="A1209" s="40" t="inlineStr">
        <is>
          <t>320.01.01.D035</t>
        </is>
      </c>
      <c r="B1209" s="40" t="inlineStr">
        <is>
          <t>Devtas Otelcilik Turizm Tic.A.Ş.</t>
        </is>
      </c>
      <c r="C1209" s="40" t="inlineStr">
        <is>
          <t>TRY</t>
        </is>
      </c>
      <c r="D1209" s="40" t="inlineStr">
        <is>
          <t>ROYAL SEGINUS</t>
        </is>
      </c>
      <c r="E1209" s="38" t="n">
        <v>0</v>
      </c>
      <c r="F1209" s="38" t="n">
        <v>306830.43</v>
      </c>
      <c r="G1209" s="38" t="n">
        <v>-306830.43</v>
      </c>
      <c r="H1209" s="40" t="inlineStr">
        <is>
          <t>Alacak</t>
        </is>
      </c>
      <c r="I1209" s="38" t="n">
        <v>0</v>
      </c>
      <c r="J1209" s="38" t="n">
        <v>306830.43</v>
      </c>
      <c r="K1209" s="38" t="n">
        <v>-306830.43</v>
      </c>
      <c r="L1209" s="40" t="inlineStr">
        <is>
          <t>Alacak</t>
        </is>
      </c>
    </row>
    <row r="1210" s="34">
      <c r="A1210" s="40" t="inlineStr">
        <is>
          <t>320.01.01.D035</t>
        </is>
      </c>
      <c r="B1210" s="40" t="inlineStr">
        <is>
          <t>Devtas Otelcilik Turizm Tic.A.Ş.</t>
        </is>
      </c>
      <c r="C1210" s="40" t="inlineStr">
        <is>
          <t>TRY</t>
        </is>
      </c>
      <c r="D1210" s="40" t="inlineStr">
        <is>
          <t>SERTAŞ MERKEZ</t>
        </is>
      </c>
      <c r="E1210" s="38" t="n">
        <v>858243.0699999999</v>
      </c>
      <c r="F1210" s="38" t="n">
        <v>0</v>
      </c>
      <c r="G1210" s="38" t="n">
        <v>858243.0699999999</v>
      </c>
      <c r="H1210" s="40" t="inlineStr">
        <is>
          <t>Borç</t>
        </is>
      </c>
      <c r="I1210" s="38" t="n">
        <v>858243.0699999999</v>
      </c>
      <c r="J1210" s="38" t="n">
        <v>0</v>
      </c>
      <c r="K1210" s="38" t="n">
        <v>858243.0699999999</v>
      </c>
      <c r="L1210" s="40" t="inlineStr">
        <is>
          <t>Borç</t>
        </is>
      </c>
    </row>
    <row r="1211" s="34">
      <c r="A1211" s="40" t="inlineStr">
        <is>
          <t>320.01.01.D039</t>
        </is>
      </c>
      <c r="B1211" s="40" t="inlineStr">
        <is>
          <t>Digiturk Digital Platform Teknoloji A.Ş.</t>
        </is>
      </c>
      <c r="C1211" s="40" t="inlineStr">
        <is>
          <t>TRY</t>
        </is>
      </c>
      <c r="D1211" s="40" t="inlineStr">
        <is>
          <t>ROYAL ADAM EVE</t>
        </is>
      </c>
      <c r="E1211" s="38" t="n">
        <v>20625.02</v>
      </c>
      <c r="F1211" s="38" t="n">
        <v>20625.02</v>
      </c>
      <c r="G1211" s="38" t="n">
        <v>0</v>
      </c>
      <c r="I1211" s="38" t="n">
        <v>20625.02</v>
      </c>
      <c r="J1211" s="38" t="n">
        <v>20625.02</v>
      </c>
      <c r="K1211" s="38" t="n">
        <v>0</v>
      </c>
    </row>
    <row r="1212" s="34">
      <c r="A1212" s="40" t="inlineStr">
        <is>
          <t>320.01.01.D039</t>
        </is>
      </c>
      <c r="B1212" s="40" t="inlineStr">
        <is>
          <t>Digiturk Digital Platform Teknoloji A.Ş.</t>
        </is>
      </c>
      <c r="C1212" s="40" t="inlineStr">
        <is>
          <t>TRY</t>
        </is>
      </c>
      <c r="D1212" s="40" t="inlineStr">
        <is>
          <t>SERTAŞ MERKEZ</t>
        </is>
      </c>
      <c r="E1212" s="38" t="n">
        <v>7594.41</v>
      </c>
      <c r="F1212" s="38" t="n">
        <v>0</v>
      </c>
      <c r="G1212" s="38" t="n">
        <v>7594.41</v>
      </c>
      <c r="H1212" s="40" t="inlineStr">
        <is>
          <t>Borç</t>
        </is>
      </c>
      <c r="I1212" s="38" t="n">
        <v>7594.41</v>
      </c>
      <c r="J1212" s="38" t="n">
        <v>0</v>
      </c>
      <c r="K1212" s="38" t="n">
        <v>7594.41</v>
      </c>
      <c r="L1212" s="40" t="inlineStr">
        <is>
          <t>Borç</t>
        </is>
      </c>
    </row>
    <row r="1213" s="34">
      <c r="A1213" s="40" t="inlineStr">
        <is>
          <t>320.01.01.D044</t>
        </is>
      </c>
      <c r="B1213" s="40" t="inlineStr">
        <is>
          <t>Diversey Kimya Sanayi Ve Ticaret A.Ş.</t>
        </is>
      </c>
      <c r="C1213" s="40" t="inlineStr">
        <is>
          <t>TRY</t>
        </is>
      </c>
      <c r="D1213" s="40" t="inlineStr">
        <is>
          <t>ROYAL HOLIDAY</t>
        </is>
      </c>
      <c r="E1213" s="38" t="n">
        <v>113625</v>
      </c>
      <c r="F1213" s="38" t="n">
        <v>1361412.36</v>
      </c>
      <c r="G1213" s="38" t="n">
        <v>-1247787.36</v>
      </c>
      <c r="H1213" s="40" t="inlineStr">
        <is>
          <t>Alacak</t>
        </is>
      </c>
      <c r="I1213" s="38" t="n">
        <v>113625</v>
      </c>
      <c r="J1213" s="38" t="n">
        <v>1361412.36</v>
      </c>
      <c r="K1213" s="38" t="n">
        <v>-1247787.36</v>
      </c>
      <c r="L1213" s="40" t="inlineStr">
        <is>
          <t>Alacak</t>
        </is>
      </c>
    </row>
    <row r="1214" s="34">
      <c r="A1214" s="40" t="inlineStr">
        <is>
          <t>320.01.01.D044</t>
        </is>
      </c>
      <c r="B1214" s="40" t="inlineStr">
        <is>
          <t>Diversey Kimya Sanayi Ve Ticaret A.Ş.</t>
        </is>
      </c>
      <c r="C1214" s="40" t="inlineStr">
        <is>
          <t>TRY</t>
        </is>
      </c>
      <c r="D1214" s="40" t="inlineStr">
        <is>
          <t>ROYAL SEGINUS</t>
        </is>
      </c>
      <c r="E1214" s="38" t="n">
        <v>0</v>
      </c>
      <c r="F1214" s="38" t="n">
        <v>936440.47</v>
      </c>
      <c r="G1214" s="38" t="n">
        <v>-936440.47</v>
      </c>
      <c r="H1214" s="40" t="inlineStr">
        <is>
          <t>Alacak</t>
        </is>
      </c>
      <c r="I1214" s="38" t="n">
        <v>0</v>
      </c>
      <c r="J1214" s="38" t="n">
        <v>936440.47</v>
      </c>
      <c r="K1214" s="38" t="n">
        <v>-936440.47</v>
      </c>
      <c r="L1214" s="40" t="inlineStr">
        <is>
          <t>Alacak</t>
        </is>
      </c>
    </row>
    <row r="1215" s="34">
      <c r="A1215" s="40" t="inlineStr">
        <is>
          <t>320.01.01.D044</t>
        </is>
      </c>
      <c r="B1215" s="40" t="inlineStr">
        <is>
          <t>Diversey Kimya Sanayi Ve Ticaret A.Ş.</t>
        </is>
      </c>
      <c r="C1215" s="40" t="inlineStr">
        <is>
          <t>TRY</t>
        </is>
      </c>
      <c r="D1215" s="40" t="inlineStr">
        <is>
          <t>SERTAŞ MERKEZ</t>
        </is>
      </c>
      <c r="E1215" s="38" t="n">
        <v>561250.92</v>
      </c>
      <c r="F1215" s="38" t="n">
        <v>0</v>
      </c>
      <c r="G1215" s="38" t="n">
        <v>561250.92</v>
      </c>
      <c r="H1215" s="40" t="inlineStr">
        <is>
          <t>Borç</t>
        </is>
      </c>
      <c r="I1215" s="38" t="n">
        <v>561250.92</v>
      </c>
      <c r="J1215" s="38" t="n">
        <v>0</v>
      </c>
      <c r="K1215" s="38" t="n">
        <v>561250.92</v>
      </c>
      <c r="L1215" s="40" t="inlineStr">
        <is>
          <t>Borç</t>
        </is>
      </c>
    </row>
    <row r="1216" s="34">
      <c r="A1216" s="40" t="inlineStr">
        <is>
          <t>320.01.01.D046</t>
        </is>
      </c>
      <c r="B1216" s="40" t="inlineStr">
        <is>
          <t>Dk Tekstil Ve Otel Ekipmanl.San.Tic.A.Ş.</t>
        </is>
      </c>
      <c r="C1216" s="40" t="inlineStr">
        <is>
          <t>TRY</t>
        </is>
      </c>
      <c r="D1216" s="40" t="inlineStr">
        <is>
          <t>ROYAL ADAM EVE</t>
        </is>
      </c>
      <c r="E1216" s="38" t="n">
        <v>0</v>
      </c>
      <c r="F1216" s="38" t="n">
        <v>459082.8</v>
      </c>
      <c r="G1216" s="38" t="n">
        <v>-459082.8</v>
      </c>
      <c r="H1216" s="40" t="inlineStr">
        <is>
          <t>Alacak</t>
        </is>
      </c>
      <c r="I1216" s="38" t="n">
        <v>0</v>
      </c>
      <c r="J1216" s="38" t="n">
        <v>459082.8</v>
      </c>
      <c r="K1216" s="38" t="n">
        <v>-459082.8</v>
      </c>
      <c r="L1216" s="40" t="inlineStr">
        <is>
          <t>Alacak</t>
        </is>
      </c>
    </row>
    <row r="1217" s="34">
      <c r="A1217" s="40" t="inlineStr">
        <is>
          <t>320.01.01.D046</t>
        </is>
      </c>
      <c r="B1217" s="40" t="inlineStr">
        <is>
          <t>Dk Tekstil Ve Otel Ekipmanl.San.Tic.A.Ş.</t>
        </is>
      </c>
      <c r="C1217" s="40" t="inlineStr">
        <is>
          <t>TRY</t>
        </is>
      </c>
      <c r="D1217" s="40" t="inlineStr">
        <is>
          <t>ROYAL DRAGON</t>
        </is>
      </c>
      <c r="E1217" s="38" t="n">
        <v>0</v>
      </c>
      <c r="F1217" s="38" t="n">
        <v>373401.6</v>
      </c>
      <c r="G1217" s="38" t="n">
        <v>-373401.6</v>
      </c>
      <c r="H1217" s="40" t="inlineStr">
        <is>
          <t>Alacak</t>
        </is>
      </c>
      <c r="I1217" s="38" t="n">
        <v>0</v>
      </c>
      <c r="J1217" s="38" t="n">
        <v>373401.6</v>
      </c>
      <c r="K1217" s="38" t="n">
        <v>-373401.6</v>
      </c>
      <c r="L1217" s="40" t="inlineStr">
        <is>
          <t>Alacak</t>
        </is>
      </c>
    </row>
    <row r="1218" s="34">
      <c r="A1218" s="40" t="inlineStr">
        <is>
          <t>320.01.01.D046</t>
        </is>
      </c>
      <c r="B1218" s="40" t="inlineStr">
        <is>
          <t>Dk Tekstil Ve Otel Ekipmanl.San.Tic.A.Ş.</t>
        </is>
      </c>
      <c r="C1218" s="40" t="inlineStr">
        <is>
          <t>TRY</t>
        </is>
      </c>
      <c r="D1218" s="40" t="inlineStr">
        <is>
          <t>ROYAL HOLIDAY</t>
        </is>
      </c>
      <c r="E1218" s="38" t="n">
        <v>0</v>
      </c>
      <c r="F1218" s="38" t="n">
        <v>495031.68</v>
      </c>
      <c r="G1218" s="38" t="n">
        <v>-495031.68</v>
      </c>
      <c r="H1218" s="40" t="inlineStr">
        <is>
          <t>Alacak</t>
        </is>
      </c>
      <c r="I1218" s="38" t="n">
        <v>0</v>
      </c>
      <c r="J1218" s="38" t="n">
        <v>495031.68</v>
      </c>
      <c r="K1218" s="38" t="n">
        <v>-495031.68</v>
      </c>
      <c r="L1218" s="40" t="inlineStr">
        <is>
          <t>Alacak</t>
        </is>
      </c>
    </row>
    <row r="1219" s="34">
      <c r="A1219" s="40" t="inlineStr">
        <is>
          <t>320.01.01.D046</t>
        </is>
      </c>
      <c r="B1219" s="40" t="inlineStr">
        <is>
          <t>Dk Tekstil Ve Otel Ekipmanl.San.Tic.A.Ş.</t>
        </is>
      </c>
      <c r="C1219" s="40" t="inlineStr">
        <is>
          <t>TRY</t>
        </is>
      </c>
      <c r="D1219" s="40" t="inlineStr">
        <is>
          <t>ROYAL SEGINUS</t>
        </is>
      </c>
      <c r="E1219" s="38" t="n">
        <v>0</v>
      </c>
      <c r="F1219" s="38" t="n">
        <v>357043.28</v>
      </c>
      <c r="G1219" s="38" t="n">
        <v>-357043.28</v>
      </c>
      <c r="H1219" s="40" t="inlineStr">
        <is>
          <t>Alacak</t>
        </is>
      </c>
      <c r="I1219" s="38" t="n">
        <v>0</v>
      </c>
      <c r="J1219" s="38" t="n">
        <v>357043.28</v>
      </c>
      <c r="K1219" s="38" t="n">
        <v>-357043.28</v>
      </c>
      <c r="L1219" s="40" t="inlineStr">
        <is>
          <t>Alacak</t>
        </is>
      </c>
    </row>
    <row r="1220" s="34">
      <c r="A1220" s="40" t="inlineStr">
        <is>
          <t>320.01.01.D055</t>
        </is>
      </c>
      <c r="B1220" s="40" t="inlineStr">
        <is>
          <t>Doğruyol Ticaret İnşaat Turizm Sanayi Limited Şirketi</t>
        </is>
      </c>
      <c r="C1220" s="40" t="inlineStr">
        <is>
          <t>TRY</t>
        </is>
      </c>
      <c r="D1220" s="40" t="inlineStr">
        <is>
          <t>GİTAŞ MERKEZ</t>
        </is>
      </c>
      <c r="E1220" s="38" t="n">
        <v>655</v>
      </c>
      <c r="F1220" s="38" t="n">
        <v>0</v>
      </c>
      <c r="G1220" s="38" t="n">
        <v>655</v>
      </c>
      <c r="H1220" s="40" t="inlineStr">
        <is>
          <t>Borç</t>
        </is>
      </c>
      <c r="I1220" s="38" t="n">
        <v>655</v>
      </c>
      <c r="J1220" s="38" t="n">
        <v>0</v>
      </c>
      <c r="K1220" s="38" t="n">
        <v>655</v>
      </c>
      <c r="L1220" s="40" t="inlineStr">
        <is>
          <t>Borç</t>
        </is>
      </c>
    </row>
    <row r="1221" s="34">
      <c r="A1221" s="40" t="inlineStr">
        <is>
          <t>320.01.01.D076</t>
        </is>
      </c>
      <c r="B1221" s="40" t="inlineStr">
        <is>
          <t>Dk Edt Gıda Tic. Ltd.Sti.</t>
        </is>
      </c>
      <c r="C1221" s="40" t="inlineStr">
        <is>
          <t>TRY</t>
        </is>
      </c>
      <c r="D1221" s="40" t="inlineStr">
        <is>
          <t>GİTAŞ MERKEZ</t>
        </is>
      </c>
      <c r="E1221" s="38" t="n">
        <v>175154.2</v>
      </c>
      <c r="F1221" s="38" t="n">
        <v>0</v>
      </c>
      <c r="G1221" s="38" t="n">
        <v>175154.2</v>
      </c>
      <c r="H1221" s="40" t="inlineStr">
        <is>
          <t>Borç</t>
        </is>
      </c>
      <c r="I1221" s="38" t="n">
        <v>175154.2</v>
      </c>
      <c r="J1221" s="38" t="n">
        <v>0</v>
      </c>
      <c r="K1221" s="38" t="n">
        <v>175154.2</v>
      </c>
      <c r="L1221" s="40" t="inlineStr">
        <is>
          <t>Borç</t>
        </is>
      </c>
    </row>
    <row r="1222" s="34">
      <c r="A1222" s="40" t="inlineStr">
        <is>
          <t>320.01.01.D076</t>
        </is>
      </c>
      <c r="B1222" s="40" t="inlineStr">
        <is>
          <t>Dk Edt Gıda Tic. Ltd.Sti.</t>
        </is>
      </c>
      <c r="C1222" s="40" t="inlineStr">
        <is>
          <t>TRY</t>
        </is>
      </c>
      <c r="D1222" s="40" t="inlineStr">
        <is>
          <t>ROYAL ADAM EVE</t>
        </is>
      </c>
      <c r="E1222" s="38" t="n">
        <v>29315.25</v>
      </c>
      <c r="F1222" s="38" t="n">
        <v>40713.1</v>
      </c>
      <c r="G1222" s="38" t="n">
        <v>-11397.85</v>
      </c>
      <c r="H1222" s="40" t="inlineStr">
        <is>
          <t>Alacak</t>
        </is>
      </c>
      <c r="I1222" s="38" t="n">
        <v>29315.25</v>
      </c>
      <c r="J1222" s="38" t="n">
        <v>40713.1</v>
      </c>
      <c r="K1222" s="38" t="n">
        <v>-11397.85</v>
      </c>
      <c r="L1222" s="40" t="inlineStr">
        <is>
          <t>Alacak</t>
        </is>
      </c>
    </row>
    <row r="1223" s="34">
      <c r="A1223" s="40" t="inlineStr">
        <is>
          <t>320.01.01.D076</t>
        </is>
      </c>
      <c r="B1223" s="40" t="inlineStr">
        <is>
          <t>Dk Edt Gıda Tic. Ltd.Sti.</t>
        </is>
      </c>
      <c r="C1223" s="40" t="inlineStr">
        <is>
          <t>TRY</t>
        </is>
      </c>
      <c r="D1223" s="40" t="inlineStr">
        <is>
          <t>ROYAL ALHAMBRA</t>
        </is>
      </c>
      <c r="E1223" s="38" t="n">
        <v>13635</v>
      </c>
      <c r="F1223" s="38" t="n">
        <v>309484.2</v>
      </c>
      <c r="G1223" s="38" t="n">
        <v>-295849.2</v>
      </c>
      <c r="H1223" s="40" t="inlineStr">
        <is>
          <t>Alacak</t>
        </is>
      </c>
      <c r="I1223" s="38" t="n">
        <v>13635</v>
      </c>
      <c r="J1223" s="38" t="n">
        <v>309484.2</v>
      </c>
      <c r="K1223" s="38" t="n">
        <v>-295849.2</v>
      </c>
      <c r="L1223" s="40" t="inlineStr">
        <is>
          <t>Alacak</t>
        </is>
      </c>
    </row>
    <row r="1224" s="34">
      <c r="A1224" s="40" t="inlineStr">
        <is>
          <t>320.01.01.D076</t>
        </is>
      </c>
      <c r="B1224" s="40" t="inlineStr">
        <is>
          <t>Dk Edt Gıda Tic. Ltd.Sti.</t>
        </is>
      </c>
      <c r="C1224" s="40" t="inlineStr">
        <is>
          <t>TRY</t>
        </is>
      </c>
      <c r="D1224" s="40" t="inlineStr">
        <is>
          <t>ROYAL DRAGON</t>
        </is>
      </c>
      <c r="E1224" s="38" t="n">
        <v>0</v>
      </c>
      <c r="F1224" s="38" t="n">
        <v>10605</v>
      </c>
      <c r="G1224" s="38" t="n">
        <v>-10605</v>
      </c>
      <c r="H1224" s="40" t="inlineStr">
        <is>
          <t>Alacak</t>
        </is>
      </c>
      <c r="I1224" s="38" t="n">
        <v>0</v>
      </c>
      <c r="J1224" s="38" t="n">
        <v>10605</v>
      </c>
      <c r="K1224" s="38" t="n">
        <v>-10605</v>
      </c>
      <c r="L1224" s="40" t="inlineStr">
        <is>
          <t>Alacak</t>
        </is>
      </c>
    </row>
    <row r="1225" s="34">
      <c r="A1225" s="40" t="inlineStr">
        <is>
          <t>320.01.01.D076</t>
        </is>
      </c>
      <c r="B1225" s="40" t="inlineStr">
        <is>
          <t>Dk Edt Gıda Tic. Ltd.Sti.</t>
        </is>
      </c>
      <c r="C1225" s="40" t="inlineStr">
        <is>
          <t>TRY</t>
        </is>
      </c>
      <c r="D1225" s="40" t="inlineStr">
        <is>
          <t>ROYAL HOLIDAY</t>
        </is>
      </c>
      <c r="E1225" s="38" t="n">
        <v>0</v>
      </c>
      <c r="F1225" s="38" t="n">
        <v>46389.3</v>
      </c>
      <c r="G1225" s="38" t="n">
        <v>-46389.3</v>
      </c>
      <c r="H1225" s="40" t="inlineStr">
        <is>
          <t>Alacak</t>
        </is>
      </c>
      <c r="I1225" s="38" t="n">
        <v>0</v>
      </c>
      <c r="J1225" s="38" t="n">
        <v>46389.3</v>
      </c>
      <c r="K1225" s="38" t="n">
        <v>-46389.3</v>
      </c>
      <c r="L1225" s="40" t="inlineStr">
        <is>
          <t>Alacak</t>
        </is>
      </c>
    </row>
    <row r="1226" s="34">
      <c r="A1226" s="40" t="inlineStr">
        <is>
          <t>320.01.01.D076</t>
        </is>
      </c>
      <c r="B1226" s="40" t="inlineStr">
        <is>
          <t>Dk Edt Gıda Tic. Ltd.Sti.</t>
        </is>
      </c>
      <c r="C1226" s="40" t="inlineStr">
        <is>
          <t>TRY</t>
        </is>
      </c>
      <c r="D1226" s="40" t="inlineStr">
        <is>
          <t>ROYAL SEGINUS</t>
        </is>
      </c>
      <c r="E1226" s="38" t="n">
        <v>0</v>
      </c>
      <c r="F1226" s="38" t="n">
        <v>31936.2</v>
      </c>
      <c r="G1226" s="38" t="n">
        <v>-31936.2</v>
      </c>
      <c r="H1226" s="40" t="inlineStr">
        <is>
          <t>Alacak</t>
        </is>
      </c>
      <c r="I1226" s="38" t="n">
        <v>0</v>
      </c>
      <c r="J1226" s="38" t="n">
        <v>31936.2</v>
      </c>
      <c r="K1226" s="38" t="n">
        <v>-31936.2</v>
      </c>
      <c r="L1226" s="40" t="inlineStr">
        <is>
          <t>Alacak</t>
        </is>
      </c>
    </row>
    <row r="1227" s="34">
      <c r="A1227" s="40" t="inlineStr">
        <is>
          <t>320.01.01.D076</t>
        </is>
      </c>
      <c r="B1227" s="40" t="inlineStr">
        <is>
          <t>Dk Edt Gıda Tic. Ltd.Sti.</t>
        </is>
      </c>
      <c r="C1227" s="40" t="inlineStr">
        <is>
          <t>TRY</t>
        </is>
      </c>
      <c r="D1227" s="40" t="inlineStr">
        <is>
          <t>SERTAŞ MERKEZ</t>
        </is>
      </c>
      <c r="E1227" s="38" t="n">
        <v>20422.2</v>
      </c>
      <c r="F1227" s="38" t="n">
        <v>0</v>
      </c>
      <c r="G1227" s="38" t="n">
        <v>20422.2</v>
      </c>
      <c r="H1227" s="40" t="inlineStr">
        <is>
          <t>Borç</t>
        </is>
      </c>
      <c r="I1227" s="38" t="n">
        <v>20422.2</v>
      </c>
      <c r="J1227" s="38" t="n">
        <v>0</v>
      </c>
      <c r="K1227" s="38" t="n">
        <v>20422.2</v>
      </c>
      <c r="L1227" s="40" t="inlineStr">
        <is>
          <t>Borç</t>
        </is>
      </c>
    </row>
    <row r="1228" s="34">
      <c r="A1228" s="40" t="inlineStr">
        <is>
          <t>320.01.01.D081</t>
        </is>
      </c>
      <c r="B1228" s="40" t="inlineStr">
        <is>
          <t>Devlet Su İşleri 25. Bölge Müdürlüğü - DSİ</t>
        </is>
      </c>
      <c r="C1228" s="40" t="inlineStr">
        <is>
          <t>TRY</t>
        </is>
      </c>
      <c r="D1228" s="40" t="inlineStr">
        <is>
          <t>SERTAŞ MERKEZ</t>
        </is>
      </c>
      <c r="E1228" s="38" t="n">
        <v>3595.82</v>
      </c>
      <c r="F1228" s="38" t="n">
        <v>3595.82</v>
      </c>
      <c r="G1228" s="38" t="n">
        <v>0</v>
      </c>
      <c r="I1228" s="38" t="n">
        <v>3595.82</v>
      </c>
      <c r="J1228" s="38" t="n">
        <v>3595.82</v>
      </c>
      <c r="K1228" s="38" t="n">
        <v>0</v>
      </c>
    </row>
    <row r="1229" s="34">
      <c r="A1229" s="40" t="inlineStr">
        <is>
          <t>320.01.01.E001</t>
        </is>
      </c>
      <c r="B1229" s="40" t="inlineStr">
        <is>
          <t>Elpadoor Yangın Güvenlik Kapı ve Dolap Sistemleri İnşaat Sanayi Ticaret Limited</t>
        </is>
      </c>
      <c r="C1229" s="40" t="inlineStr">
        <is>
          <t>TRY</t>
        </is>
      </c>
      <c r="D1229" s="40" t="inlineStr">
        <is>
          <t>ROYAL DRAGON</t>
        </is>
      </c>
      <c r="E1229" s="38" t="n">
        <v>0</v>
      </c>
      <c r="F1229" s="38" t="n">
        <v>122568</v>
      </c>
      <c r="G1229" s="38" t="n">
        <v>-122568</v>
      </c>
      <c r="H1229" s="40" t="inlineStr">
        <is>
          <t>Alacak</t>
        </is>
      </c>
      <c r="I1229" s="38" t="n">
        <v>0</v>
      </c>
      <c r="J1229" s="38" t="n">
        <v>122568</v>
      </c>
      <c r="K1229" s="38" t="n">
        <v>-122568</v>
      </c>
      <c r="L1229" s="40" t="inlineStr">
        <is>
          <t>Alacak</t>
        </is>
      </c>
    </row>
    <row r="1230" s="34">
      <c r="A1230" s="40" t="inlineStr">
        <is>
          <t>320.01.01.E003</t>
        </is>
      </c>
      <c r="B1230" s="40" t="inlineStr">
        <is>
          <t>Erpak Otel Ekipmanları Ambalaj Sanayi Ve Ticaret Ltd.Şti.(Karton Brdk)</t>
        </is>
      </c>
      <c r="C1230" s="40" t="inlineStr">
        <is>
          <t>TRY</t>
        </is>
      </c>
      <c r="D1230" s="40" t="inlineStr">
        <is>
          <t>ROYAL SEGINUS</t>
        </is>
      </c>
      <c r="E1230" s="38" t="n">
        <v>0</v>
      </c>
      <c r="F1230" s="38" t="n">
        <v>55176</v>
      </c>
      <c r="G1230" s="38" t="n">
        <v>-55176</v>
      </c>
      <c r="H1230" s="40" t="inlineStr">
        <is>
          <t>Alacak</t>
        </is>
      </c>
      <c r="I1230" s="38" t="n">
        <v>0</v>
      </c>
      <c r="J1230" s="38" t="n">
        <v>55176</v>
      </c>
      <c r="K1230" s="38" t="n">
        <v>-55176</v>
      </c>
      <c r="L1230" s="40" t="inlineStr">
        <is>
          <t>Alacak</t>
        </is>
      </c>
    </row>
    <row r="1231" s="34">
      <c r="A1231" s="40" t="inlineStr">
        <is>
          <t>320.01.01.E006</t>
        </is>
      </c>
      <c r="B1231" s="40" t="inlineStr">
        <is>
          <t>Ebm End.Mutfak Ve San.Mak.Ltd.Şti</t>
        </is>
      </c>
      <c r="C1231" s="40" t="inlineStr">
        <is>
          <t>TRY</t>
        </is>
      </c>
      <c r="D1231" s="40" t="inlineStr">
        <is>
          <t>ROYAL ADAM EVE</t>
        </is>
      </c>
      <c r="E1231" s="38" t="n">
        <v>15641.7</v>
      </c>
      <c r="F1231" s="38" t="n">
        <v>0</v>
      </c>
      <c r="G1231" s="38" t="n">
        <v>15641.7</v>
      </c>
      <c r="H1231" s="40" t="inlineStr">
        <is>
          <t>Borç</t>
        </is>
      </c>
      <c r="I1231" s="38" t="n">
        <v>15641.7</v>
      </c>
      <c r="J1231" s="38" t="n">
        <v>0</v>
      </c>
      <c r="K1231" s="38" t="n">
        <v>15641.7</v>
      </c>
      <c r="L1231" s="40" t="inlineStr">
        <is>
          <t>Borç</t>
        </is>
      </c>
    </row>
    <row r="1232" s="34">
      <c r="A1232" s="40" t="inlineStr">
        <is>
          <t>320.01.01.E006</t>
        </is>
      </c>
      <c r="B1232" s="40" t="inlineStr">
        <is>
          <t>Ebm End.Mutfak Ve San.Mak.Ltd.Şti</t>
        </is>
      </c>
      <c r="C1232" s="40" t="inlineStr">
        <is>
          <t>TRY</t>
        </is>
      </c>
      <c r="D1232" s="40" t="inlineStr">
        <is>
          <t>ROYAL HOLIDAY</t>
        </is>
      </c>
      <c r="E1232" s="38" t="n">
        <v>0</v>
      </c>
      <c r="F1232" s="38" t="n">
        <v>208389.49</v>
      </c>
      <c r="G1232" s="38" t="n">
        <v>-208389.49</v>
      </c>
      <c r="H1232" s="40" t="inlineStr">
        <is>
          <t>Alacak</t>
        </is>
      </c>
      <c r="I1232" s="38" t="n">
        <v>0</v>
      </c>
      <c r="J1232" s="38" t="n">
        <v>208389.49</v>
      </c>
      <c r="K1232" s="38" t="n">
        <v>-208389.49</v>
      </c>
      <c r="L1232" s="40" t="inlineStr">
        <is>
          <t>Alacak</t>
        </is>
      </c>
    </row>
    <row r="1233" s="34">
      <c r="A1233" s="40" t="inlineStr">
        <is>
          <t>320.01.01.E006</t>
        </is>
      </c>
      <c r="B1233" s="40" t="inlineStr">
        <is>
          <t>Ebm End.Mutfak Ve San.Mak.Ltd.Şti</t>
        </is>
      </c>
      <c r="C1233" s="40" t="inlineStr">
        <is>
          <t>TRY</t>
        </is>
      </c>
      <c r="D1233" s="40" t="inlineStr">
        <is>
          <t>SERTAŞ MERKEZ</t>
        </is>
      </c>
      <c r="E1233" s="38" t="n">
        <v>96682.78</v>
      </c>
      <c r="F1233" s="38" t="n">
        <v>0</v>
      </c>
      <c r="G1233" s="38" t="n">
        <v>96682.78</v>
      </c>
      <c r="H1233" s="40" t="inlineStr">
        <is>
          <t>Borç</t>
        </is>
      </c>
      <c r="I1233" s="38" t="n">
        <v>96682.78</v>
      </c>
      <c r="J1233" s="38" t="n">
        <v>0</v>
      </c>
      <c r="K1233" s="38" t="n">
        <v>96682.78</v>
      </c>
      <c r="L1233" s="40" t="inlineStr">
        <is>
          <t>Borç</t>
        </is>
      </c>
    </row>
    <row r="1234" s="34">
      <c r="A1234" s="40" t="inlineStr">
        <is>
          <t>320.01.01.E022</t>
        </is>
      </c>
      <c r="B1234" s="40" t="inlineStr">
        <is>
          <t>Eker Süt Ürünleri Gıda San.Tic.A.Ş.</t>
        </is>
      </c>
      <c r="C1234" s="40" t="inlineStr">
        <is>
          <t>TRY</t>
        </is>
      </c>
      <c r="D1234" s="40" t="inlineStr">
        <is>
          <t>GİTAŞ MERKEZ</t>
        </is>
      </c>
      <c r="E1234" s="38" t="n">
        <v>14725.8</v>
      </c>
      <c r="F1234" s="38" t="n">
        <v>0</v>
      </c>
      <c r="G1234" s="38" t="n">
        <v>14725.8</v>
      </c>
      <c r="H1234" s="40" t="inlineStr">
        <is>
          <t>Borç</t>
        </is>
      </c>
      <c r="I1234" s="38" t="n">
        <v>14725.8</v>
      </c>
      <c r="J1234" s="38" t="n">
        <v>0</v>
      </c>
      <c r="K1234" s="38" t="n">
        <v>14725.8</v>
      </c>
      <c r="L1234" s="40" t="inlineStr">
        <is>
          <t>Borç</t>
        </is>
      </c>
    </row>
    <row r="1235" s="34">
      <c r="A1235" s="40" t="inlineStr">
        <is>
          <t>320.01.01.E022</t>
        </is>
      </c>
      <c r="B1235" s="40" t="inlineStr">
        <is>
          <t>Eker Süt Ürünleri Gıda San.Tic.A.Ş.</t>
        </is>
      </c>
      <c r="C1235" s="40" t="inlineStr">
        <is>
          <t>TRY</t>
        </is>
      </c>
      <c r="D1235" s="40" t="inlineStr">
        <is>
          <t>ROYAL ADAM EVE</t>
        </is>
      </c>
      <c r="E1235" s="38" t="n">
        <v>1963.44</v>
      </c>
      <c r="F1235" s="38" t="n">
        <v>0</v>
      </c>
      <c r="G1235" s="38" t="n">
        <v>1963.44</v>
      </c>
      <c r="H1235" s="40" t="inlineStr">
        <is>
          <t>Borç</t>
        </is>
      </c>
      <c r="I1235" s="38" t="n">
        <v>1963.44</v>
      </c>
      <c r="J1235" s="38" t="n">
        <v>0</v>
      </c>
      <c r="K1235" s="38" t="n">
        <v>1963.44</v>
      </c>
      <c r="L1235" s="40" t="inlineStr">
        <is>
          <t>Borç</t>
        </is>
      </c>
    </row>
    <row r="1236" s="34">
      <c r="A1236" s="40" t="inlineStr">
        <is>
          <t>320.01.01.E022</t>
        </is>
      </c>
      <c r="B1236" s="40" t="inlineStr">
        <is>
          <t>Eker Süt Ürünleri Gıda San.Tic.A.Ş.</t>
        </is>
      </c>
      <c r="C1236" s="40" t="inlineStr">
        <is>
          <t>TRY</t>
        </is>
      </c>
      <c r="D1236" s="40" t="inlineStr">
        <is>
          <t>SERTAŞ MERKEZ</t>
        </is>
      </c>
      <c r="E1236" s="38" t="n">
        <v>77083.35000000001</v>
      </c>
      <c r="F1236" s="38" t="n">
        <v>0</v>
      </c>
      <c r="G1236" s="38" t="n">
        <v>77083.35000000001</v>
      </c>
      <c r="H1236" s="40" t="inlineStr">
        <is>
          <t>Borç</t>
        </is>
      </c>
      <c r="I1236" s="38" t="n">
        <v>77083.35000000001</v>
      </c>
      <c r="J1236" s="38" t="n">
        <v>0</v>
      </c>
      <c r="K1236" s="38" t="n">
        <v>77083.35000000001</v>
      </c>
      <c r="L1236" s="40" t="inlineStr">
        <is>
          <t>Borç</t>
        </is>
      </c>
    </row>
    <row r="1237" s="34">
      <c r="A1237" s="40" t="inlineStr">
        <is>
          <t>320.01.01.E024</t>
        </is>
      </c>
      <c r="B1237" s="40" t="inlineStr">
        <is>
          <t>Ekiphan Otel Ekipm.Paz.Turz.San.Tic.A.Ş.</t>
        </is>
      </c>
      <c r="C1237" s="40" t="inlineStr">
        <is>
          <t>TRY</t>
        </is>
      </c>
      <c r="D1237" s="40" t="inlineStr">
        <is>
          <t>GİTAŞ MERKEZ</t>
        </is>
      </c>
      <c r="E1237" s="38" t="n">
        <v>6942356.89</v>
      </c>
      <c r="F1237" s="38" t="n">
        <v>0</v>
      </c>
      <c r="G1237" s="38" t="n">
        <v>6942356.89</v>
      </c>
      <c r="H1237" s="40" t="inlineStr">
        <is>
          <t>Borç</t>
        </is>
      </c>
      <c r="I1237" s="38" t="n">
        <v>6942356.89</v>
      </c>
      <c r="J1237" s="38" t="n">
        <v>0</v>
      </c>
      <c r="K1237" s="38" t="n">
        <v>6942356.89</v>
      </c>
      <c r="L1237" s="40" t="inlineStr">
        <is>
          <t>Borç</t>
        </is>
      </c>
    </row>
    <row r="1238" s="34">
      <c r="A1238" s="40" t="inlineStr">
        <is>
          <t>320.01.01.E024</t>
        </is>
      </c>
      <c r="B1238" s="40" t="inlineStr">
        <is>
          <t>Ekiphan Otel Ekipm.Paz.Turz.San.Tic.A.Ş.</t>
        </is>
      </c>
      <c r="C1238" s="40" t="inlineStr">
        <is>
          <t>TRY</t>
        </is>
      </c>
      <c r="D1238" s="40" t="inlineStr">
        <is>
          <t>ROYAL ADAM EVE</t>
        </is>
      </c>
      <c r="E1238" s="38" t="n">
        <v>5529555.75</v>
      </c>
      <c r="F1238" s="38" t="n">
        <v>83233.49000000001</v>
      </c>
      <c r="G1238" s="38" t="n">
        <v>5446322.26</v>
      </c>
      <c r="H1238" s="40" t="inlineStr">
        <is>
          <t>Borç</t>
        </is>
      </c>
      <c r="I1238" s="38" t="n">
        <v>5529555.75</v>
      </c>
      <c r="J1238" s="38" t="n">
        <v>83233.49000000001</v>
      </c>
      <c r="K1238" s="38" t="n">
        <v>5446322.26</v>
      </c>
      <c r="L1238" s="40" t="inlineStr">
        <is>
          <t>Borç</t>
        </is>
      </c>
    </row>
    <row r="1239" s="34">
      <c r="A1239" s="40" t="inlineStr">
        <is>
          <t>320.01.01.E024</t>
        </is>
      </c>
      <c r="B1239" s="40" t="inlineStr">
        <is>
          <t>Ekiphan Otel Ekipm.Paz.Turz.San.Tic.A.Ş.</t>
        </is>
      </c>
      <c r="C1239" s="40" t="inlineStr">
        <is>
          <t>TRY</t>
        </is>
      </c>
      <c r="D1239" s="40" t="inlineStr">
        <is>
          <t>ROYAL ALHAMBRA</t>
        </is>
      </c>
      <c r="E1239" s="38" t="n">
        <v>0</v>
      </c>
      <c r="F1239" s="38" t="n">
        <v>84444.02</v>
      </c>
      <c r="G1239" s="38" t="n">
        <v>-84444.02</v>
      </c>
      <c r="H1239" s="40" t="inlineStr">
        <is>
          <t>Alacak</t>
        </is>
      </c>
      <c r="I1239" s="38" t="n">
        <v>0</v>
      </c>
      <c r="J1239" s="38" t="n">
        <v>84444.02</v>
      </c>
      <c r="K1239" s="38" t="n">
        <v>-84444.02</v>
      </c>
      <c r="L1239" s="40" t="inlineStr">
        <is>
          <t>Alacak</t>
        </is>
      </c>
    </row>
    <row r="1240" s="34">
      <c r="A1240" s="40" t="inlineStr">
        <is>
          <t>320.01.01.E024</t>
        </is>
      </c>
      <c r="B1240" s="40" t="inlineStr">
        <is>
          <t>Ekiphan Otel Ekipm.Paz.Turz.San.Tic.A.Ş.</t>
        </is>
      </c>
      <c r="C1240" s="40" t="inlineStr">
        <is>
          <t>TRY</t>
        </is>
      </c>
      <c r="D1240" s="40" t="inlineStr">
        <is>
          <t>ROYAL DRAGON</t>
        </is>
      </c>
      <c r="E1240" s="38" t="n">
        <v>0</v>
      </c>
      <c r="F1240" s="38" t="n">
        <v>34905.76</v>
      </c>
      <c r="G1240" s="38" t="n">
        <v>-34905.76</v>
      </c>
      <c r="H1240" s="40" t="inlineStr">
        <is>
          <t>Alacak</t>
        </is>
      </c>
      <c r="I1240" s="38" t="n">
        <v>0</v>
      </c>
      <c r="J1240" s="38" t="n">
        <v>34905.76</v>
      </c>
      <c r="K1240" s="38" t="n">
        <v>-34905.76</v>
      </c>
      <c r="L1240" s="40" t="inlineStr">
        <is>
          <t>Alacak</t>
        </is>
      </c>
    </row>
    <row r="1241" s="34">
      <c r="A1241" s="40" t="inlineStr">
        <is>
          <t>320.01.01.E024</t>
        </is>
      </c>
      <c r="B1241" s="40" t="inlineStr">
        <is>
          <t>Ekiphan Otel Ekipm.Paz.Turz.San.Tic.A.Ş.</t>
        </is>
      </c>
      <c r="C1241" s="40" t="inlineStr">
        <is>
          <t>TRY</t>
        </is>
      </c>
      <c r="D1241" s="40" t="inlineStr">
        <is>
          <t>ROYAL HOLIDAY</t>
        </is>
      </c>
      <c r="E1241" s="38" t="n">
        <v>0</v>
      </c>
      <c r="F1241" s="38" t="n">
        <v>25494.78</v>
      </c>
      <c r="G1241" s="38" t="n">
        <v>-25494.78</v>
      </c>
      <c r="H1241" s="40" t="inlineStr">
        <is>
          <t>Alacak</t>
        </is>
      </c>
      <c r="I1241" s="38" t="n">
        <v>0</v>
      </c>
      <c r="J1241" s="38" t="n">
        <v>25494.78</v>
      </c>
      <c r="K1241" s="38" t="n">
        <v>-25494.78</v>
      </c>
      <c r="L1241" s="40" t="inlineStr">
        <is>
          <t>Alacak</t>
        </is>
      </c>
    </row>
    <row r="1242" s="34">
      <c r="A1242" s="40" t="inlineStr">
        <is>
          <t>320.01.01.E024</t>
        </is>
      </c>
      <c r="B1242" s="40" t="inlineStr">
        <is>
          <t>Ekiphan Otel Ekipm.Paz.Turz.San.Tic.A.Ş.</t>
        </is>
      </c>
      <c r="C1242" s="40" t="inlineStr">
        <is>
          <t>TRY</t>
        </is>
      </c>
      <c r="D1242" s="40" t="inlineStr">
        <is>
          <t>ROYAL SEGINUS</t>
        </is>
      </c>
      <c r="E1242" s="38" t="n">
        <v>0</v>
      </c>
      <c r="F1242" s="38" t="n">
        <v>100425.19</v>
      </c>
      <c r="G1242" s="38" t="n">
        <v>-100425.19</v>
      </c>
      <c r="H1242" s="40" t="inlineStr">
        <is>
          <t>Alacak</t>
        </is>
      </c>
      <c r="I1242" s="38" t="n">
        <v>0</v>
      </c>
      <c r="J1242" s="38" t="n">
        <v>100425.19</v>
      </c>
      <c r="K1242" s="38" t="n">
        <v>-100425.19</v>
      </c>
      <c r="L1242" s="40" t="inlineStr">
        <is>
          <t>Alacak</t>
        </is>
      </c>
    </row>
    <row r="1243" s="34">
      <c r="A1243" s="40" t="inlineStr">
        <is>
          <t>320.01.01.E024</t>
        </is>
      </c>
      <c r="B1243" s="40" t="inlineStr">
        <is>
          <t>Ekiphan Otel Ekipm.Paz.Turz.San.Tic.A.Ş.</t>
        </is>
      </c>
      <c r="C1243" s="40" t="inlineStr">
        <is>
          <t>TRY</t>
        </is>
      </c>
      <c r="D1243" s="40" t="inlineStr">
        <is>
          <t>SERTAŞ MERKEZ</t>
        </is>
      </c>
      <c r="E1243" s="38" t="n">
        <v>7216819.31</v>
      </c>
      <c r="F1243" s="38" t="n">
        <v>0</v>
      </c>
      <c r="G1243" s="38" t="n">
        <v>7216819.31</v>
      </c>
      <c r="H1243" s="40" t="inlineStr">
        <is>
          <t>Borç</t>
        </is>
      </c>
      <c r="I1243" s="38" t="n">
        <v>7216819.31</v>
      </c>
      <c r="J1243" s="38" t="n">
        <v>0</v>
      </c>
      <c r="K1243" s="38" t="n">
        <v>7216819.31</v>
      </c>
      <c r="L1243" s="40" t="inlineStr">
        <is>
          <t>Borç</t>
        </is>
      </c>
    </row>
    <row r="1244" s="34">
      <c r="A1244" s="40" t="inlineStr">
        <is>
          <t>320.01.01.E031</t>
        </is>
      </c>
      <c r="B1244" s="40" t="inlineStr">
        <is>
          <t>Ekvator Gübre Zirai İlaç Tarım Ürünleri</t>
        </is>
      </c>
      <c r="C1244" s="40" t="inlineStr">
        <is>
          <t>TRY</t>
        </is>
      </c>
      <c r="D1244" s="40" t="inlineStr">
        <is>
          <t>ROYAL ADAM EVE</t>
        </is>
      </c>
      <c r="E1244" s="38" t="n">
        <v>14400</v>
      </c>
      <c r="F1244" s="38" t="n">
        <v>0</v>
      </c>
      <c r="G1244" s="38" t="n">
        <v>14400</v>
      </c>
      <c r="H1244" s="40" t="inlineStr">
        <is>
          <t>Borç</t>
        </is>
      </c>
      <c r="I1244" s="38" t="n">
        <v>14400</v>
      </c>
      <c r="J1244" s="38" t="n">
        <v>0</v>
      </c>
      <c r="K1244" s="38" t="n">
        <v>14400</v>
      </c>
      <c r="L1244" s="40" t="inlineStr">
        <is>
          <t>Borç</t>
        </is>
      </c>
    </row>
    <row r="1245" s="34">
      <c r="A1245" s="40" t="inlineStr">
        <is>
          <t>320.01.01.E031</t>
        </is>
      </c>
      <c r="B1245" s="40" t="inlineStr">
        <is>
          <t>Ekvator Gübre Zirai İlaç Tarım Ürünleri</t>
        </is>
      </c>
      <c r="C1245" s="40" t="inlineStr">
        <is>
          <t>TRY</t>
        </is>
      </c>
      <c r="D1245" s="40" t="inlineStr">
        <is>
          <t>ROYAL HOLIDAY</t>
        </is>
      </c>
      <c r="E1245" s="38" t="n">
        <v>0</v>
      </c>
      <c r="F1245" s="38" t="n">
        <v>4320</v>
      </c>
      <c r="G1245" s="38" t="n">
        <v>-4320</v>
      </c>
      <c r="H1245" s="40" t="inlineStr">
        <is>
          <t>Alacak</t>
        </is>
      </c>
      <c r="I1245" s="38" t="n">
        <v>0</v>
      </c>
      <c r="J1245" s="38" t="n">
        <v>4320</v>
      </c>
      <c r="K1245" s="38" t="n">
        <v>-4320</v>
      </c>
      <c r="L1245" s="40" t="inlineStr">
        <is>
          <t>Alacak</t>
        </is>
      </c>
    </row>
    <row r="1246" s="34">
      <c r="A1246" s="40" t="inlineStr">
        <is>
          <t>320.01.01.E031</t>
        </is>
      </c>
      <c r="B1246" s="40" t="inlineStr">
        <is>
          <t>Ekvator Gübre Zirai İlaç Tarım Ürünleri</t>
        </is>
      </c>
      <c r="C1246" s="40" t="inlineStr">
        <is>
          <t>TRY</t>
        </is>
      </c>
      <c r="D1246" s="40" t="inlineStr">
        <is>
          <t>SERTAŞ MERKEZ</t>
        </is>
      </c>
      <c r="E1246" s="38" t="n">
        <v>22535.5</v>
      </c>
      <c r="F1246" s="38" t="n">
        <v>0</v>
      </c>
      <c r="G1246" s="38" t="n">
        <v>22535.5</v>
      </c>
      <c r="H1246" s="40" t="inlineStr">
        <is>
          <t>Borç</t>
        </is>
      </c>
      <c r="I1246" s="38" t="n">
        <v>22535.5</v>
      </c>
      <c r="J1246" s="38" t="n">
        <v>0</v>
      </c>
      <c r="K1246" s="38" t="n">
        <v>22535.5</v>
      </c>
      <c r="L1246" s="40" t="inlineStr">
        <is>
          <t>Borç</t>
        </is>
      </c>
    </row>
    <row r="1247" s="34">
      <c r="A1247" s="40" t="inlineStr">
        <is>
          <t>320.01.01.E041</t>
        </is>
      </c>
      <c r="B1247" s="40" t="inlineStr">
        <is>
          <t>Elka Grup Otomasyon Kont.Sis.San.Tic.Ltd</t>
        </is>
      </c>
      <c r="C1247" s="40" t="inlineStr">
        <is>
          <t>TRY</t>
        </is>
      </c>
      <c r="D1247" s="40" t="inlineStr">
        <is>
          <t>GİTAŞ MERKEZ</t>
        </is>
      </c>
      <c r="E1247" s="38" t="n">
        <v>70557.7</v>
      </c>
      <c r="F1247" s="38" t="n">
        <v>0</v>
      </c>
      <c r="G1247" s="38" t="n">
        <v>70557.7</v>
      </c>
      <c r="H1247" s="40" t="inlineStr">
        <is>
          <t>Borç</t>
        </is>
      </c>
      <c r="I1247" s="38" t="n">
        <v>70557.7</v>
      </c>
      <c r="J1247" s="38" t="n">
        <v>0</v>
      </c>
      <c r="K1247" s="38" t="n">
        <v>70557.7</v>
      </c>
      <c r="L1247" s="40" t="inlineStr">
        <is>
          <t>Borç</t>
        </is>
      </c>
    </row>
    <row r="1248" s="34">
      <c r="A1248" s="40" t="inlineStr">
        <is>
          <t>320.01.01.E042</t>
        </is>
      </c>
      <c r="B1248" s="40" t="inlineStr">
        <is>
          <t>Elif Turizm Ticaret İşl. A.Ş.</t>
        </is>
      </c>
      <c r="C1248" s="40" t="inlineStr">
        <is>
          <t>TRY</t>
        </is>
      </c>
      <c r="D1248" s="40" t="inlineStr">
        <is>
          <t>SERTAŞ MERKEZ</t>
        </is>
      </c>
      <c r="E1248" s="38" t="n">
        <v>21196.37</v>
      </c>
      <c r="F1248" s="38" t="n">
        <v>0</v>
      </c>
      <c r="G1248" s="38" t="n">
        <v>21196.37</v>
      </c>
      <c r="H1248" s="40" t="inlineStr">
        <is>
          <t>Borç</t>
        </is>
      </c>
      <c r="I1248" s="38" t="n">
        <v>21196.37</v>
      </c>
      <c r="J1248" s="38" t="n">
        <v>0</v>
      </c>
      <c r="K1248" s="38" t="n">
        <v>21196.37</v>
      </c>
      <c r="L1248" s="40" t="inlineStr">
        <is>
          <t>Borç</t>
        </is>
      </c>
    </row>
    <row r="1249" s="34">
      <c r="A1249" s="40" t="inlineStr">
        <is>
          <t>320.01.01.E051</t>
        </is>
      </c>
      <c r="B1249" s="40" t="inlineStr">
        <is>
          <t>Emr Grup Alanya End.Ltd.Şti</t>
        </is>
      </c>
      <c r="C1249" s="40" t="inlineStr">
        <is>
          <t>TRY</t>
        </is>
      </c>
      <c r="D1249" s="40" t="inlineStr">
        <is>
          <t>GİTAŞ MERKEZ</t>
        </is>
      </c>
      <c r="E1249" s="38" t="n">
        <v>154875.94</v>
      </c>
      <c r="F1249" s="38" t="n">
        <v>0</v>
      </c>
      <c r="G1249" s="38" t="n">
        <v>154875.94</v>
      </c>
      <c r="H1249" s="40" t="inlineStr">
        <is>
          <t>Borç</t>
        </is>
      </c>
      <c r="I1249" s="38" t="n">
        <v>0</v>
      </c>
      <c r="J1249" s="38" t="n">
        <v>0</v>
      </c>
      <c r="K1249" s="38" t="n">
        <v>0</v>
      </c>
    </row>
    <row r="1250" s="34">
      <c r="A1250" s="40" t="inlineStr">
        <is>
          <t>320.01.01.E056</t>
        </is>
      </c>
      <c r="B1250" s="40" t="inlineStr">
        <is>
          <t>Enerya Antalya Gaz Dağ.A.Ş.</t>
        </is>
      </c>
      <c r="C1250" s="40" t="inlineStr">
        <is>
          <t>TRY</t>
        </is>
      </c>
      <c r="D1250" s="40" t="inlineStr">
        <is>
          <t>ROYAL ADAM EVE</t>
        </is>
      </c>
      <c r="E1250" s="38" t="n">
        <v>1387780</v>
      </c>
      <c r="F1250" s="38" t="n">
        <v>0</v>
      </c>
      <c r="G1250" s="38" t="n">
        <v>1387780</v>
      </c>
      <c r="H1250" s="40" t="inlineStr">
        <is>
          <t>Borç</t>
        </is>
      </c>
      <c r="I1250" s="38" t="n">
        <v>1387780</v>
      </c>
      <c r="J1250" s="38" t="n">
        <v>0</v>
      </c>
      <c r="K1250" s="38" t="n">
        <v>1387780</v>
      </c>
      <c r="L1250" s="40" t="inlineStr">
        <is>
          <t>Borç</t>
        </is>
      </c>
    </row>
    <row r="1251" s="34">
      <c r="A1251" s="40" t="inlineStr">
        <is>
          <t>320.01.01.E056</t>
        </is>
      </c>
      <c r="B1251" s="40" t="inlineStr">
        <is>
          <t>Enerya Antalya Gaz Dağ.A.Ş.</t>
        </is>
      </c>
      <c r="C1251" s="40" t="inlineStr">
        <is>
          <t>TRY</t>
        </is>
      </c>
      <c r="D1251" s="40" t="inlineStr">
        <is>
          <t>SERTAŞ MERKEZ</t>
        </is>
      </c>
      <c r="E1251" s="38" t="n">
        <v>2072120</v>
      </c>
      <c r="F1251" s="38" t="n">
        <v>0</v>
      </c>
      <c r="G1251" s="38" t="n">
        <v>2072120</v>
      </c>
      <c r="H1251" s="40" t="inlineStr">
        <is>
          <t>Borç</t>
        </is>
      </c>
      <c r="I1251" s="38" t="n">
        <v>2072120</v>
      </c>
      <c r="J1251" s="38" t="n">
        <v>0</v>
      </c>
      <c r="K1251" s="38" t="n">
        <v>2072120</v>
      </c>
      <c r="L1251" s="40" t="inlineStr">
        <is>
          <t>Borç</t>
        </is>
      </c>
    </row>
    <row r="1252" s="34">
      <c r="A1252" s="40" t="inlineStr">
        <is>
          <t>320.01.01.E058</t>
        </is>
      </c>
      <c r="B1252" s="40" t="inlineStr">
        <is>
          <t>Enver Ticaret Yapı Malz.Ltd.Şti.</t>
        </is>
      </c>
      <c r="C1252" s="40" t="inlineStr">
        <is>
          <t>TRY</t>
        </is>
      </c>
      <c r="D1252" s="40" t="inlineStr">
        <is>
          <t>ROYAL ADAM EVE</t>
        </is>
      </c>
      <c r="E1252" s="38" t="n">
        <v>88662.34</v>
      </c>
      <c r="F1252" s="38" t="n">
        <v>0</v>
      </c>
      <c r="G1252" s="38" t="n">
        <v>88662.34</v>
      </c>
      <c r="H1252" s="40" t="inlineStr">
        <is>
          <t>Borç</t>
        </is>
      </c>
      <c r="I1252" s="38" t="n">
        <v>88662.34</v>
      </c>
      <c r="J1252" s="38" t="n">
        <v>0</v>
      </c>
      <c r="K1252" s="38" t="n">
        <v>88662.34</v>
      </c>
      <c r="L1252" s="40" t="inlineStr">
        <is>
          <t>Borç</t>
        </is>
      </c>
    </row>
    <row r="1253" s="34">
      <c r="A1253" s="40" t="inlineStr">
        <is>
          <t>320.01.01.E058</t>
        </is>
      </c>
      <c r="B1253" s="40" t="inlineStr">
        <is>
          <t>Enver Ticaret Yapı Malz.Ltd.Şti.</t>
        </is>
      </c>
      <c r="C1253" s="40" t="inlineStr">
        <is>
          <t>TRY</t>
        </is>
      </c>
      <c r="D1253" s="40" t="inlineStr">
        <is>
          <t>ROYAL HOLIDAY</t>
        </is>
      </c>
      <c r="E1253" s="38" t="n">
        <v>0</v>
      </c>
      <c r="F1253" s="38" t="n">
        <v>18259.44</v>
      </c>
      <c r="G1253" s="38" t="n">
        <v>-18259.44</v>
      </c>
      <c r="H1253" s="40" t="inlineStr">
        <is>
          <t>Alacak</t>
        </is>
      </c>
      <c r="I1253" s="38" t="n">
        <v>0</v>
      </c>
      <c r="J1253" s="38" t="n">
        <v>18259.44</v>
      </c>
      <c r="K1253" s="38" t="n">
        <v>-18259.44</v>
      </c>
      <c r="L1253" s="40" t="inlineStr">
        <is>
          <t>Alacak</t>
        </is>
      </c>
    </row>
    <row r="1254" s="34">
      <c r="A1254" s="40" t="inlineStr">
        <is>
          <t>320.01.01.E058</t>
        </is>
      </c>
      <c r="B1254" s="40" t="inlineStr">
        <is>
          <t>Enver Ticaret Yapı Malz.Ltd.Şti.</t>
        </is>
      </c>
      <c r="C1254" s="40" t="inlineStr">
        <is>
          <t>TRY</t>
        </is>
      </c>
      <c r="D1254" s="40" t="inlineStr">
        <is>
          <t>ROYAL SEGINUS</t>
        </is>
      </c>
      <c r="E1254" s="38" t="n">
        <v>0</v>
      </c>
      <c r="F1254" s="38" t="n">
        <v>23663.7</v>
      </c>
      <c r="G1254" s="38" t="n">
        <v>-23663.7</v>
      </c>
      <c r="H1254" s="40" t="inlineStr">
        <is>
          <t>Alacak</t>
        </is>
      </c>
      <c r="I1254" s="38" t="n">
        <v>0</v>
      </c>
      <c r="J1254" s="38" t="n">
        <v>23663.7</v>
      </c>
      <c r="K1254" s="38" t="n">
        <v>-23663.7</v>
      </c>
      <c r="L1254" s="40" t="inlineStr">
        <is>
          <t>Alacak</t>
        </is>
      </c>
    </row>
    <row r="1255" s="34">
      <c r="A1255" s="40" t="inlineStr">
        <is>
          <t>320.01.01.E058</t>
        </is>
      </c>
      <c r="B1255" s="40" t="inlineStr">
        <is>
          <t>Enver Ticaret Yapı Malz.Ltd.Şti.</t>
        </is>
      </c>
      <c r="C1255" s="40" t="inlineStr">
        <is>
          <t>TRY</t>
        </is>
      </c>
      <c r="D1255" s="40" t="inlineStr">
        <is>
          <t>SERTAŞ MERKEZ</t>
        </is>
      </c>
      <c r="E1255" s="38" t="n">
        <v>53987.1</v>
      </c>
      <c r="F1255" s="38" t="n">
        <v>0</v>
      </c>
      <c r="G1255" s="38" t="n">
        <v>53987.1</v>
      </c>
      <c r="H1255" s="40" t="inlineStr">
        <is>
          <t>Borç</t>
        </is>
      </c>
      <c r="I1255" s="38" t="n">
        <v>53987.1</v>
      </c>
      <c r="J1255" s="38" t="n">
        <v>0</v>
      </c>
      <c r="K1255" s="38" t="n">
        <v>53987.1</v>
      </c>
      <c r="L1255" s="40" t="inlineStr">
        <is>
          <t>Borç</t>
        </is>
      </c>
    </row>
    <row r="1256" s="34">
      <c r="A1256" s="40" t="inlineStr">
        <is>
          <t>320.01.01.E071</t>
        </is>
      </c>
      <c r="B1256" s="40" t="inlineStr">
        <is>
          <t>Erciyes Kırts.Büro Malz.San.Tic.Ltd.Şti</t>
        </is>
      </c>
      <c r="C1256" s="40" t="inlineStr">
        <is>
          <t>TRY</t>
        </is>
      </c>
      <c r="D1256" s="40" t="inlineStr">
        <is>
          <t>GİTAŞ MERKEZ</t>
        </is>
      </c>
      <c r="E1256" s="38" t="n">
        <v>40647</v>
      </c>
      <c r="F1256" s="38" t="n">
        <v>0</v>
      </c>
      <c r="G1256" s="38" t="n">
        <v>40647</v>
      </c>
      <c r="H1256" s="40" t="inlineStr">
        <is>
          <t>Borç</t>
        </is>
      </c>
      <c r="I1256" s="38" t="n">
        <v>40647</v>
      </c>
      <c r="J1256" s="38" t="n">
        <v>0</v>
      </c>
      <c r="K1256" s="38" t="n">
        <v>40647</v>
      </c>
      <c r="L1256" s="40" t="inlineStr">
        <is>
          <t>Borç</t>
        </is>
      </c>
    </row>
    <row r="1257" s="34">
      <c r="A1257" s="40" t="inlineStr">
        <is>
          <t>320.01.01.E071</t>
        </is>
      </c>
      <c r="B1257" s="40" t="inlineStr">
        <is>
          <t>Erciyes Kırts.Büro Malz.San.Tic.Ltd.Şti</t>
        </is>
      </c>
      <c r="C1257" s="40" t="inlineStr">
        <is>
          <t>TRY</t>
        </is>
      </c>
      <c r="D1257" s="40" t="inlineStr">
        <is>
          <t>ROYAL ADAM EVE</t>
        </is>
      </c>
      <c r="E1257" s="38" t="n">
        <v>4314</v>
      </c>
      <c r="F1257" s="38" t="n">
        <v>0</v>
      </c>
      <c r="G1257" s="38" t="n">
        <v>4314</v>
      </c>
      <c r="H1257" s="40" t="inlineStr">
        <is>
          <t>Borç</t>
        </is>
      </c>
      <c r="I1257" s="38" t="n">
        <v>4314</v>
      </c>
      <c r="J1257" s="38" t="n">
        <v>0</v>
      </c>
      <c r="K1257" s="38" t="n">
        <v>4314</v>
      </c>
      <c r="L1257" s="40" t="inlineStr">
        <is>
          <t>Borç</t>
        </is>
      </c>
    </row>
    <row r="1258" s="34">
      <c r="A1258" s="40" t="inlineStr">
        <is>
          <t>320.01.01.E071</t>
        </is>
      </c>
      <c r="B1258" s="40" t="inlineStr">
        <is>
          <t>Erciyes Kırts.Büro Malz.San.Tic.Ltd.Şti</t>
        </is>
      </c>
      <c r="C1258" s="40" t="inlineStr">
        <is>
          <t>TRY</t>
        </is>
      </c>
      <c r="D1258" s="40" t="inlineStr">
        <is>
          <t>SERTAŞ MERKEZ</t>
        </is>
      </c>
      <c r="E1258" s="38" t="n">
        <v>7397.4</v>
      </c>
      <c r="F1258" s="38" t="n">
        <v>0</v>
      </c>
      <c r="G1258" s="38" t="n">
        <v>7397.4</v>
      </c>
      <c r="H1258" s="40" t="inlineStr">
        <is>
          <t>Borç</t>
        </is>
      </c>
      <c r="I1258" s="38" t="n">
        <v>7397.4</v>
      </c>
      <c r="J1258" s="38" t="n">
        <v>0</v>
      </c>
      <c r="K1258" s="38" t="n">
        <v>7397.4</v>
      </c>
      <c r="L1258" s="40" t="inlineStr">
        <is>
          <t>Borç</t>
        </is>
      </c>
    </row>
    <row r="1259" s="34">
      <c r="A1259" s="40" t="inlineStr">
        <is>
          <t>320.01.01.E097</t>
        </is>
      </c>
      <c r="B1259" s="40" t="inlineStr">
        <is>
          <t>Erpa İhtiyaç Maddeleri Dağıtım Turizm İnşaat Gıda Ticaret Limited Şirketi</t>
        </is>
      </c>
      <c r="C1259" s="40" t="inlineStr">
        <is>
          <t>TRY</t>
        </is>
      </c>
      <c r="D1259" s="40" t="inlineStr">
        <is>
          <t>ROYAL ALHAMBRA</t>
        </is>
      </c>
      <c r="E1259" s="38" t="n">
        <v>0</v>
      </c>
      <c r="F1259" s="38" t="n">
        <v>10415.63</v>
      </c>
      <c r="G1259" s="38" t="n">
        <v>-10415.63</v>
      </c>
      <c r="H1259" s="40" t="inlineStr">
        <is>
          <t>Alacak</t>
        </is>
      </c>
      <c r="I1259" s="38" t="n">
        <v>0</v>
      </c>
      <c r="J1259" s="38" t="n">
        <v>10415.63</v>
      </c>
      <c r="K1259" s="38" t="n">
        <v>-10415.63</v>
      </c>
      <c r="L1259" s="40" t="inlineStr">
        <is>
          <t>Alacak</t>
        </is>
      </c>
    </row>
    <row r="1260" s="34">
      <c r="A1260" s="40" t="inlineStr">
        <is>
          <t>320.01.01.E097</t>
        </is>
      </c>
      <c r="B1260" s="40" t="inlineStr">
        <is>
          <t>Erpa İhtiyaç Maddeleri Dağıtım Turizm İnşaat Gıda Ticaret Limited Şirketi</t>
        </is>
      </c>
      <c r="C1260" s="40" t="inlineStr">
        <is>
          <t>TRY</t>
        </is>
      </c>
      <c r="D1260" s="40" t="inlineStr">
        <is>
          <t>ROYAL HOLIDAY</t>
        </is>
      </c>
      <c r="E1260" s="38" t="n">
        <v>0</v>
      </c>
      <c r="F1260" s="38" t="n">
        <v>6249.38</v>
      </c>
      <c r="G1260" s="38" t="n">
        <v>-6249.38</v>
      </c>
      <c r="H1260" s="40" t="inlineStr">
        <is>
          <t>Alacak</t>
        </is>
      </c>
      <c r="I1260" s="38" t="n">
        <v>0</v>
      </c>
      <c r="J1260" s="38" t="n">
        <v>6249.38</v>
      </c>
      <c r="K1260" s="38" t="n">
        <v>-6249.38</v>
      </c>
      <c r="L1260" s="40" t="inlineStr">
        <is>
          <t>Alacak</t>
        </is>
      </c>
    </row>
    <row r="1261" s="34">
      <c r="A1261" s="40" t="inlineStr">
        <is>
          <t>320.01.01.E108</t>
        </is>
      </c>
      <c r="B1261" s="40" t="inlineStr">
        <is>
          <t>Everfresh Tarım Ürünleri Gıda İth.İhr.Tic.San.Ltd.Şti.</t>
        </is>
      </c>
      <c r="C1261" s="40" t="inlineStr">
        <is>
          <t>TRY</t>
        </is>
      </c>
      <c r="D1261" s="40" t="inlineStr">
        <is>
          <t>GİTAŞ MERKEZ</t>
        </is>
      </c>
      <c r="E1261" s="38" t="n">
        <v>52459.4</v>
      </c>
      <c r="F1261" s="38" t="n">
        <v>0</v>
      </c>
      <c r="G1261" s="38" t="n">
        <v>52459.4</v>
      </c>
      <c r="H1261" s="40" t="inlineStr">
        <is>
          <t>Borç</t>
        </is>
      </c>
      <c r="I1261" s="38" t="n">
        <v>0</v>
      </c>
      <c r="J1261" s="38" t="n">
        <v>0</v>
      </c>
      <c r="K1261" s="38" t="n">
        <v>0</v>
      </c>
    </row>
    <row r="1262" s="34">
      <c r="A1262" s="40" t="inlineStr">
        <is>
          <t>320.01.01.E108</t>
        </is>
      </c>
      <c r="B1262" s="40" t="inlineStr">
        <is>
          <t>Everfresh Tarım Ürünleri Gıda İth.İhr.Tic.San.Ltd.Şti.</t>
        </is>
      </c>
      <c r="C1262" s="40" t="inlineStr">
        <is>
          <t>TRY</t>
        </is>
      </c>
      <c r="D1262" s="40" t="inlineStr">
        <is>
          <t>ROYAL ADAM EVE</t>
        </is>
      </c>
      <c r="E1262" s="38" t="n">
        <v>2878.5</v>
      </c>
      <c r="F1262" s="38" t="n">
        <v>29239.5</v>
      </c>
      <c r="G1262" s="38" t="n">
        <v>-26361</v>
      </c>
      <c r="H1262" s="40" t="inlineStr">
        <is>
          <t>Alacak</t>
        </is>
      </c>
      <c r="I1262" s="38" t="n">
        <v>2878.5</v>
      </c>
      <c r="J1262" s="38" t="n">
        <v>29239.5</v>
      </c>
      <c r="K1262" s="38" t="n">
        <v>-26361</v>
      </c>
      <c r="L1262" s="40" t="inlineStr">
        <is>
          <t>Alacak</t>
        </is>
      </c>
    </row>
    <row r="1263" s="34">
      <c r="A1263" s="40" t="inlineStr">
        <is>
          <t>320.01.01.E108</t>
        </is>
      </c>
      <c r="B1263" s="40" t="inlineStr">
        <is>
          <t>Everfresh Tarım Ürünleri Gıda İth.İhr.Tic.San.Ltd.Şti.</t>
        </is>
      </c>
      <c r="C1263" s="40" t="inlineStr">
        <is>
          <t>TRY</t>
        </is>
      </c>
      <c r="D1263" s="40" t="inlineStr">
        <is>
          <t>ROYAL ALHAMBRA</t>
        </is>
      </c>
      <c r="E1263" s="38" t="n">
        <v>0</v>
      </c>
      <c r="F1263" s="38" t="n">
        <v>82466.5</v>
      </c>
      <c r="G1263" s="38" t="n">
        <v>-82466.5</v>
      </c>
      <c r="H1263" s="40" t="inlineStr">
        <is>
          <t>Alacak</t>
        </is>
      </c>
      <c r="I1263" s="38" t="n">
        <v>0</v>
      </c>
      <c r="J1263" s="38" t="n">
        <v>82466.5</v>
      </c>
      <c r="K1263" s="38" t="n">
        <v>-82466.5</v>
      </c>
      <c r="L1263" s="40" t="inlineStr">
        <is>
          <t>Alacak</t>
        </is>
      </c>
    </row>
    <row r="1264" s="34">
      <c r="A1264" s="40" t="inlineStr">
        <is>
          <t>320.01.01.E108</t>
        </is>
      </c>
      <c r="B1264" s="40" t="inlineStr">
        <is>
          <t>Everfresh Tarım Ürünleri Gıda İth.İhr.Tic.San.Ltd.Şti.</t>
        </is>
      </c>
      <c r="C1264" s="40" t="inlineStr">
        <is>
          <t>TRY</t>
        </is>
      </c>
      <c r="D1264" s="40" t="inlineStr">
        <is>
          <t>ROYAL DRAGON</t>
        </is>
      </c>
      <c r="E1264" s="38" t="n">
        <v>0</v>
      </c>
      <c r="F1264" s="38" t="n">
        <v>35317.18</v>
      </c>
      <c r="G1264" s="38" t="n">
        <v>-35317.18</v>
      </c>
      <c r="H1264" s="40" t="inlineStr">
        <is>
          <t>Alacak</t>
        </is>
      </c>
      <c r="I1264" s="38" t="n">
        <v>0</v>
      </c>
      <c r="J1264" s="38" t="n">
        <v>35317.18</v>
      </c>
      <c r="K1264" s="38" t="n">
        <v>-35317.18</v>
      </c>
      <c r="L1264" s="40" t="inlineStr">
        <is>
          <t>Alacak</t>
        </is>
      </c>
    </row>
    <row r="1265" s="34">
      <c r="A1265" s="40" t="inlineStr">
        <is>
          <t>320.01.01.E108</t>
        </is>
      </c>
      <c r="B1265" s="40" t="inlineStr">
        <is>
          <t>Everfresh Tarım Ürünleri Gıda İth.İhr.Tic.San.Ltd.Şti.</t>
        </is>
      </c>
      <c r="C1265" s="40" t="inlineStr">
        <is>
          <t>TRY</t>
        </is>
      </c>
      <c r="D1265" s="40" t="inlineStr">
        <is>
          <t>ROYAL HOLIDAY</t>
        </is>
      </c>
      <c r="E1265" s="38" t="n">
        <v>3336</v>
      </c>
      <c r="F1265" s="38" t="n">
        <v>23384.03</v>
      </c>
      <c r="G1265" s="38" t="n">
        <v>-20048.03</v>
      </c>
      <c r="H1265" s="40" t="inlineStr">
        <is>
          <t>Alacak</t>
        </is>
      </c>
      <c r="I1265" s="38" t="n">
        <v>3336</v>
      </c>
      <c r="J1265" s="38" t="n">
        <v>23384.03</v>
      </c>
      <c r="K1265" s="38" t="n">
        <v>-20048.03</v>
      </c>
      <c r="L1265" s="40" t="inlineStr">
        <is>
          <t>Alacak</t>
        </is>
      </c>
    </row>
    <row r="1266" s="34">
      <c r="A1266" s="40" t="inlineStr">
        <is>
          <t>320.01.01.E108</t>
        </is>
      </c>
      <c r="B1266" s="40" t="inlineStr">
        <is>
          <t>Everfresh Tarım Ürünleri Gıda İth.İhr.Tic.San.Ltd.Şti.</t>
        </is>
      </c>
      <c r="C1266" s="40" t="inlineStr">
        <is>
          <t>TRY</t>
        </is>
      </c>
      <c r="D1266" s="40" t="inlineStr">
        <is>
          <t>ROYAL SEGINUS</t>
        </is>
      </c>
      <c r="E1266" s="38" t="n">
        <v>0</v>
      </c>
      <c r="F1266" s="38" t="n">
        <v>64155.2</v>
      </c>
      <c r="G1266" s="38" t="n">
        <v>-64155.2</v>
      </c>
      <c r="H1266" s="40" t="inlineStr">
        <is>
          <t>Alacak</t>
        </is>
      </c>
      <c r="I1266" s="38" t="n">
        <v>0</v>
      </c>
      <c r="J1266" s="38" t="n">
        <v>64155.2</v>
      </c>
      <c r="K1266" s="38" t="n">
        <v>-64155.2</v>
      </c>
      <c r="L1266" s="40" t="inlineStr">
        <is>
          <t>Alacak</t>
        </is>
      </c>
    </row>
    <row r="1267" s="34">
      <c r="A1267" s="40" t="inlineStr">
        <is>
          <t>320.01.01.E108</t>
        </is>
      </c>
      <c r="B1267" s="40" t="inlineStr">
        <is>
          <t>Everfresh Tarım Ürünleri Gıda İth.İhr.Tic.San.Ltd.Şti.</t>
        </is>
      </c>
      <c r="C1267" s="40" t="inlineStr">
        <is>
          <t>TRY</t>
        </is>
      </c>
      <c r="D1267" s="40" t="inlineStr">
        <is>
          <t>SERTAŞ MERKEZ</t>
        </is>
      </c>
      <c r="E1267" s="38" t="n">
        <v>19879.8</v>
      </c>
      <c r="F1267" s="38" t="n">
        <v>0</v>
      </c>
      <c r="G1267" s="38" t="n">
        <v>19879.8</v>
      </c>
      <c r="H1267" s="40" t="inlineStr">
        <is>
          <t>Borç</t>
        </is>
      </c>
      <c r="I1267" s="38" t="n">
        <v>19879.8</v>
      </c>
      <c r="J1267" s="38" t="n">
        <v>0</v>
      </c>
      <c r="K1267" s="38" t="n">
        <v>19879.8</v>
      </c>
      <c r="L1267" s="40" t="inlineStr">
        <is>
          <t>Borç</t>
        </is>
      </c>
    </row>
    <row r="1268" s="34">
      <c r="A1268" s="40" t="inlineStr">
        <is>
          <t>320.01.01.E117</t>
        </is>
      </c>
      <c r="B1268" s="40" t="inlineStr">
        <is>
          <t>Ezer İnsaat Malz.San.Ltd.Şti</t>
        </is>
      </c>
      <c r="C1268" s="40" t="inlineStr">
        <is>
          <t>TRY</t>
        </is>
      </c>
      <c r="D1268" s="40" t="inlineStr">
        <is>
          <t>SERTAŞ MERKEZ</t>
        </is>
      </c>
      <c r="E1268" s="38" t="n">
        <v>6042.71</v>
      </c>
      <c r="F1268" s="38" t="n">
        <v>0</v>
      </c>
      <c r="G1268" s="38" t="n">
        <v>6042.71</v>
      </c>
      <c r="H1268" s="40" t="inlineStr">
        <is>
          <t>Borç</t>
        </is>
      </c>
      <c r="I1268" s="38" t="n">
        <v>6042.71</v>
      </c>
      <c r="J1268" s="38" t="n">
        <v>0</v>
      </c>
      <c r="K1268" s="38" t="n">
        <v>6042.71</v>
      </c>
      <c r="L1268" s="40" t="inlineStr">
        <is>
          <t>Borç</t>
        </is>
      </c>
    </row>
    <row r="1269" s="34">
      <c r="A1269" s="40" t="inlineStr">
        <is>
          <t>320.01.01.E119</t>
        </is>
      </c>
      <c r="B1269" s="40" t="inlineStr">
        <is>
          <t>End Ender Sigorta Aracılık Hizm.Ltd.Şti.</t>
        </is>
      </c>
      <c r="C1269" s="40" t="inlineStr">
        <is>
          <t>TRY</t>
        </is>
      </c>
      <c r="D1269" s="40" t="inlineStr">
        <is>
          <t>GİTAŞ MERKEZ</t>
        </is>
      </c>
      <c r="E1269" s="38" t="n">
        <v>702972.45</v>
      </c>
      <c r="F1269" s="38" t="n">
        <v>11240.12</v>
      </c>
      <c r="G1269" s="38" t="n">
        <v>691732.33</v>
      </c>
      <c r="H1269" s="40" t="inlineStr">
        <is>
          <t>Borç</t>
        </is>
      </c>
      <c r="I1269" s="38" t="n">
        <v>702972.45</v>
      </c>
      <c r="J1269" s="38" t="n">
        <v>11240.12</v>
      </c>
      <c r="K1269" s="38" t="n">
        <v>691732.33</v>
      </c>
      <c r="L1269" s="40" t="inlineStr">
        <is>
          <t>Borç</t>
        </is>
      </c>
    </row>
    <row r="1270" s="34">
      <c r="A1270" s="40" t="inlineStr">
        <is>
          <t>320.01.01.E119</t>
        </is>
      </c>
      <c r="B1270" s="40" t="inlineStr">
        <is>
          <t>End Ender Sigorta Aracılık Hizm.Ltd.Şti.</t>
        </is>
      </c>
      <c r="C1270" s="40" t="inlineStr">
        <is>
          <t>TRY</t>
        </is>
      </c>
      <c r="D1270" s="40" t="inlineStr">
        <is>
          <t>ROYAL ADAM EVE</t>
        </is>
      </c>
      <c r="E1270" s="38" t="n">
        <v>815206</v>
      </c>
      <c r="F1270" s="38" t="n">
        <v>0</v>
      </c>
      <c r="G1270" s="38" t="n">
        <v>815206</v>
      </c>
      <c r="H1270" s="40" t="inlineStr">
        <is>
          <t>Borç</t>
        </is>
      </c>
      <c r="I1270" s="38" t="n">
        <v>815206</v>
      </c>
      <c r="J1270" s="38" t="n">
        <v>0</v>
      </c>
      <c r="K1270" s="38" t="n">
        <v>815206</v>
      </c>
      <c r="L1270" s="40" t="inlineStr">
        <is>
          <t>Borç</t>
        </is>
      </c>
    </row>
    <row r="1271" s="34">
      <c r="A1271" s="40" t="inlineStr">
        <is>
          <t>320.01.01.E119</t>
        </is>
      </c>
      <c r="B1271" s="40" t="inlineStr">
        <is>
          <t>End Ender Sigorta Aracılık Hizm.Ltd.Şti.</t>
        </is>
      </c>
      <c r="C1271" s="40" t="inlineStr">
        <is>
          <t>TRY</t>
        </is>
      </c>
      <c r="D1271" s="40" t="inlineStr">
        <is>
          <t>ROYAL DRAGON</t>
        </is>
      </c>
      <c r="E1271" s="38" t="n">
        <v>1100000</v>
      </c>
      <c r="F1271" s="38" t="n">
        <v>0</v>
      </c>
      <c r="G1271" s="38" t="n">
        <v>1100000</v>
      </c>
      <c r="H1271" s="40" t="inlineStr">
        <is>
          <t>Borç</t>
        </is>
      </c>
      <c r="I1271" s="38" t="n">
        <v>1100000</v>
      </c>
      <c r="J1271" s="38" t="n">
        <v>0</v>
      </c>
      <c r="K1271" s="38" t="n">
        <v>1100000</v>
      </c>
      <c r="L1271" s="40" t="inlineStr">
        <is>
          <t>Borç</t>
        </is>
      </c>
    </row>
    <row r="1272" s="34">
      <c r="A1272" s="40" t="inlineStr">
        <is>
          <t>320.01.01.E119</t>
        </is>
      </c>
      <c r="B1272" s="40" t="inlineStr">
        <is>
          <t>End Ender Sigorta Aracılık Hizm.Ltd.Şti.</t>
        </is>
      </c>
      <c r="C1272" s="40" t="inlineStr">
        <is>
          <t>TRY</t>
        </is>
      </c>
      <c r="D1272" s="40" t="inlineStr">
        <is>
          <t>ROYAL SEGINUS</t>
        </is>
      </c>
      <c r="E1272" s="38" t="n">
        <v>1200000</v>
      </c>
      <c r="F1272" s="38" t="n">
        <v>0</v>
      </c>
      <c r="G1272" s="38" t="n">
        <v>1200000</v>
      </c>
      <c r="H1272" s="40" t="inlineStr">
        <is>
          <t>Borç</t>
        </is>
      </c>
      <c r="I1272" s="38" t="n">
        <v>1200000</v>
      </c>
      <c r="J1272" s="38" t="n">
        <v>0</v>
      </c>
      <c r="K1272" s="38" t="n">
        <v>1200000</v>
      </c>
      <c r="L1272" s="40" t="inlineStr">
        <is>
          <t>Borç</t>
        </is>
      </c>
    </row>
    <row r="1273" s="34">
      <c r="A1273" s="40" t="inlineStr">
        <is>
          <t>320.01.01.E119</t>
        </is>
      </c>
      <c r="B1273" s="40" t="inlineStr">
        <is>
          <t>End Ender Sigorta Aracılık Hizm.Ltd.Şti.</t>
        </is>
      </c>
      <c r="C1273" s="40" t="inlineStr">
        <is>
          <t>TRY</t>
        </is>
      </c>
      <c r="D1273" s="40" t="inlineStr">
        <is>
          <t>SERTAŞ MERKEZ</t>
        </is>
      </c>
      <c r="E1273" s="38" t="n">
        <v>716251.75</v>
      </c>
      <c r="F1273" s="38" t="n">
        <v>0</v>
      </c>
      <c r="G1273" s="38" t="n">
        <v>716251.75</v>
      </c>
      <c r="H1273" s="40" t="inlineStr">
        <is>
          <t>Borç</t>
        </is>
      </c>
      <c r="I1273" s="38" t="n">
        <v>716251.75</v>
      </c>
      <c r="J1273" s="38" t="n">
        <v>0</v>
      </c>
      <c r="K1273" s="38" t="n">
        <v>716251.75</v>
      </c>
      <c r="L1273" s="40" t="inlineStr">
        <is>
          <t>Borç</t>
        </is>
      </c>
    </row>
    <row r="1274" s="34">
      <c r="A1274" s="40" t="inlineStr">
        <is>
          <t>320.01.01.E170</t>
        </is>
      </c>
      <c r="B1274" s="40" t="inlineStr">
        <is>
          <t>Ergül Ertaş/Mavi Peyzaj Peyzaj İşleri Ve Danışmanlığı</t>
        </is>
      </c>
      <c r="C1274" s="40" t="inlineStr">
        <is>
          <t>TRY</t>
        </is>
      </c>
      <c r="D1274" s="40" t="inlineStr">
        <is>
          <t>GİTAŞ MERKEZ</t>
        </is>
      </c>
      <c r="E1274" s="38" t="n">
        <v>23011.2</v>
      </c>
      <c r="F1274" s="38" t="n">
        <v>0</v>
      </c>
      <c r="G1274" s="38" t="n">
        <v>23011.2</v>
      </c>
      <c r="H1274" s="40" t="inlineStr">
        <is>
          <t>Borç</t>
        </is>
      </c>
      <c r="I1274" s="38" t="n">
        <v>0</v>
      </c>
      <c r="J1274" s="38" t="n">
        <v>0</v>
      </c>
      <c r="K1274" s="38" t="n">
        <v>0</v>
      </c>
    </row>
    <row r="1275" s="34">
      <c r="A1275" s="40" t="inlineStr">
        <is>
          <t>320.01.01.E199</t>
        </is>
      </c>
      <c r="B1275" s="40" t="inlineStr">
        <is>
          <t>Erpak Otel Ekipmanları Ambalaj Sanayi Ve Ticaret Ltd.Şti.</t>
        </is>
      </c>
      <c r="C1275" s="40" t="inlineStr">
        <is>
          <t>TRY</t>
        </is>
      </c>
      <c r="D1275" s="40" t="inlineStr">
        <is>
          <t>ROYAL ALHAMBRA</t>
        </is>
      </c>
      <c r="E1275" s="38" t="n">
        <v>0</v>
      </c>
      <c r="F1275" s="38" t="n">
        <v>51075</v>
      </c>
      <c r="G1275" s="38" t="n">
        <v>-51075</v>
      </c>
      <c r="H1275" s="40" t="inlineStr">
        <is>
          <t>Alacak</t>
        </is>
      </c>
      <c r="I1275" s="38" t="n">
        <v>0</v>
      </c>
      <c r="J1275" s="38" t="n">
        <v>51075</v>
      </c>
      <c r="K1275" s="38" t="n">
        <v>-51075</v>
      </c>
      <c r="L1275" s="40" t="inlineStr">
        <is>
          <t>Alacak</t>
        </is>
      </c>
    </row>
    <row r="1276" s="34">
      <c r="A1276" s="40" t="inlineStr">
        <is>
          <t>320.01.01.E199</t>
        </is>
      </c>
      <c r="B1276" s="40" t="inlineStr">
        <is>
          <t>Erpak Otel Ekipmanları Ambalaj Sanayi Ve Ticaret Ltd.Şti.</t>
        </is>
      </c>
      <c r="C1276" s="40" t="inlineStr">
        <is>
          <t>TRY</t>
        </is>
      </c>
      <c r="D1276" s="40" t="inlineStr">
        <is>
          <t>ROYAL DRAGON</t>
        </is>
      </c>
      <c r="E1276" s="38" t="n">
        <v>0</v>
      </c>
      <c r="F1276" s="38" t="n">
        <v>52605</v>
      </c>
      <c r="G1276" s="38" t="n">
        <v>-52605</v>
      </c>
      <c r="H1276" s="40" t="inlineStr">
        <is>
          <t>Alacak</t>
        </is>
      </c>
      <c r="I1276" s="38" t="n">
        <v>0</v>
      </c>
      <c r="J1276" s="38" t="n">
        <v>52605</v>
      </c>
      <c r="K1276" s="38" t="n">
        <v>-52605</v>
      </c>
      <c r="L1276" s="40" t="inlineStr">
        <is>
          <t>Alacak</t>
        </is>
      </c>
    </row>
    <row r="1277" s="34">
      <c r="A1277" s="40" t="inlineStr">
        <is>
          <t>320.01.01.E199</t>
        </is>
      </c>
      <c r="B1277" s="40" t="inlineStr">
        <is>
          <t>Erpak Otel Ekipmanları Ambalaj Sanayi Ve Ticaret Ltd.Şti.</t>
        </is>
      </c>
      <c r="C1277" s="40" t="inlineStr">
        <is>
          <t>TRY</t>
        </is>
      </c>
      <c r="D1277" s="40" t="inlineStr">
        <is>
          <t>ROYAL HOLIDAY</t>
        </is>
      </c>
      <c r="E1277" s="38" t="n">
        <v>0</v>
      </c>
      <c r="F1277" s="38" t="n">
        <v>12987</v>
      </c>
      <c r="G1277" s="38" t="n">
        <v>-12987</v>
      </c>
      <c r="H1277" s="40" t="inlineStr">
        <is>
          <t>Alacak</t>
        </is>
      </c>
      <c r="I1277" s="38" t="n">
        <v>0</v>
      </c>
      <c r="J1277" s="38" t="n">
        <v>12987</v>
      </c>
      <c r="K1277" s="38" t="n">
        <v>-12987</v>
      </c>
      <c r="L1277" s="40" t="inlineStr">
        <is>
          <t>Alacak</t>
        </is>
      </c>
    </row>
    <row r="1278" s="34">
      <c r="A1278" s="40" t="inlineStr">
        <is>
          <t>320.01.01.E199</t>
        </is>
      </c>
      <c r="B1278" s="40" t="inlineStr">
        <is>
          <t>Erpak Otel Ekipmanları Ambalaj Sanayi Ve Ticaret Ltd.Şti.</t>
        </is>
      </c>
      <c r="C1278" s="40" t="inlineStr">
        <is>
          <t>TRY</t>
        </is>
      </c>
      <c r="D1278" s="40" t="inlineStr">
        <is>
          <t>ROYAL SEGINUS</t>
        </is>
      </c>
      <c r="E1278" s="38" t="n">
        <v>55176</v>
      </c>
      <c r="F1278" s="38" t="n">
        <v>7524</v>
      </c>
      <c r="G1278" s="38" t="n">
        <v>47652</v>
      </c>
      <c r="H1278" s="40" t="inlineStr">
        <is>
          <t>Borç</t>
        </is>
      </c>
      <c r="I1278" s="38" t="n">
        <v>55176</v>
      </c>
      <c r="J1278" s="38" t="n">
        <v>7524</v>
      </c>
      <c r="K1278" s="38" t="n">
        <v>47652</v>
      </c>
      <c r="L1278" s="40" t="inlineStr">
        <is>
          <t>Borç</t>
        </is>
      </c>
    </row>
    <row r="1279" s="34">
      <c r="A1279" s="40" t="inlineStr">
        <is>
          <t>320.01.01.E225</t>
        </is>
      </c>
      <c r="B1279" s="40" t="inlineStr">
        <is>
          <t>Ekoza İnternet İnş. Rek. Dağ. Paz. Tic. Ltd. Şti</t>
        </is>
      </c>
      <c r="C1279" s="40" t="inlineStr">
        <is>
          <t>TRY</t>
        </is>
      </c>
      <c r="D1279" s="40" t="inlineStr">
        <is>
          <t>SERTAŞ MERKEZ</t>
        </is>
      </c>
      <c r="E1279" s="38" t="n">
        <v>227871.07</v>
      </c>
      <c r="F1279" s="38" t="n">
        <v>0</v>
      </c>
      <c r="G1279" s="38" t="n">
        <v>227871.07</v>
      </c>
      <c r="H1279" s="40" t="inlineStr">
        <is>
          <t>Borç</t>
        </is>
      </c>
      <c r="I1279" s="38" t="n">
        <v>227871.07</v>
      </c>
      <c r="J1279" s="38" t="n">
        <v>0</v>
      </c>
      <c r="K1279" s="38" t="n">
        <v>227871.07</v>
      </c>
      <c r="L1279" s="40" t="inlineStr">
        <is>
          <t>Borç</t>
        </is>
      </c>
    </row>
    <row r="1280" s="34">
      <c r="A1280" s="40" t="inlineStr">
        <is>
          <t>320.01.01.E226</t>
        </is>
      </c>
      <c r="B1280" s="40" t="inlineStr">
        <is>
          <t>Egfa Elektrik Müh.İnş.İml.Üret.Taah.Tic.San.Ltd.Şti</t>
        </is>
      </c>
      <c r="C1280" s="40" t="inlineStr">
        <is>
          <t>TRY</t>
        </is>
      </c>
      <c r="D1280" s="40" t="inlineStr">
        <is>
          <t>SERTAŞ MERKEZ</t>
        </is>
      </c>
      <c r="E1280" s="38" t="n">
        <v>1919764.82</v>
      </c>
      <c r="F1280" s="38" t="n">
        <v>0</v>
      </c>
      <c r="G1280" s="38" t="n">
        <v>1919764.82</v>
      </c>
      <c r="H1280" s="40" t="inlineStr">
        <is>
          <t>Borç</t>
        </is>
      </c>
      <c r="I1280" s="38" t="n">
        <v>1919764.82</v>
      </c>
      <c r="J1280" s="38" t="n">
        <v>0</v>
      </c>
      <c r="K1280" s="38" t="n">
        <v>1919764.82</v>
      </c>
      <c r="L1280" s="40" t="inlineStr">
        <is>
          <t>Borç</t>
        </is>
      </c>
    </row>
    <row r="1281" s="34">
      <c r="A1281" s="40" t="inlineStr">
        <is>
          <t>320.01.01.F005</t>
        </is>
      </c>
      <c r="B1281" s="40" t="inlineStr">
        <is>
          <t>Fatih Emirdağ - FAEM Elektronik</t>
        </is>
      </c>
      <c r="C1281" s="40" t="inlineStr">
        <is>
          <t>TRY</t>
        </is>
      </c>
      <c r="D1281" s="40" t="inlineStr">
        <is>
          <t>ROYAL ADAM EVE</t>
        </is>
      </c>
      <c r="E1281" s="38" t="n">
        <v>6738.1</v>
      </c>
      <c r="F1281" s="38" t="n">
        <v>6738.1</v>
      </c>
      <c r="G1281" s="38" t="n">
        <v>0</v>
      </c>
      <c r="I1281" s="38" t="n">
        <v>6738.1</v>
      </c>
      <c r="J1281" s="38" t="n">
        <v>6738.1</v>
      </c>
      <c r="K1281" s="38" t="n">
        <v>0</v>
      </c>
    </row>
    <row r="1282" s="34">
      <c r="A1282" s="40" t="inlineStr">
        <is>
          <t>320.01.01.F010</t>
        </is>
      </c>
      <c r="B1282" s="40" t="inlineStr">
        <is>
          <t>Farga Gıda Zeytincilik Sanayi Ve Ticaret</t>
        </is>
      </c>
      <c r="C1282" s="40" t="inlineStr">
        <is>
          <t>TRY</t>
        </is>
      </c>
      <c r="D1282" s="40" t="inlineStr">
        <is>
          <t>GİTAŞ MERKEZ</t>
        </is>
      </c>
      <c r="E1282" s="38" t="n">
        <v>100192</v>
      </c>
      <c r="F1282" s="38" t="n">
        <v>0</v>
      </c>
      <c r="G1282" s="38" t="n">
        <v>100192</v>
      </c>
      <c r="H1282" s="40" t="inlineStr">
        <is>
          <t>Borç</t>
        </is>
      </c>
      <c r="I1282" s="38" t="n">
        <v>0</v>
      </c>
      <c r="J1282" s="38" t="n">
        <v>0</v>
      </c>
      <c r="K1282" s="38" t="n">
        <v>0</v>
      </c>
    </row>
    <row r="1283" s="34">
      <c r="A1283" s="40" t="inlineStr">
        <is>
          <t>320.01.01.F010</t>
        </is>
      </c>
      <c r="B1283" s="40" t="inlineStr">
        <is>
          <t>Farga Gıda Zeytincilik Sanayi Ve Ticaret</t>
        </is>
      </c>
      <c r="C1283" s="40" t="inlineStr">
        <is>
          <t>TRY</t>
        </is>
      </c>
      <c r="D1283" s="40" t="inlineStr">
        <is>
          <t>ROYAL ADAM EVE</t>
        </is>
      </c>
      <c r="E1283" s="38" t="n">
        <v>43834</v>
      </c>
      <c r="F1283" s="38" t="n">
        <v>0</v>
      </c>
      <c r="G1283" s="38" t="n">
        <v>43834</v>
      </c>
      <c r="H1283" s="40" t="inlineStr">
        <is>
          <t>Borç</t>
        </is>
      </c>
      <c r="I1283" s="38" t="n">
        <v>43834</v>
      </c>
      <c r="J1283" s="38" t="n">
        <v>0</v>
      </c>
      <c r="K1283" s="38" t="n">
        <v>43834</v>
      </c>
      <c r="L1283" s="40" t="inlineStr">
        <is>
          <t>Borç</t>
        </is>
      </c>
    </row>
    <row r="1284" s="34">
      <c r="A1284" s="40" t="inlineStr">
        <is>
          <t>320.01.01.F010</t>
        </is>
      </c>
      <c r="B1284" s="40" t="inlineStr">
        <is>
          <t>Farga Gıda Zeytincilik Sanayi Ve Ticaret</t>
        </is>
      </c>
      <c r="C1284" s="40" t="inlineStr">
        <is>
          <t>TRY</t>
        </is>
      </c>
      <c r="D1284" s="40" t="inlineStr">
        <is>
          <t>ROYAL ALHAMBRA</t>
        </is>
      </c>
      <c r="E1284" s="38" t="n">
        <v>0</v>
      </c>
      <c r="F1284" s="38" t="n">
        <v>62620</v>
      </c>
      <c r="G1284" s="38" t="n">
        <v>-62620</v>
      </c>
      <c r="H1284" s="40" t="inlineStr">
        <is>
          <t>Alacak</t>
        </is>
      </c>
      <c r="I1284" s="38" t="n">
        <v>0</v>
      </c>
      <c r="J1284" s="38" t="n">
        <v>62620</v>
      </c>
      <c r="K1284" s="38" t="n">
        <v>-62620</v>
      </c>
      <c r="L1284" s="40" t="inlineStr">
        <is>
          <t>Alacak</t>
        </is>
      </c>
    </row>
    <row r="1285" s="34">
      <c r="A1285" s="40" t="inlineStr">
        <is>
          <t>320.01.01.F010</t>
        </is>
      </c>
      <c r="B1285" s="40" t="inlineStr">
        <is>
          <t>Farga Gıda Zeytincilik Sanayi Ve Ticaret</t>
        </is>
      </c>
      <c r="C1285" s="40" t="inlineStr">
        <is>
          <t>TRY</t>
        </is>
      </c>
      <c r="D1285" s="40" t="inlineStr">
        <is>
          <t>ROYAL DRAGON</t>
        </is>
      </c>
      <c r="E1285" s="38" t="n">
        <v>0</v>
      </c>
      <c r="F1285" s="38" t="n">
        <v>31310</v>
      </c>
      <c r="G1285" s="38" t="n">
        <v>-31310</v>
      </c>
      <c r="H1285" s="40" t="inlineStr">
        <is>
          <t>Alacak</t>
        </is>
      </c>
      <c r="I1285" s="38" t="n">
        <v>0</v>
      </c>
      <c r="J1285" s="38" t="n">
        <v>31310</v>
      </c>
      <c r="K1285" s="38" t="n">
        <v>-31310</v>
      </c>
      <c r="L1285" s="40" t="inlineStr">
        <is>
          <t>Alacak</t>
        </is>
      </c>
    </row>
    <row r="1286" s="34">
      <c r="A1286" s="40" t="inlineStr">
        <is>
          <t>320.01.01.F010</t>
        </is>
      </c>
      <c r="B1286" s="40" t="inlineStr">
        <is>
          <t>Farga Gıda Zeytincilik Sanayi Ve Ticaret</t>
        </is>
      </c>
      <c r="C1286" s="40" t="inlineStr">
        <is>
          <t>TRY</t>
        </is>
      </c>
      <c r="D1286" s="40" t="inlineStr">
        <is>
          <t>ROYAL HOLIDAY</t>
        </is>
      </c>
      <c r="E1286" s="38" t="n">
        <v>0</v>
      </c>
      <c r="F1286" s="38" t="n">
        <v>125240</v>
      </c>
      <c r="G1286" s="38" t="n">
        <v>-125240</v>
      </c>
      <c r="H1286" s="40" t="inlineStr">
        <is>
          <t>Alacak</t>
        </is>
      </c>
      <c r="I1286" s="38" t="n">
        <v>0</v>
      </c>
      <c r="J1286" s="38" t="n">
        <v>125240</v>
      </c>
      <c r="K1286" s="38" t="n">
        <v>-125240</v>
      </c>
      <c r="L1286" s="40" t="inlineStr">
        <is>
          <t>Alacak</t>
        </is>
      </c>
    </row>
    <row r="1287" s="34">
      <c r="A1287" s="40" t="inlineStr">
        <is>
          <t>320.01.01.F010</t>
        </is>
      </c>
      <c r="B1287" s="40" t="inlineStr">
        <is>
          <t>Farga Gıda Zeytincilik Sanayi Ve Ticaret</t>
        </is>
      </c>
      <c r="C1287" s="40" t="inlineStr">
        <is>
          <t>TRY</t>
        </is>
      </c>
      <c r="D1287" s="40" t="inlineStr">
        <is>
          <t>SERTAŞ MERKEZ</t>
        </is>
      </c>
      <c r="E1287" s="38" t="n">
        <v>201192</v>
      </c>
      <c r="F1287" s="38" t="n">
        <v>0</v>
      </c>
      <c r="G1287" s="38" t="n">
        <v>201192</v>
      </c>
      <c r="H1287" s="40" t="inlineStr">
        <is>
          <t>Borç</t>
        </is>
      </c>
      <c r="I1287" s="38" t="n">
        <v>201192</v>
      </c>
      <c r="J1287" s="38" t="n">
        <v>0</v>
      </c>
      <c r="K1287" s="38" t="n">
        <v>201192</v>
      </c>
      <c r="L1287" s="40" t="inlineStr">
        <is>
          <t>Borç</t>
        </is>
      </c>
    </row>
    <row r="1288" s="34">
      <c r="A1288" s="40" t="inlineStr">
        <is>
          <t>320.01.01.F018</t>
        </is>
      </c>
      <c r="B1288" s="40" t="inlineStr">
        <is>
          <t>Fedefood Gıda San.Tic.Ltd.Şti.</t>
        </is>
      </c>
      <c r="C1288" s="40" t="inlineStr">
        <is>
          <t>TRY</t>
        </is>
      </c>
      <c r="D1288" s="40" t="inlineStr">
        <is>
          <t>GİTAŞ MERKEZ</t>
        </is>
      </c>
      <c r="E1288" s="38" t="n">
        <v>352351.98</v>
      </c>
      <c r="F1288" s="38" t="n">
        <v>0</v>
      </c>
      <c r="G1288" s="38" t="n">
        <v>352351.98</v>
      </c>
      <c r="H1288" s="40" t="inlineStr">
        <is>
          <t>Borç</t>
        </is>
      </c>
      <c r="I1288" s="38" t="n">
        <v>352351.98</v>
      </c>
      <c r="J1288" s="38" t="n">
        <v>0</v>
      </c>
      <c r="K1288" s="38" t="n">
        <v>352351.98</v>
      </c>
      <c r="L1288" s="40" t="inlineStr">
        <is>
          <t>Borç</t>
        </is>
      </c>
    </row>
    <row r="1289" s="34">
      <c r="A1289" s="40" t="inlineStr">
        <is>
          <t>320.01.01.F018</t>
        </is>
      </c>
      <c r="B1289" s="40" t="inlineStr">
        <is>
          <t>Fedefood Gıda San.Tic.Ltd.Şti.</t>
        </is>
      </c>
      <c r="C1289" s="40" t="inlineStr">
        <is>
          <t>TRY</t>
        </is>
      </c>
      <c r="D1289" s="40" t="inlineStr">
        <is>
          <t>ROYAL ADAM EVE</t>
        </is>
      </c>
      <c r="E1289" s="38" t="n">
        <v>132771.39</v>
      </c>
      <c r="F1289" s="38" t="n">
        <v>0</v>
      </c>
      <c r="G1289" s="38" t="n">
        <v>132771.39</v>
      </c>
      <c r="H1289" s="40" t="inlineStr">
        <is>
          <t>Borç</t>
        </is>
      </c>
      <c r="I1289" s="38" t="n">
        <v>132771.39</v>
      </c>
      <c r="J1289" s="38" t="n">
        <v>0</v>
      </c>
      <c r="K1289" s="38" t="n">
        <v>132771.39</v>
      </c>
      <c r="L1289" s="40" t="inlineStr">
        <is>
          <t>Borç</t>
        </is>
      </c>
    </row>
    <row r="1290" s="34">
      <c r="A1290" s="40" t="inlineStr">
        <is>
          <t>320.01.01.F018</t>
        </is>
      </c>
      <c r="B1290" s="40" t="inlineStr">
        <is>
          <t>Fedefood Gıda San.Tic.Ltd.Şti.</t>
        </is>
      </c>
      <c r="C1290" s="40" t="inlineStr">
        <is>
          <t>TRY</t>
        </is>
      </c>
      <c r="D1290" s="40" t="inlineStr">
        <is>
          <t>ROYAL ALHAMBRA</t>
        </is>
      </c>
      <c r="E1290" s="38" t="n">
        <v>0</v>
      </c>
      <c r="F1290" s="38" t="n">
        <v>109606.11</v>
      </c>
      <c r="G1290" s="38" t="n">
        <v>-109606.11</v>
      </c>
      <c r="H1290" s="40" t="inlineStr">
        <is>
          <t>Alacak</t>
        </is>
      </c>
      <c r="I1290" s="38" t="n">
        <v>0</v>
      </c>
      <c r="J1290" s="38" t="n">
        <v>109606.11</v>
      </c>
      <c r="K1290" s="38" t="n">
        <v>-109606.11</v>
      </c>
      <c r="L1290" s="40" t="inlineStr">
        <is>
          <t>Alacak</t>
        </is>
      </c>
    </row>
    <row r="1291" s="34">
      <c r="A1291" s="40" t="inlineStr">
        <is>
          <t>320.01.01.F018</t>
        </is>
      </c>
      <c r="B1291" s="40" t="inlineStr">
        <is>
          <t>Fedefood Gıda San.Tic.Ltd.Şti.</t>
        </is>
      </c>
      <c r="C1291" s="40" t="inlineStr">
        <is>
          <t>TRY</t>
        </is>
      </c>
      <c r="D1291" s="40" t="inlineStr">
        <is>
          <t>ROYAL DRAGON</t>
        </is>
      </c>
      <c r="E1291" s="38" t="n">
        <v>0</v>
      </c>
      <c r="F1291" s="38" t="n">
        <v>44733.78</v>
      </c>
      <c r="G1291" s="38" t="n">
        <v>-44733.78</v>
      </c>
      <c r="H1291" s="40" t="inlineStr">
        <is>
          <t>Alacak</t>
        </is>
      </c>
      <c r="I1291" s="38" t="n">
        <v>0</v>
      </c>
      <c r="J1291" s="38" t="n">
        <v>44733.78</v>
      </c>
      <c r="K1291" s="38" t="n">
        <v>-44733.78</v>
      </c>
      <c r="L1291" s="40" t="inlineStr">
        <is>
          <t>Alacak</t>
        </is>
      </c>
    </row>
    <row r="1292" s="34">
      <c r="A1292" s="40" t="inlineStr">
        <is>
          <t>320.01.01.F018</t>
        </is>
      </c>
      <c r="B1292" s="40" t="inlineStr">
        <is>
          <t>Fedefood Gıda San.Tic.Ltd.Şti.</t>
        </is>
      </c>
      <c r="C1292" s="40" t="inlineStr">
        <is>
          <t>TRY</t>
        </is>
      </c>
      <c r="D1292" s="40" t="inlineStr">
        <is>
          <t>ROYAL HOLIDAY</t>
        </is>
      </c>
      <c r="E1292" s="38" t="n">
        <v>0</v>
      </c>
      <c r="F1292" s="38" t="n">
        <v>88892.86</v>
      </c>
      <c r="G1292" s="38" t="n">
        <v>-88892.86</v>
      </c>
      <c r="H1292" s="40" t="inlineStr">
        <is>
          <t>Alacak</t>
        </is>
      </c>
      <c r="I1292" s="38" t="n">
        <v>0</v>
      </c>
      <c r="J1292" s="38" t="n">
        <v>88892.86</v>
      </c>
      <c r="K1292" s="38" t="n">
        <v>-88892.86</v>
      </c>
      <c r="L1292" s="40" t="inlineStr">
        <is>
          <t>Alacak</t>
        </is>
      </c>
    </row>
    <row r="1293" s="34">
      <c r="A1293" s="40" t="inlineStr">
        <is>
          <t>320.01.01.F018</t>
        </is>
      </c>
      <c r="B1293" s="40" t="inlineStr">
        <is>
          <t>Fedefood Gıda San.Tic.Ltd.Şti.</t>
        </is>
      </c>
      <c r="C1293" s="40" t="inlineStr">
        <is>
          <t>TRY</t>
        </is>
      </c>
      <c r="D1293" s="40" t="inlineStr">
        <is>
          <t>ROYAL SEGINUS</t>
        </is>
      </c>
      <c r="E1293" s="38" t="n">
        <v>0</v>
      </c>
      <c r="F1293" s="38" t="n">
        <v>142440.07</v>
      </c>
      <c r="G1293" s="38" t="n">
        <v>-142440.07</v>
      </c>
      <c r="H1293" s="40" t="inlineStr">
        <is>
          <t>Alacak</t>
        </is>
      </c>
      <c r="I1293" s="38" t="n">
        <v>0</v>
      </c>
      <c r="J1293" s="38" t="n">
        <v>142440.07</v>
      </c>
      <c r="K1293" s="38" t="n">
        <v>-142440.07</v>
      </c>
      <c r="L1293" s="40" t="inlineStr">
        <is>
          <t>Alacak</t>
        </is>
      </c>
    </row>
    <row r="1294" s="34">
      <c r="A1294" s="40" t="inlineStr">
        <is>
          <t>320.01.01.F018</t>
        </is>
      </c>
      <c r="B1294" s="40" t="inlineStr">
        <is>
          <t>Fedefood Gıda San.Tic.Ltd.Şti.</t>
        </is>
      </c>
      <c r="C1294" s="40" t="inlineStr">
        <is>
          <t>TRY</t>
        </is>
      </c>
      <c r="D1294" s="40" t="inlineStr">
        <is>
          <t>SERTAŞ MERKEZ</t>
        </is>
      </c>
      <c r="E1294" s="38" t="n">
        <v>449489.66</v>
      </c>
      <c r="F1294" s="38" t="n">
        <v>0</v>
      </c>
      <c r="G1294" s="38" t="n">
        <v>449489.66</v>
      </c>
      <c r="H1294" s="40" t="inlineStr">
        <is>
          <t>Borç</t>
        </is>
      </c>
      <c r="I1294" s="38" t="n">
        <v>449489.66</v>
      </c>
      <c r="J1294" s="38" t="n">
        <v>0</v>
      </c>
      <c r="K1294" s="38" t="n">
        <v>449489.66</v>
      </c>
      <c r="L1294" s="40" t="inlineStr">
        <is>
          <t>Borç</t>
        </is>
      </c>
    </row>
    <row r="1295" s="34">
      <c r="A1295" s="40" t="inlineStr">
        <is>
          <t>320.01.01.F019</t>
        </is>
      </c>
      <c r="B1295" s="40" t="inlineStr">
        <is>
          <t>Ferhat Açar</t>
        </is>
      </c>
      <c r="C1295" s="40" t="inlineStr">
        <is>
          <t>TRY</t>
        </is>
      </c>
      <c r="D1295" s="40" t="inlineStr">
        <is>
          <t>GİTAŞ MERKEZ</t>
        </is>
      </c>
      <c r="E1295" s="38" t="n">
        <v>48000</v>
      </c>
      <c r="F1295" s="38" t="n">
        <v>0</v>
      </c>
      <c r="G1295" s="38" t="n">
        <v>48000</v>
      </c>
      <c r="H1295" s="40" t="inlineStr">
        <is>
          <t>Borç</t>
        </is>
      </c>
      <c r="I1295" s="38" t="n">
        <v>48000</v>
      </c>
      <c r="J1295" s="38" t="n">
        <v>0</v>
      </c>
      <c r="K1295" s="38" t="n">
        <v>48000</v>
      </c>
      <c r="L1295" s="40" t="inlineStr">
        <is>
          <t>Borç</t>
        </is>
      </c>
    </row>
    <row r="1296" s="34">
      <c r="A1296" s="40" t="inlineStr">
        <is>
          <t>320.01.01.F022</t>
        </is>
      </c>
      <c r="B1296" s="40" t="inlineStr">
        <is>
          <t>Fhm Gıda Tarım Turz.Inş.San.Ltd.Şti.</t>
        </is>
      </c>
      <c r="C1296" s="40" t="inlineStr">
        <is>
          <t>TRY</t>
        </is>
      </c>
      <c r="D1296" s="40" t="inlineStr">
        <is>
          <t>SERTAŞ MERKEZ</t>
        </is>
      </c>
      <c r="E1296" s="38" t="n">
        <v>158.76</v>
      </c>
      <c r="F1296" s="38" t="n">
        <v>0</v>
      </c>
      <c r="G1296" s="38" t="n">
        <v>158.76</v>
      </c>
      <c r="H1296" s="40" t="inlineStr">
        <is>
          <t>Borç</t>
        </is>
      </c>
      <c r="I1296" s="38" t="n">
        <v>158.76</v>
      </c>
      <c r="J1296" s="38" t="n">
        <v>0</v>
      </c>
      <c r="K1296" s="38" t="n">
        <v>158.76</v>
      </c>
      <c r="L1296" s="40" t="inlineStr">
        <is>
          <t>Borç</t>
        </is>
      </c>
    </row>
    <row r="1297" s="34">
      <c r="A1297" s="40" t="inlineStr">
        <is>
          <t>320.01.01.F024</t>
        </is>
      </c>
      <c r="B1297" s="40" t="inlineStr">
        <is>
          <t>Finder ElekTRonik San. Ve Tic. A.Ş.</t>
        </is>
      </c>
      <c r="C1297" s="40" t="inlineStr">
        <is>
          <t>TRY</t>
        </is>
      </c>
      <c r="D1297" s="40" t="inlineStr">
        <is>
          <t>GİTAŞ MERKEZ</t>
        </is>
      </c>
      <c r="E1297" s="38" t="n">
        <v>55352.68</v>
      </c>
      <c r="F1297" s="38" t="n">
        <v>0</v>
      </c>
      <c r="G1297" s="38" t="n">
        <v>55352.68</v>
      </c>
      <c r="H1297" s="40" t="inlineStr">
        <is>
          <t>Borç</t>
        </is>
      </c>
      <c r="I1297" s="38" t="n">
        <v>0</v>
      </c>
      <c r="J1297" s="38" t="n">
        <v>0</v>
      </c>
      <c r="K1297" s="38" t="n">
        <v>0</v>
      </c>
    </row>
    <row r="1298" s="34">
      <c r="A1298" s="40" t="inlineStr">
        <is>
          <t>320.01.01.F024</t>
        </is>
      </c>
      <c r="B1298" s="40" t="inlineStr">
        <is>
          <t>Finder ElekTRonik San. Ve Tic. A.Ş.</t>
        </is>
      </c>
      <c r="C1298" s="40" t="inlineStr">
        <is>
          <t>TRY</t>
        </is>
      </c>
      <c r="D1298" s="40" t="inlineStr">
        <is>
          <t>ROYAL ADAM EVE</t>
        </is>
      </c>
      <c r="E1298" s="38" t="n">
        <v>403738.81</v>
      </c>
      <c r="F1298" s="38" t="n">
        <v>0</v>
      </c>
      <c r="G1298" s="38" t="n">
        <v>403738.81</v>
      </c>
      <c r="H1298" s="40" t="inlineStr">
        <is>
          <t>Borç</t>
        </is>
      </c>
      <c r="I1298" s="38" t="n">
        <v>403738.81</v>
      </c>
      <c r="J1298" s="38" t="n">
        <v>0</v>
      </c>
      <c r="K1298" s="38" t="n">
        <v>403738.81</v>
      </c>
      <c r="L1298" s="40" t="inlineStr">
        <is>
          <t>Borç</t>
        </is>
      </c>
    </row>
    <row r="1299" s="34">
      <c r="A1299" s="40" t="inlineStr">
        <is>
          <t>320.01.01.F024</t>
        </is>
      </c>
      <c r="B1299" s="40" t="inlineStr">
        <is>
          <t>Finder ElekTRonik San. Ve Tic. A.Ş.</t>
        </is>
      </c>
      <c r="C1299" s="40" t="inlineStr">
        <is>
          <t>TRY</t>
        </is>
      </c>
      <c r="D1299" s="40" t="inlineStr">
        <is>
          <t>SERTAŞ MERKEZ</t>
        </is>
      </c>
      <c r="E1299" s="38" t="n">
        <v>124732.72</v>
      </c>
      <c r="F1299" s="38" t="n">
        <v>0</v>
      </c>
      <c r="G1299" s="38" t="n">
        <v>124732.72</v>
      </c>
      <c r="H1299" s="40" t="inlineStr">
        <is>
          <t>Borç</t>
        </is>
      </c>
      <c r="I1299" s="38" t="n">
        <v>124732.72</v>
      </c>
      <c r="J1299" s="38" t="n">
        <v>0</v>
      </c>
      <c r="K1299" s="38" t="n">
        <v>124732.72</v>
      </c>
      <c r="L1299" s="40" t="inlineStr">
        <is>
          <t>Borç</t>
        </is>
      </c>
    </row>
    <row r="1300" s="34">
      <c r="A1300" s="40" t="inlineStr">
        <is>
          <t>320.01.01.F029</t>
        </is>
      </c>
      <c r="B1300" s="40" t="inlineStr">
        <is>
          <t>Fnm Star ElekTRonik San Ve Tic.Ltd.Şti</t>
        </is>
      </c>
      <c r="C1300" s="40" t="inlineStr">
        <is>
          <t>TRY</t>
        </is>
      </c>
      <c r="D1300" s="40" t="inlineStr">
        <is>
          <t>ROYAL ADAM EVE</t>
        </is>
      </c>
      <c r="E1300" s="38" t="n">
        <v>84720</v>
      </c>
      <c r="F1300" s="38" t="n">
        <v>3120</v>
      </c>
      <c r="G1300" s="38" t="n">
        <v>81600</v>
      </c>
      <c r="H1300" s="40" t="inlineStr">
        <is>
          <t>Borç</t>
        </is>
      </c>
      <c r="I1300" s="38" t="n">
        <v>84720</v>
      </c>
      <c r="J1300" s="38" t="n">
        <v>3120</v>
      </c>
      <c r="K1300" s="38" t="n">
        <v>81600</v>
      </c>
      <c r="L1300" s="40" t="inlineStr">
        <is>
          <t>Borç</t>
        </is>
      </c>
    </row>
    <row r="1301" s="34">
      <c r="A1301" s="40" t="inlineStr">
        <is>
          <t>320.01.01.F029</t>
        </is>
      </c>
      <c r="B1301" s="40" t="inlineStr">
        <is>
          <t>Fnm Star ElekTRonik San Ve Tic.Ltd.Şti</t>
        </is>
      </c>
      <c r="C1301" s="40" t="inlineStr">
        <is>
          <t>TRY</t>
        </is>
      </c>
      <c r="D1301" s="40" t="inlineStr">
        <is>
          <t>SERTAŞ MERKEZ</t>
        </is>
      </c>
      <c r="E1301" s="38" t="n">
        <v>22227</v>
      </c>
      <c r="F1301" s="38" t="n">
        <v>0</v>
      </c>
      <c r="G1301" s="38" t="n">
        <v>22227</v>
      </c>
      <c r="H1301" s="40" t="inlineStr">
        <is>
          <t>Borç</t>
        </is>
      </c>
      <c r="I1301" s="38" t="n">
        <v>22227</v>
      </c>
      <c r="J1301" s="38" t="n">
        <v>0</v>
      </c>
      <c r="K1301" s="38" t="n">
        <v>22227</v>
      </c>
      <c r="L1301" s="40" t="inlineStr">
        <is>
          <t>Borç</t>
        </is>
      </c>
    </row>
    <row r="1302" s="34">
      <c r="A1302" s="40" t="inlineStr">
        <is>
          <t>320.01.01.F032</t>
        </is>
      </c>
      <c r="B1302" s="40" t="inlineStr">
        <is>
          <t>Form Baskı Reklam Tur.San.Tic.A.Ş.</t>
        </is>
      </c>
      <c r="C1302" s="40" t="inlineStr">
        <is>
          <t>TRY</t>
        </is>
      </c>
      <c r="D1302" s="40" t="inlineStr">
        <is>
          <t>GİTAŞ MERKEZ</t>
        </is>
      </c>
      <c r="E1302" s="38" t="n">
        <v>16200</v>
      </c>
      <c r="F1302" s="38" t="n">
        <v>0</v>
      </c>
      <c r="G1302" s="38" t="n">
        <v>16200</v>
      </c>
      <c r="H1302" s="40" t="inlineStr">
        <is>
          <t>Borç</t>
        </is>
      </c>
      <c r="I1302" s="38" t="n">
        <v>16200</v>
      </c>
      <c r="J1302" s="38" t="n">
        <v>0</v>
      </c>
      <c r="K1302" s="38" t="n">
        <v>16200</v>
      </c>
      <c r="L1302" s="40" t="inlineStr">
        <is>
          <t>Borç</t>
        </is>
      </c>
    </row>
    <row r="1303" s="34">
      <c r="A1303" s="40" t="inlineStr">
        <is>
          <t>320.01.01.F032</t>
        </is>
      </c>
      <c r="B1303" s="40" t="inlineStr">
        <is>
          <t>Form Baskı Reklam Tur.San.Tic.A.Ş.</t>
        </is>
      </c>
      <c r="C1303" s="40" t="inlineStr">
        <is>
          <t>TRY</t>
        </is>
      </c>
      <c r="D1303" s="40" t="inlineStr">
        <is>
          <t>ROYAL ADAM EVE</t>
        </is>
      </c>
      <c r="E1303" s="38" t="n">
        <v>1296</v>
      </c>
      <c r="F1303" s="38" t="n">
        <v>87588</v>
      </c>
      <c r="G1303" s="38" t="n">
        <v>-86292</v>
      </c>
      <c r="H1303" s="40" t="inlineStr">
        <is>
          <t>Alacak</t>
        </is>
      </c>
      <c r="I1303" s="38" t="n">
        <v>1296</v>
      </c>
      <c r="J1303" s="38" t="n">
        <v>87588</v>
      </c>
      <c r="K1303" s="38" t="n">
        <v>-86292</v>
      </c>
      <c r="L1303" s="40" t="inlineStr">
        <is>
          <t>Alacak</t>
        </is>
      </c>
    </row>
    <row r="1304" s="34">
      <c r="A1304" s="40" t="inlineStr">
        <is>
          <t>320.01.01.F032</t>
        </is>
      </c>
      <c r="B1304" s="40" t="inlineStr">
        <is>
          <t>Form Baskı Reklam Tur.San.Tic.A.Ş.</t>
        </is>
      </c>
      <c r="C1304" s="40" t="inlineStr">
        <is>
          <t>TRY</t>
        </is>
      </c>
      <c r="D1304" s="40" t="inlineStr">
        <is>
          <t>ROYAL ALHAMBRA</t>
        </is>
      </c>
      <c r="E1304" s="38" t="n">
        <v>0</v>
      </c>
      <c r="F1304" s="38" t="n">
        <v>60852</v>
      </c>
      <c r="G1304" s="38" t="n">
        <v>-60852</v>
      </c>
      <c r="H1304" s="40" t="inlineStr">
        <is>
          <t>Alacak</t>
        </is>
      </c>
      <c r="I1304" s="38" t="n">
        <v>0</v>
      </c>
      <c r="J1304" s="38" t="n">
        <v>60852</v>
      </c>
      <c r="K1304" s="38" t="n">
        <v>-60852</v>
      </c>
      <c r="L1304" s="40" t="inlineStr">
        <is>
          <t>Alacak</t>
        </is>
      </c>
    </row>
    <row r="1305" s="34">
      <c r="A1305" s="40" t="inlineStr">
        <is>
          <t>320.01.01.F032</t>
        </is>
      </c>
      <c r="B1305" s="40" t="inlineStr">
        <is>
          <t>Form Baskı Reklam Tur.San.Tic.A.Ş.</t>
        </is>
      </c>
      <c r="C1305" s="40" t="inlineStr">
        <is>
          <t>TRY</t>
        </is>
      </c>
      <c r="D1305" s="40" t="inlineStr">
        <is>
          <t>ROYAL DRAGON</t>
        </is>
      </c>
      <c r="E1305" s="38" t="n">
        <v>0</v>
      </c>
      <c r="F1305" s="38" t="n">
        <v>58728</v>
      </c>
      <c r="G1305" s="38" t="n">
        <v>-58728</v>
      </c>
      <c r="H1305" s="40" t="inlineStr">
        <is>
          <t>Alacak</t>
        </is>
      </c>
      <c r="I1305" s="38" t="n">
        <v>0</v>
      </c>
      <c r="J1305" s="38" t="n">
        <v>58728</v>
      </c>
      <c r="K1305" s="38" t="n">
        <v>-58728</v>
      </c>
      <c r="L1305" s="40" t="inlineStr">
        <is>
          <t>Alacak</t>
        </is>
      </c>
    </row>
    <row r="1306" s="34">
      <c r="A1306" s="40" t="inlineStr">
        <is>
          <t>320.01.01.F032</t>
        </is>
      </c>
      <c r="B1306" s="40" t="inlineStr">
        <is>
          <t>Form Baskı Reklam Tur.San.Tic.A.Ş.</t>
        </is>
      </c>
      <c r="C1306" s="40" t="inlineStr">
        <is>
          <t>TRY</t>
        </is>
      </c>
      <c r="D1306" s="40" t="inlineStr">
        <is>
          <t>SERTAŞ MERKEZ</t>
        </is>
      </c>
      <c r="E1306" s="38" t="n">
        <v>84360</v>
      </c>
      <c r="F1306" s="38" t="n">
        <v>0</v>
      </c>
      <c r="G1306" s="38" t="n">
        <v>84360</v>
      </c>
      <c r="H1306" s="40" t="inlineStr">
        <is>
          <t>Borç</t>
        </is>
      </c>
      <c r="I1306" s="38" t="n">
        <v>84360</v>
      </c>
      <c r="J1306" s="38" t="n">
        <v>0</v>
      </c>
      <c r="K1306" s="38" t="n">
        <v>84360</v>
      </c>
      <c r="L1306" s="40" t="inlineStr">
        <is>
          <t>Borç</t>
        </is>
      </c>
    </row>
    <row r="1307" s="34">
      <c r="A1307" s="40" t="inlineStr">
        <is>
          <t>320.01.01.F033</t>
        </is>
      </c>
      <c r="B1307" s="40" t="inlineStr">
        <is>
          <t>Form Mimarlık-Mühendislik Hizmetleri San. ve Tic.Ltd.Şti.</t>
        </is>
      </c>
      <c r="C1307" s="40" t="inlineStr">
        <is>
          <t>TRY</t>
        </is>
      </c>
      <c r="D1307" s="40" t="inlineStr">
        <is>
          <t>GİTAŞ MERKEZ</t>
        </is>
      </c>
      <c r="E1307" s="38" t="n">
        <v>31212</v>
      </c>
      <c r="F1307" s="38" t="n">
        <v>0</v>
      </c>
      <c r="G1307" s="38" t="n">
        <v>31212</v>
      </c>
      <c r="H1307" s="40" t="inlineStr">
        <is>
          <t>Borç</t>
        </is>
      </c>
      <c r="I1307" s="38" t="n">
        <v>31212</v>
      </c>
      <c r="J1307" s="38" t="n">
        <v>0</v>
      </c>
      <c r="K1307" s="38" t="n">
        <v>31212</v>
      </c>
      <c r="L1307" s="40" t="inlineStr">
        <is>
          <t>Borç</t>
        </is>
      </c>
    </row>
    <row r="1308" s="34">
      <c r="A1308" s="40" t="inlineStr">
        <is>
          <t>320.01.01.F033</t>
        </is>
      </c>
      <c r="B1308" s="40" t="inlineStr">
        <is>
          <t>Form Mimarlık-Mühendislik Hizmetleri San. ve Tic.Ltd.Şti.</t>
        </is>
      </c>
      <c r="C1308" s="40" t="inlineStr">
        <is>
          <t>TRY</t>
        </is>
      </c>
      <c r="D1308" s="40" t="inlineStr">
        <is>
          <t>ROYAL ADAM EVE</t>
        </is>
      </c>
      <c r="E1308" s="38" t="n">
        <v>101404.8</v>
      </c>
      <c r="F1308" s="38" t="n">
        <v>0</v>
      </c>
      <c r="G1308" s="38" t="n">
        <v>101404.8</v>
      </c>
      <c r="H1308" s="40" t="inlineStr">
        <is>
          <t>Borç</t>
        </is>
      </c>
      <c r="I1308" s="38" t="n">
        <v>101404.8</v>
      </c>
      <c r="J1308" s="38" t="n">
        <v>0</v>
      </c>
      <c r="K1308" s="38" t="n">
        <v>101404.8</v>
      </c>
      <c r="L1308" s="40" t="inlineStr">
        <is>
          <t>Borç</t>
        </is>
      </c>
    </row>
    <row r="1309" s="34">
      <c r="A1309" s="40" t="inlineStr">
        <is>
          <t>320.01.01.F036</t>
        </is>
      </c>
      <c r="B1309" s="40" t="inlineStr">
        <is>
          <t>Frigotek Isıtma Ve Soğutma San. Tic. A.Ş</t>
        </is>
      </c>
      <c r="C1309" s="40" t="inlineStr">
        <is>
          <t>TRY</t>
        </is>
      </c>
      <c r="D1309" s="40" t="inlineStr">
        <is>
          <t>ROYAL ADAM EVE</t>
        </is>
      </c>
      <c r="E1309" s="38" t="n">
        <v>228000</v>
      </c>
      <c r="F1309" s="38" t="n">
        <v>0</v>
      </c>
      <c r="G1309" s="38" t="n">
        <v>228000</v>
      </c>
      <c r="H1309" s="40" t="inlineStr">
        <is>
          <t>Borç</t>
        </is>
      </c>
      <c r="I1309" s="38" t="n">
        <v>228000</v>
      </c>
      <c r="J1309" s="38" t="n">
        <v>0</v>
      </c>
      <c r="K1309" s="38" t="n">
        <v>228000</v>
      </c>
      <c r="L1309" s="40" t="inlineStr">
        <is>
          <t>Borç</t>
        </is>
      </c>
    </row>
    <row r="1310" s="34">
      <c r="A1310" s="40" t="inlineStr">
        <is>
          <t>320.01.01.F041</t>
        </is>
      </c>
      <c r="B1310" s="40" t="inlineStr">
        <is>
          <t>Fulya Dış Ticaret Ve Turizm A.Ş.</t>
        </is>
      </c>
      <c r="C1310" s="40" t="inlineStr">
        <is>
          <t>TRY</t>
        </is>
      </c>
      <c r="D1310" s="40" t="inlineStr">
        <is>
          <t>ROYAL ADAM EVE</t>
        </is>
      </c>
      <c r="E1310" s="38" t="n">
        <v>9932.85</v>
      </c>
      <c r="F1310" s="38" t="n">
        <v>0</v>
      </c>
      <c r="G1310" s="38" t="n">
        <v>9932.85</v>
      </c>
      <c r="H1310" s="40" t="inlineStr">
        <is>
          <t>Borç</t>
        </is>
      </c>
      <c r="I1310" s="38" t="n">
        <v>9932.85</v>
      </c>
      <c r="J1310" s="38" t="n">
        <v>0</v>
      </c>
      <c r="K1310" s="38" t="n">
        <v>9932.85</v>
      </c>
      <c r="L1310" s="40" t="inlineStr">
        <is>
          <t>Borç</t>
        </is>
      </c>
    </row>
    <row r="1311" s="34">
      <c r="A1311" s="40" t="inlineStr">
        <is>
          <t>320.01.01.F041</t>
        </is>
      </c>
      <c r="B1311" s="40" t="inlineStr">
        <is>
          <t>Fulya Dış Ticaret Ve Turizm A.Ş.</t>
        </is>
      </c>
      <c r="C1311" s="40" t="inlineStr">
        <is>
          <t>TRY</t>
        </is>
      </c>
      <c r="D1311" s="40" t="inlineStr">
        <is>
          <t>SERTAŞ MERKEZ</t>
        </is>
      </c>
      <c r="E1311" s="38" t="n">
        <v>56108.53</v>
      </c>
      <c r="F1311" s="38" t="n">
        <v>0</v>
      </c>
      <c r="G1311" s="38" t="n">
        <v>56108.53</v>
      </c>
      <c r="H1311" s="40" t="inlineStr">
        <is>
          <t>Borç</t>
        </is>
      </c>
      <c r="I1311" s="38" t="n">
        <v>56108.53</v>
      </c>
      <c r="J1311" s="38" t="n">
        <v>0</v>
      </c>
      <c r="K1311" s="38" t="n">
        <v>56108.53</v>
      </c>
      <c r="L1311" s="40" t="inlineStr">
        <is>
          <t>Borç</t>
        </is>
      </c>
    </row>
    <row r="1312" s="34">
      <c r="A1312" s="40" t="inlineStr">
        <is>
          <t>320.01.01.F045</t>
        </is>
      </c>
      <c r="B1312" s="40" t="inlineStr">
        <is>
          <t>Fhm Gıda Tarım Turz.Inş.San.Ve Tic.As.</t>
        </is>
      </c>
      <c r="C1312" s="40" t="inlineStr">
        <is>
          <t>TRY</t>
        </is>
      </c>
      <c r="D1312" s="40" t="inlineStr">
        <is>
          <t>GİTAŞ MERKEZ</t>
        </is>
      </c>
      <c r="E1312" s="38" t="n">
        <v>89180.17</v>
      </c>
      <c r="F1312" s="38" t="n">
        <v>0</v>
      </c>
      <c r="G1312" s="38" t="n">
        <v>89180.17</v>
      </c>
      <c r="H1312" s="40" t="inlineStr">
        <is>
          <t>Borç</t>
        </is>
      </c>
      <c r="I1312" s="38" t="n">
        <v>0</v>
      </c>
      <c r="J1312" s="38" t="n">
        <v>0</v>
      </c>
      <c r="K1312" s="38" t="n">
        <v>0</v>
      </c>
    </row>
    <row r="1313" s="34">
      <c r="A1313" s="40" t="inlineStr">
        <is>
          <t>320.01.01.F045</t>
        </is>
      </c>
      <c r="B1313" s="40" t="inlineStr">
        <is>
          <t>Fhm Gıda Tarım Turz.Inş.San.Ve Tic.As.</t>
        </is>
      </c>
      <c r="C1313" s="40" t="inlineStr">
        <is>
          <t>TRY</t>
        </is>
      </c>
      <c r="D1313" s="40" t="inlineStr">
        <is>
          <t>ROYAL ADAM EVE</t>
        </is>
      </c>
      <c r="E1313" s="38" t="n">
        <v>23662.67</v>
      </c>
      <c r="F1313" s="38" t="n">
        <v>16073.54</v>
      </c>
      <c r="G1313" s="38" t="n">
        <v>7589.13</v>
      </c>
      <c r="H1313" s="40" t="inlineStr">
        <is>
          <t>Borç</t>
        </is>
      </c>
      <c r="I1313" s="38" t="n">
        <v>23662.67</v>
      </c>
      <c r="J1313" s="38" t="n">
        <v>16073.54</v>
      </c>
      <c r="K1313" s="38" t="n">
        <v>7589.13</v>
      </c>
      <c r="L1313" s="40" t="inlineStr">
        <is>
          <t>Borç</t>
        </is>
      </c>
    </row>
    <row r="1314" s="34">
      <c r="A1314" s="40" t="inlineStr">
        <is>
          <t>320.01.01.F045</t>
        </is>
      </c>
      <c r="B1314" s="40" t="inlineStr">
        <is>
          <t>Fhm Gıda Tarım Turz.Inş.San.Ve Tic.As.</t>
        </is>
      </c>
      <c r="C1314" s="40" t="inlineStr">
        <is>
          <t>TRY</t>
        </is>
      </c>
      <c r="D1314" s="40" t="inlineStr">
        <is>
          <t>ROYAL ALHAMBRA</t>
        </is>
      </c>
      <c r="E1314" s="38" t="n">
        <v>0</v>
      </c>
      <c r="F1314" s="38" t="n">
        <v>113481.17</v>
      </c>
      <c r="G1314" s="38" t="n">
        <v>-113481.17</v>
      </c>
      <c r="H1314" s="40" t="inlineStr">
        <is>
          <t>Alacak</t>
        </is>
      </c>
      <c r="I1314" s="38" t="n">
        <v>0</v>
      </c>
      <c r="J1314" s="38" t="n">
        <v>113481.17</v>
      </c>
      <c r="K1314" s="38" t="n">
        <v>-113481.17</v>
      </c>
      <c r="L1314" s="40" t="inlineStr">
        <is>
          <t>Alacak</t>
        </is>
      </c>
    </row>
    <row r="1315" s="34">
      <c r="A1315" s="40" t="inlineStr">
        <is>
          <t>320.01.01.F045</t>
        </is>
      </c>
      <c r="B1315" s="40" t="inlineStr">
        <is>
          <t>Fhm Gıda Tarım Turz.Inş.San.Ve Tic.As.</t>
        </is>
      </c>
      <c r="C1315" s="40" t="inlineStr">
        <is>
          <t>TRY</t>
        </is>
      </c>
      <c r="D1315" s="40" t="inlineStr">
        <is>
          <t>ROYAL DRAGON</t>
        </is>
      </c>
      <c r="E1315" s="38" t="n">
        <v>0</v>
      </c>
      <c r="F1315" s="38" t="n">
        <v>74152.91</v>
      </c>
      <c r="G1315" s="38" t="n">
        <v>-74152.91</v>
      </c>
      <c r="H1315" s="40" t="inlineStr">
        <is>
          <t>Alacak</t>
        </is>
      </c>
      <c r="I1315" s="38" t="n">
        <v>0</v>
      </c>
      <c r="J1315" s="38" t="n">
        <v>74152.91</v>
      </c>
      <c r="K1315" s="38" t="n">
        <v>-74152.91</v>
      </c>
      <c r="L1315" s="40" t="inlineStr">
        <is>
          <t>Alacak</t>
        </is>
      </c>
    </row>
    <row r="1316" s="34">
      <c r="A1316" s="40" t="inlineStr">
        <is>
          <t>320.01.01.F045</t>
        </is>
      </c>
      <c r="B1316" s="40" t="inlineStr">
        <is>
          <t>Fhm Gıda Tarım Turz.Inş.San.Ve Tic.As.</t>
        </is>
      </c>
      <c r="C1316" s="40" t="inlineStr">
        <is>
          <t>TRY</t>
        </is>
      </c>
      <c r="D1316" s="40" t="inlineStr">
        <is>
          <t>ROYAL HOLIDAY</t>
        </is>
      </c>
      <c r="E1316" s="38" t="n">
        <v>0</v>
      </c>
      <c r="F1316" s="38" t="n">
        <v>80536.59</v>
      </c>
      <c r="G1316" s="38" t="n">
        <v>-80536.59</v>
      </c>
      <c r="H1316" s="40" t="inlineStr">
        <is>
          <t>Alacak</t>
        </is>
      </c>
      <c r="I1316" s="38" t="n">
        <v>0</v>
      </c>
      <c r="J1316" s="38" t="n">
        <v>80536.59</v>
      </c>
      <c r="K1316" s="38" t="n">
        <v>-80536.59</v>
      </c>
      <c r="L1316" s="40" t="inlineStr">
        <is>
          <t>Alacak</t>
        </is>
      </c>
    </row>
    <row r="1317" s="34">
      <c r="A1317" s="40" t="inlineStr">
        <is>
          <t>320.01.01.F045</t>
        </is>
      </c>
      <c r="B1317" s="40" t="inlineStr">
        <is>
          <t>Fhm Gıda Tarım Turz.Inş.San.Ve Tic.As.</t>
        </is>
      </c>
      <c r="C1317" s="40" t="inlineStr">
        <is>
          <t>TRY</t>
        </is>
      </c>
      <c r="D1317" s="40" t="inlineStr">
        <is>
          <t>ROYAL SEGINUS</t>
        </is>
      </c>
      <c r="E1317" s="38" t="n">
        <v>0</v>
      </c>
      <c r="F1317" s="38" t="n">
        <v>47571.4</v>
      </c>
      <c r="G1317" s="38" t="n">
        <v>-47571.4</v>
      </c>
      <c r="H1317" s="40" t="inlineStr">
        <is>
          <t>Alacak</t>
        </is>
      </c>
      <c r="I1317" s="38" t="n">
        <v>0</v>
      </c>
      <c r="J1317" s="38" t="n">
        <v>47571.4</v>
      </c>
      <c r="K1317" s="38" t="n">
        <v>-47571.4</v>
      </c>
      <c r="L1317" s="40" t="inlineStr">
        <is>
          <t>Alacak</t>
        </is>
      </c>
    </row>
    <row r="1318" s="34">
      <c r="A1318" s="40" t="inlineStr">
        <is>
          <t>320.01.01.F045</t>
        </is>
      </c>
      <c r="B1318" s="40" t="inlineStr">
        <is>
          <t>Fhm Gıda Tarım Turz.Inş.San.Ve Tic.As.</t>
        </is>
      </c>
      <c r="C1318" s="40" t="inlineStr">
        <is>
          <t>TRY</t>
        </is>
      </c>
      <c r="D1318" s="40" t="inlineStr">
        <is>
          <t>SERTAŞ MERKEZ</t>
        </is>
      </c>
      <c r="E1318" s="38" t="n">
        <v>126361.81</v>
      </c>
      <c r="F1318" s="38" t="n">
        <v>0</v>
      </c>
      <c r="G1318" s="38" t="n">
        <v>126361.81</v>
      </c>
      <c r="H1318" s="40" t="inlineStr">
        <is>
          <t>Borç</t>
        </is>
      </c>
      <c r="I1318" s="38" t="n">
        <v>126361.81</v>
      </c>
      <c r="J1318" s="38" t="n">
        <v>0</v>
      </c>
      <c r="K1318" s="38" t="n">
        <v>126361.81</v>
      </c>
      <c r="L1318" s="40" t="inlineStr">
        <is>
          <t>Borç</t>
        </is>
      </c>
    </row>
    <row r="1319" s="34">
      <c r="A1319" s="40" t="inlineStr">
        <is>
          <t>320.01.01.G001</t>
        </is>
      </c>
      <c r="B1319" s="40" t="inlineStr">
        <is>
          <t>Golden Wood Turizm Ticaret Sanayi Limited Şirketi</t>
        </is>
      </c>
      <c r="C1319" s="40" t="inlineStr">
        <is>
          <t>TRY</t>
        </is>
      </c>
      <c r="D1319" s="40" t="inlineStr">
        <is>
          <t>GİTAŞ MERKEZ</t>
        </is>
      </c>
      <c r="E1319" s="38" t="n">
        <v>18000</v>
      </c>
      <c r="F1319" s="38" t="n">
        <v>0</v>
      </c>
      <c r="G1319" s="38" t="n">
        <v>18000</v>
      </c>
      <c r="H1319" s="40" t="inlineStr">
        <is>
          <t>Borç</t>
        </is>
      </c>
      <c r="I1319" s="38" t="n">
        <v>18000</v>
      </c>
      <c r="J1319" s="38" t="n">
        <v>0</v>
      </c>
      <c r="K1319" s="38" t="n">
        <v>18000</v>
      </c>
      <c r="L1319" s="40" t="inlineStr">
        <is>
          <t>Borç</t>
        </is>
      </c>
    </row>
    <row r="1320" s="34">
      <c r="A1320" s="40" t="inlineStr">
        <is>
          <t>320.01.01.G003</t>
        </is>
      </c>
      <c r="B1320" s="40" t="inlineStr">
        <is>
          <t>Galeri Kristal Turz. İnş. Paz. Tic.A.Ş.</t>
        </is>
      </c>
      <c r="C1320" s="40" t="inlineStr">
        <is>
          <t>TRY</t>
        </is>
      </c>
      <c r="D1320" s="40" t="inlineStr">
        <is>
          <t>GİTAŞ MERKEZ</t>
        </is>
      </c>
      <c r="E1320" s="38" t="n">
        <v>47929.42</v>
      </c>
      <c r="F1320" s="38" t="n">
        <v>0</v>
      </c>
      <c r="G1320" s="38" t="n">
        <v>47929.42</v>
      </c>
      <c r="H1320" s="40" t="inlineStr">
        <is>
          <t>Borç</t>
        </is>
      </c>
      <c r="I1320" s="38" t="n">
        <v>0</v>
      </c>
      <c r="J1320" s="38" t="n">
        <v>0</v>
      </c>
      <c r="K1320" s="38" t="n">
        <v>0</v>
      </c>
    </row>
    <row r="1321" s="34">
      <c r="A1321" s="40" t="inlineStr">
        <is>
          <t>320.01.01.G003</t>
        </is>
      </c>
      <c r="B1321" s="40" t="inlineStr">
        <is>
          <t>Galeri Kristal Turz. İnş. Paz. Tic.A.Ş.</t>
        </is>
      </c>
      <c r="C1321" s="40" t="inlineStr">
        <is>
          <t>TRY</t>
        </is>
      </c>
      <c r="D1321" s="40" t="inlineStr">
        <is>
          <t>SERTAŞ MERKEZ</t>
        </is>
      </c>
      <c r="E1321" s="38" t="n">
        <v>95953.84</v>
      </c>
      <c r="F1321" s="38" t="n">
        <v>0</v>
      </c>
      <c r="G1321" s="38" t="n">
        <v>95953.84</v>
      </c>
      <c r="H1321" s="40" t="inlineStr">
        <is>
          <t>Borç</t>
        </is>
      </c>
      <c r="I1321" s="38" t="n">
        <v>95953.84</v>
      </c>
      <c r="J1321" s="38" t="n">
        <v>0</v>
      </c>
      <c r="K1321" s="38" t="n">
        <v>95953.84</v>
      </c>
      <c r="L1321" s="40" t="inlineStr">
        <is>
          <t>Borç</t>
        </is>
      </c>
    </row>
    <row r="1322" s="34">
      <c r="A1322" s="40" t="inlineStr">
        <is>
          <t>320.01.01.G004</t>
        </is>
      </c>
      <c r="B1322" s="40" t="inlineStr">
        <is>
          <t>Gmt Fuarcılık Ltd.Şti.</t>
        </is>
      </c>
      <c r="C1322" s="40" t="inlineStr">
        <is>
          <t>TRY</t>
        </is>
      </c>
      <c r="D1322" s="40" t="inlineStr">
        <is>
          <t>SERTAŞ MERKEZ</t>
        </is>
      </c>
      <c r="E1322" s="38" t="n">
        <v>127493.76</v>
      </c>
      <c r="F1322" s="38" t="n">
        <v>0</v>
      </c>
      <c r="G1322" s="38" t="n">
        <v>127493.76</v>
      </c>
      <c r="H1322" s="40" t="inlineStr">
        <is>
          <t>Borç</t>
        </is>
      </c>
      <c r="I1322" s="38" t="n">
        <v>2400</v>
      </c>
      <c r="J1322" s="38" t="n">
        <v>0</v>
      </c>
      <c r="K1322" s="38" t="n">
        <v>2400</v>
      </c>
      <c r="L1322" s="40" t="inlineStr">
        <is>
          <t>Borç</t>
        </is>
      </c>
    </row>
    <row r="1323" s="34">
      <c r="A1323" s="40" t="inlineStr">
        <is>
          <t>320.01.01.G008</t>
        </is>
      </c>
      <c r="B1323" s="40" t="inlineStr">
        <is>
          <t xml:space="preserve">Gebizli Mimarlık Dek.İ.P.L.G.D.İ.İ.T.İ.T.M.T.S. Ltd.Şti. .İ </t>
        </is>
      </c>
      <c r="C1323" s="40" t="inlineStr">
        <is>
          <t>TRY</t>
        </is>
      </c>
      <c r="D1323" s="40" t="inlineStr">
        <is>
          <t>GİTAŞ MERKEZ</t>
        </is>
      </c>
      <c r="E1323" s="38" t="n">
        <v>105981.84</v>
      </c>
      <c r="F1323" s="38" t="n">
        <v>0</v>
      </c>
      <c r="G1323" s="38" t="n">
        <v>105981.84</v>
      </c>
      <c r="H1323" s="40" t="inlineStr">
        <is>
          <t>Borç</t>
        </is>
      </c>
      <c r="I1323" s="38" t="n">
        <v>105981.84</v>
      </c>
      <c r="J1323" s="38" t="n">
        <v>0</v>
      </c>
      <c r="K1323" s="38" t="n">
        <v>105981.84</v>
      </c>
      <c r="L1323" s="40" t="inlineStr">
        <is>
          <t>Borç</t>
        </is>
      </c>
    </row>
    <row r="1324" s="34">
      <c r="A1324" s="40" t="inlineStr">
        <is>
          <t>320.01.01.G030</t>
        </is>
      </c>
      <c r="B1324" s="40" t="inlineStr">
        <is>
          <t>Gozpa İçecek Sanayi Ve Tic. Ltd. Şti.</t>
        </is>
      </c>
      <c r="C1324" s="40" t="inlineStr">
        <is>
          <t>TRY</t>
        </is>
      </c>
      <c r="D1324" s="40" t="inlineStr">
        <is>
          <t>GİTAŞ MERKEZ</t>
        </is>
      </c>
      <c r="E1324" s="38" t="n">
        <v>207413.25</v>
      </c>
      <c r="F1324" s="38" t="n">
        <v>0</v>
      </c>
      <c r="G1324" s="38" t="n">
        <v>207413.25</v>
      </c>
      <c r="H1324" s="40" t="inlineStr">
        <is>
          <t>Borç</t>
        </is>
      </c>
      <c r="I1324" s="38" t="n">
        <v>207413.25</v>
      </c>
      <c r="J1324" s="38" t="n">
        <v>0</v>
      </c>
      <c r="K1324" s="38" t="n">
        <v>207413.25</v>
      </c>
      <c r="L1324" s="40" t="inlineStr">
        <is>
          <t>Borç</t>
        </is>
      </c>
    </row>
    <row r="1325" s="34">
      <c r="A1325" s="40" t="inlineStr">
        <is>
          <t>320.01.01.G030</t>
        </is>
      </c>
      <c r="B1325" s="40" t="inlineStr">
        <is>
          <t>Gozpa İçecek Sanayi Ve Tic. Ltd. Şti.</t>
        </is>
      </c>
      <c r="C1325" s="40" t="inlineStr">
        <is>
          <t>TRY</t>
        </is>
      </c>
      <c r="D1325" s="40" t="inlineStr">
        <is>
          <t>ROYAL ADAM EVE</t>
        </is>
      </c>
      <c r="E1325" s="38" t="n">
        <v>52115.62</v>
      </c>
      <c r="F1325" s="38" t="n">
        <v>62068.69</v>
      </c>
      <c r="G1325" s="38" t="n">
        <v>-9953.07</v>
      </c>
      <c r="H1325" s="40" t="inlineStr">
        <is>
          <t>Alacak</t>
        </is>
      </c>
      <c r="I1325" s="38" t="n">
        <v>52115.62</v>
      </c>
      <c r="J1325" s="38" t="n">
        <v>62068.69</v>
      </c>
      <c r="K1325" s="38" t="n">
        <v>-9953.07</v>
      </c>
      <c r="L1325" s="40" t="inlineStr">
        <is>
          <t>Alacak</t>
        </is>
      </c>
    </row>
    <row r="1326" s="34">
      <c r="A1326" s="40" t="inlineStr">
        <is>
          <t>320.01.01.G030</t>
        </is>
      </c>
      <c r="B1326" s="40" t="inlineStr">
        <is>
          <t>Gozpa İçecek Sanayi Ve Tic. Ltd. Şti.</t>
        </is>
      </c>
      <c r="C1326" s="40" t="inlineStr">
        <is>
          <t>TRY</t>
        </is>
      </c>
      <c r="D1326" s="40" t="inlineStr">
        <is>
          <t>ROYAL DRAGON</t>
        </is>
      </c>
      <c r="E1326" s="38" t="n">
        <v>0</v>
      </c>
      <c r="F1326" s="38" t="n">
        <v>165832.33</v>
      </c>
      <c r="G1326" s="38" t="n">
        <v>-165832.33</v>
      </c>
      <c r="H1326" s="40" t="inlineStr">
        <is>
          <t>Alacak</t>
        </is>
      </c>
      <c r="I1326" s="38" t="n">
        <v>0</v>
      </c>
      <c r="J1326" s="38" t="n">
        <v>165832.33</v>
      </c>
      <c r="K1326" s="38" t="n">
        <v>-165832.33</v>
      </c>
      <c r="L1326" s="40" t="inlineStr">
        <is>
          <t>Alacak</t>
        </is>
      </c>
    </row>
    <row r="1327" s="34">
      <c r="A1327" s="40" t="inlineStr">
        <is>
          <t>320.01.01.G030</t>
        </is>
      </c>
      <c r="B1327" s="40" t="inlineStr">
        <is>
          <t>Gozpa İçecek Sanayi Ve Tic. Ltd. Şti.</t>
        </is>
      </c>
      <c r="C1327" s="40" t="inlineStr">
        <is>
          <t>TRY</t>
        </is>
      </c>
      <c r="D1327" s="40" t="inlineStr">
        <is>
          <t>ROYAL HOLIDAY</t>
        </is>
      </c>
      <c r="E1327" s="38" t="n">
        <v>0</v>
      </c>
      <c r="F1327" s="38" t="n">
        <v>303321.82</v>
      </c>
      <c r="G1327" s="38" t="n">
        <v>-303321.82</v>
      </c>
      <c r="H1327" s="40" t="inlineStr">
        <is>
          <t>Alacak</t>
        </is>
      </c>
      <c r="I1327" s="38" t="n">
        <v>0</v>
      </c>
      <c r="J1327" s="38" t="n">
        <v>303321.82</v>
      </c>
      <c r="K1327" s="38" t="n">
        <v>-303321.82</v>
      </c>
      <c r="L1327" s="40" t="inlineStr">
        <is>
          <t>Alacak</t>
        </is>
      </c>
    </row>
    <row r="1328" s="34">
      <c r="A1328" s="40" t="inlineStr">
        <is>
          <t>320.01.01.G030</t>
        </is>
      </c>
      <c r="B1328" s="40" t="inlineStr">
        <is>
          <t>Gozpa İçecek Sanayi Ve Tic. Ltd. Şti.</t>
        </is>
      </c>
      <c r="C1328" s="40" t="inlineStr">
        <is>
          <t>TRY</t>
        </is>
      </c>
      <c r="D1328" s="40" t="inlineStr">
        <is>
          <t>ROYAL SEGINUS</t>
        </is>
      </c>
      <c r="E1328" s="38" t="n">
        <v>0</v>
      </c>
      <c r="F1328" s="38" t="n">
        <v>183235.97</v>
      </c>
      <c r="G1328" s="38" t="n">
        <v>-183235.97</v>
      </c>
      <c r="H1328" s="40" t="inlineStr">
        <is>
          <t>Alacak</t>
        </is>
      </c>
      <c r="I1328" s="38" t="n">
        <v>0</v>
      </c>
      <c r="J1328" s="38" t="n">
        <v>183235.97</v>
      </c>
      <c r="K1328" s="38" t="n">
        <v>-183235.97</v>
      </c>
      <c r="L1328" s="40" t="inlineStr">
        <is>
          <t>Alacak</t>
        </is>
      </c>
    </row>
    <row r="1329" s="34">
      <c r="A1329" s="40" t="inlineStr">
        <is>
          <t>320.01.01.G030</t>
        </is>
      </c>
      <c r="B1329" s="40" t="inlineStr">
        <is>
          <t>Gozpa İçecek Sanayi Ve Tic. Ltd. Şti.</t>
        </is>
      </c>
      <c r="C1329" s="40" t="inlineStr">
        <is>
          <t>TRY</t>
        </is>
      </c>
      <c r="D1329" s="40" t="inlineStr">
        <is>
          <t>SERTAŞ MERKEZ</t>
        </is>
      </c>
      <c r="E1329" s="38" t="n">
        <v>184610.49</v>
      </c>
      <c r="F1329" s="38" t="n">
        <v>0</v>
      </c>
      <c r="G1329" s="38" t="n">
        <v>184610.49</v>
      </c>
      <c r="H1329" s="40" t="inlineStr">
        <is>
          <t>Borç</t>
        </is>
      </c>
      <c r="I1329" s="38" t="n">
        <v>184610.49</v>
      </c>
      <c r="J1329" s="38" t="n">
        <v>0</v>
      </c>
      <c r="K1329" s="38" t="n">
        <v>184610.49</v>
      </c>
      <c r="L1329" s="40" t="inlineStr">
        <is>
          <t>Borç</t>
        </is>
      </c>
    </row>
    <row r="1330" s="34">
      <c r="A1330" s="40" t="inlineStr">
        <is>
          <t>320.01.01.G032</t>
        </is>
      </c>
      <c r="B1330" s="40" t="inlineStr">
        <is>
          <t>Göçmentürk Day.Tük.Mall.Tic.Ve Tur.Ltd.Ş</t>
        </is>
      </c>
      <c r="C1330" s="40" t="inlineStr">
        <is>
          <t>TRY</t>
        </is>
      </c>
      <c r="D1330" s="40" t="inlineStr">
        <is>
          <t>ROYAL ADAM EVE</t>
        </is>
      </c>
      <c r="E1330" s="38" t="n">
        <v>0</v>
      </c>
      <c r="F1330" s="38" t="n">
        <v>0.01</v>
      </c>
      <c r="G1330" s="38" t="n">
        <v>-0.01</v>
      </c>
      <c r="H1330" s="40" t="inlineStr">
        <is>
          <t>Alacak</t>
        </is>
      </c>
      <c r="I1330" s="38" t="n">
        <v>0</v>
      </c>
      <c r="J1330" s="38" t="n">
        <v>0.01</v>
      </c>
      <c r="K1330" s="38" t="n">
        <v>-0.01</v>
      </c>
      <c r="L1330" s="40" t="inlineStr">
        <is>
          <t>Alacak</t>
        </is>
      </c>
    </row>
    <row r="1331" s="34">
      <c r="A1331" s="40" t="inlineStr">
        <is>
          <t>320.01.01.G037</t>
        </is>
      </c>
      <c r="B1331" s="40" t="inlineStr">
        <is>
          <t>Grafikatolyesi Tanıtım Reklam Hizm.Matb.</t>
        </is>
      </c>
      <c r="C1331" s="40" t="inlineStr">
        <is>
          <t>TRY</t>
        </is>
      </c>
      <c r="D1331" s="40" t="inlineStr">
        <is>
          <t>GİTAŞ MERKEZ</t>
        </is>
      </c>
      <c r="E1331" s="38" t="n">
        <v>33600</v>
      </c>
      <c r="F1331" s="38" t="n">
        <v>0</v>
      </c>
      <c r="G1331" s="38" t="n">
        <v>33600</v>
      </c>
      <c r="H1331" s="40" t="inlineStr">
        <is>
          <t>Borç</t>
        </is>
      </c>
      <c r="I1331" s="38" t="n">
        <v>0</v>
      </c>
      <c r="J1331" s="38" t="n">
        <v>0</v>
      </c>
      <c r="K1331" s="38" t="n">
        <v>0</v>
      </c>
    </row>
    <row r="1332" s="34">
      <c r="A1332" s="40" t="inlineStr">
        <is>
          <t>320.01.01.G037</t>
        </is>
      </c>
      <c r="B1332" s="40" t="inlineStr">
        <is>
          <t>Grafikatolyesi Tanıtım Reklam Hizm.Matb.</t>
        </is>
      </c>
      <c r="C1332" s="40" t="inlineStr">
        <is>
          <t>TRY</t>
        </is>
      </c>
      <c r="D1332" s="40" t="inlineStr">
        <is>
          <t>ROYAL ADAM EVE</t>
        </is>
      </c>
      <c r="E1332" s="38" t="n">
        <v>16800</v>
      </c>
      <c r="F1332" s="38" t="n">
        <v>0</v>
      </c>
      <c r="G1332" s="38" t="n">
        <v>16800</v>
      </c>
      <c r="H1332" s="40" t="inlineStr">
        <is>
          <t>Borç</t>
        </is>
      </c>
      <c r="I1332" s="38" t="n">
        <v>16800</v>
      </c>
      <c r="J1332" s="38" t="n">
        <v>0</v>
      </c>
      <c r="K1332" s="38" t="n">
        <v>16800</v>
      </c>
      <c r="L1332" s="40" t="inlineStr">
        <is>
          <t>Borç</t>
        </is>
      </c>
    </row>
    <row r="1333" s="34">
      <c r="A1333" s="40" t="inlineStr">
        <is>
          <t>320.01.01.G037</t>
        </is>
      </c>
      <c r="B1333" s="40" t="inlineStr">
        <is>
          <t>Grafikatolyesi Tanıtım Reklam Hizm.Matb.</t>
        </is>
      </c>
      <c r="C1333" s="40" t="inlineStr">
        <is>
          <t>TRY</t>
        </is>
      </c>
      <c r="D1333" s="40" t="inlineStr">
        <is>
          <t>SERTAŞ MERKEZ</t>
        </is>
      </c>
      <c r="E1333" s="38" t="n">
        <v>42000</v>
      </c>
      <c r="F1333" s="38" t="n">
        <v>0</v>
      </c>
      <c r="G1333" s="38" t="n">
        <v>42000</v>
      </c>
      <c r="H1333" s="40" t="inlineStr">
        <is>
          <t>Borç</t>
        </is>
      </c>
      <c r="I1333" s="38" t="n">
        <v>42000</v>
      </c>
      <c r="J1333" s="38" t="n">
        <v>0</v>
      </c>
      <c r="K1333" s="38" t="n">
        <v>42000</v>
      </c>
      <c r="L1333" s="40" t="inlineStr">
        <is>
          <t>Borç</t>
        </is>
      </c>
    </row>
    <row r="1334" s="34">
      <c r="A1334" s="40" t="inlineStr">
        <is>
          <t>320.01.01.G039</t>
        </is>
      </c>
      <c r="B1334" s="40" t="inlineStr">
        <is>
          <t>Groser Muhendislik Ve Pompa Servis Hizm.</t>
        </is>
      </c>
      <c r="C1334" s="40" t="inlineStr">
        <is>
          <t>TRY</t>
        </is>
      </c>
      <c r="D1334" s="40" t="inlineStr">
        <is>
          <t>ROYAL ADAM EVE</t>
        </is>
      </c>
      <c r="E1334" s="38" t="n">
        <v>0</v>
      </c>
      <c r="F1334" s="38" t="n">
        <v>3167.49</v>
      </c>
      <c r="G1334" s="38" t="n">
        <v>-3167.49</v>
      </c>
      <c r="H1334" s="40" t="inlineStr">
        <is>
          <t>Alacak</t>
        </is>
      </c>
      <c r="I1334" s="38" t="n">
        <v>0</v>
      </c>
      <c r="J1334" s="38" t="n">
        <v>0</v>
      </c>
      <c r="K1334" s="38" t="n">
        <v>0</v>
      </c>
    </row>
    <row r="1335" s="34">
      <c r="A1335" s="40" t="inlineStr">
        <is>
          <t>320.01.01.G045</t>
        </is>
      </c>
      <c r="B1335" s="40" t="inlineStr">
        <is>
          <t>Gulel Gıda Turz.Tar.Hayv.A.Ş.</t>
        </is>
      </c>
      <c r="C1335" s="40" t="inlineStr">
        <is>
          <t>TRY</t>
        </is>
      </c>
      <c r="D1335" s="40" t="inlineStr">
        <is>
          <t>ROYAL DRAGON</t>
        </is>
      </c>
      <c r="E1335" s="38" t="n">
        <v>0</v>
      </c>
      <c r="F1335" s="38" t="n">
        <v>31310</v>
      </c>
      <c r="G1335" s="38" t="n">
        <v>-31310</v>
      </c>
      <c r="H1335" s="40" t="inlineStr">
        <is>
          <t>Alacak</t>
        </is>
      </c>
      <c r="I1335" s="38" t="n">
        <v>0</v>
      </c>
      <c r="J1335" s="38" t="n">
        <v>31310</v>
      </c>
      <c r="K1335" s="38" t="n">
        <v>-31310</v>
      </c>
      <c r="L1335" s="40" t="inlineStr">
        <is>
          <t>Alacak</t>
        </is>
      </c>
    </row>
    <row r="1336" s="34">
      <c r="A1336" s="40" t="inlineStr">
        <is>
          <t>320.01.01.G064</t>
        </is>
      </c>
      <c r="B1336" s="40" t="inlineStr">
        <is>
          <t>Guven Telekom Bilişim Tekn. San. ve Tic. Ltd. Şti.</t>
        </is>
      </c>
      <c r="C1336" s="40" t="inlineStr">
        <is>
          <t>TRY</t>
        </is>
      </c>
      <c r="D1336" s="40" t="inlineStr">
        <is>
          <t>GİTAŞ MERKEZ</t>
        </is>
      </c>
      <c r="E1336" s="38" t="n">
        <v>7395</v>
      </c>
      <c r="F1336" s="38" t="n">
        <v>0</v>
      </c>
      <c r="G1336" s="38" t="n">
        <v>7395</v>
      </c>
      <c r="H1336" s="40" t="inlineStr">
        <is>
          <t>Borç</t>
        </is>
      </c>
      <c r="I1336" s="38" t="n">
        <v>7395</v>
      </c>
      <c r="J1336" s="38" t="n">
        <v>0</v>
      </c>
      <c r="K1336" s="38" t="n">
        <v>7395</v>
      </c>
      <c r="L1336" s="40" t="inlineStr">
        <is>
          <t>Borç</t>
        </is>
      </c>
    </row>
    <row r="1337" s="34">
      <c r="A1337" s="40" t="inlineStr">
        <is>
          <t>320.01.01.G064</t>
        </is>
      </c>
      <c r="B1337" s="40" t="inlineStr">
        <is>
          <t>Guven Telekom Bilişim Tekn. San. ve Tic. Ltd. Şti.</t>
        </is>
      </c>
      <c r="C1337" s="40" t="inlineStr">
        <is>
          <t>TRY</t>
        </is>
      </c>
      <c r="D1337" s="40" t="inlineStr">
        <is>
          <t>ROYAL ADAM EVE</t>
        </is>
      </c>
      <c r="E1337" s="38" t="n">
        <v>7395</v>
      </c>
      <c r="F1337" s="38" t="n">
        <v>0</v>
      </c>
      <c r="G1337" s="38" t="n">
        <v>7395</v>
      </c>
      <c r="H1337" s="40" t="inlineStr">
        <is>
          <t>Borç</t>
        </is>
      </c>
      <c r="I1337" s="38" t="n">
        <v>7395</v>
      </c>
      <c r="J1337" s="38" t="n">
        <v>0</v>
      </c>
      <c r="K1337" s="38" t="n">
        <v>7395</v>
      </c>
      <c r="L1337" s="40" t="inlineStr">
        <is>
          <t>Borç</t>
        </is>
      </c>
    </row>
    <row r="1338" s="34">
      <c r="A1338" s="40" t="inlineStr">
        <is>
          <t>320.01.01.G064</t>
        </is>
      </c>
      <c r="B1338" s="40" t="inlineStr">
        <is>
          <t>Guven Telekom Bilişim Tekn. San. ve Tic. Ltd. Şti.</t>
        </is>
      </c>
      <c r="C1338" s="40" t="inlineStr">
        <is>
          <t>TRY</t>
        </is>
      </c>
      <c r="D1338" s="40" t="inlineStr">
        <is>
          <t>SERTAŞ MERKEZ</t>
        </is>
      </c>
      <c r="E1338" s="38" t="n">
        <v>9942</v>
      </c>
      <c r="F1338" s="38" t="n">
        <v>0</v>
      </c>
      <c r="G1338" s="38" t="n">
        <v>9942</v>
      </c>
      <c r="H1338" s="40" t="inlineStr">
        <is>
          <t>Borç</t>
        </is>
      </c>
      <c r="I1338" s="38" t="n">
        <v>9942</v>
      </c>
      <c r="J1338" s="38" t="n">
        <v>0</v>
      </c>
      <c r="K1338" s="38" t="n">
        <v>9942</v>
      </c>
      <c r="L1338" s="40" t="inlineStr">
        <is>
          <t>Borç</t>
        </is>
      </c>
    </row>
    <row r="1339" s="34">
      <c r="A1339" s="40" t="inlineStr">
        <is>
          <t>320.01.01.G068</t>
        </is>
      </c>
      <c r="B1339" s="40" t="inlineStr">
        <is>
          <t>Gürgüç Global Turizm Limited Şirketi</t>
        </is>
      </c>
      <c r="C1339" s="40" t="inlineStr">
        <is>
          <t>TRY</t>
        </is>
      </c>
      <c r="D1339" s="40" t="inlineStr">
        <is>
          <t>ROYAL ADAM EVE</t>
        </is>
      </c>
      <c r="E1339" s="38" t="n">
        <v>446228.16</v>
      </c>
      <c r="F1339" s="38" t="n">
        <v>335510.92</v>
      </c>
      <c r="G1339" s="38" t="n">
        <v>110717.24</v>
      </c>
      <c r="H1339" s="40" t="inlineStr">
        <is>
          <t>Borç</t>
        </is>
      </c>
      <c r="I1339" s="38" t="n">
        <v>8400</v>
      </c>
      <c r="J1339" s="38" t="n">
        <v>6300</v>
      </c>
      <c r="K1339" s="38" t="n">
        <v>2100</v>
      </c>
      <c r="L1339" s="40" t="inlineStr">
        <is>
          <t>Borç</t>
        </is>
      </c>
    </row>
    <row r="1340" s="34">
      <c r="A1340" s="40" t="inlineStr">
        <is>
          <t>320.01.01.G071</t>
        </is>
      </c>
      <c r="B1340" s="40" t="inlineStr">
        <is>
          <t>Gunsu Enerji Sis. Ve Konfor Tes.San.A.Ş.</t>
        </is>
      </c>
      <c r="C1340" s="40" t="inlineStr">
        <is>
          <t>TRY</t>
        </is>
      </c>
      <c r="D1340" s="40" t="inlineStr">
        <is>
          <t>GİTAŞ MERKEZ</t>
        </is>
      </c>
      <c r="E1340" s="38" t="n">
        <v>615175.97</v>
      </c>
      <c r="F1340" s="38" t="n">
        <v>0</v>
      </c>
      <c r="G1340" s="38" t="n">
        <v>615175.97</v>
      </c>
      <c r="H1340" s="40" t="inlineStr">
        <is>
          <t>Borç</t>
        </is>
      </c>
      <c r="I1340" s="38" t="n">
        <v>615175.97</v>
      </c>
      <c r="J1340" s="38" t="n">
        <v>0</v>
      </c>
      <c r="K1340" s="38" t="n">
        <v>615175.97</v>
      </c>
      <c r="L1340" s="40" t="inlineStr">
        <is>
          <t>Borç</t>
        </is>
      </c>
    </row>
    <row r="1341" s="34">
      <c r="A1341" s="40" t="inlineStr">
        <is>
          <t>320.01.01.G071</t>
        </is>
      </c>
      <c r="B1341" s="40" t="inlineStr">
        <is>
          <t>Gunsu Enerji Sis. Ve Konfor Tes.San.A.Ş.</t>
        </is>
      </c>
      <c r="C1341" s="40" t="inlineStr">
        <is>
          <t>TRY</t>
        </is>
      </c>
      <c r="D1341" s="40" t="inlineStr">
        <is>
          <t>ROYAL ADAM EVE</t>
        </is>
      </c>
      <c r="E1341" s="38" t="n">
        <v>847777.12</v>
      </c>
      <c r="F1341" s="38" t="n">
        <v>449528.48</v>
      </c>
      <c r="G1341" s="38" t="n">
        <v>398248.64</v>
      </c>
      <c r="H1341" s="40" t="inlineStr">
        <is>
          <t>Borç</t>
        </is>
      </c>
      <c r="I1341" s="38" t="n">
        <v>847777.12</v>
      </c>
      <c r="J1341" s="38" t="n">
        <v>449528.48</v>
      </c>
      <c r="K1341" s="38" t="n">
        <v>398248.64</v>
      </c>
      <c r="L1341" s="40" t="inlineStr">
        <is>
          <t>Borç</t>
        </is>
      </c>
    </row>
    <row r="1342" s="34">
      <c r="A1342" s="40" t="inlineStr">
        <is>
          <t>320.01.01.G071</t>
        </is>
      </c>
      <c r="B1342" s="40" t="inlineStr">
        <is>
          <t>Gunsu Enerji Sis. Ve Konfor Tes.San.A.Ş.</t>
        </is>
      </c>
      <c r="C1342" s="40" t="inlineStr">
        <is>
          <t>TRY</t>
        </is>
      </c>
      <c r="D1342" s="40" t="inlineStr">
        <is>
          <t>ROYAL ALHAMBRA</t>
        </is>
      </c>
      <c r="E1342" s="38" t="n">
        <v>0</v>
      </c>
      <c r="F1342" s="38" t="n">
        <v>294927.24</v>
      </c>
      <c r="G1342" s="38" t="n">
        <v>-294927.24</v>
      </c>
      <c r="H1342" s="40" t="inlineStr">
        <is>
          <t>Alacak</t>
        </is>
      </c>
      <c r="I1342" s="38" t="n">
        <v>0</v>
      </c>
      <c r="J1342" s="38" t="n">
        <v>294927.24</v>
      </c>
      <c r="K1342" s="38" t="n">
        <v>-294927.24</v>
      </c>
      <c r="L1342" s="40" t="inlineStr">
        <is>
          <t>Alacak</t>
        </is>
      </c>
    </row>
    <row r="1343" s="34">
      <c r="A1343" s="40" t="inlineStr">
        <is>
          <t>320.01.01.G071</t>
        </is>
      </c>
      <c r="B1343" s="40" t="inlineStr">
        <is>
          <t>Gunsu Enerji Sis. Ve Konfor Tes.San.A.Ş.</t>
        </is>
      </c>
      <c r="C1343" s="40" t="inlineStr">
        <is>
          <t>TRY</t>
        </is>
      </c>
      <c r="D1343" s="40" t="inlineStr">
        <is>
          <t>ROYAL DRAGON</t>
        </is>
      </c>
      <c r="E1343" s="38" t="n">
        <v>0</v>
      </c>
      <c r="F1343" s="38" t="n">
        <v>228568.46</v>
      </c>
      <c r="G1343" s="38" t="n">
        <v>-228568.46</v>
      </c>
      <c r="H1343" s="40" t="inlineStr">
        <is>
          <t>Alacak</t>
        </is>
      </c>
      <c r="I1343" s="38" t="n">
        <v>0</v>
      </c>
      <c r="J1343" s="38" t="n">
        <v>228568.46</v>
      </c>
      <c r="K1343" s="38" t="n">
        <v>-228568.46</v>
      </c>
      <c r="L1343" s="40" t="inlineStr">
        <is>
          <t>Alacak</t>
        </is>
      </c>
    </row>
    <row r="1344" s="34">
      <c r="A1344" s="40" t="inlineStr">
        <is>
          <t>320.01.01.G071</t>
        </is>
      </c>
      <c r="B1344" s="40" t="inlineStr">
        <is>
          <t>Gunsu Enerji Sis. Ve Konfor Tes.San.A.Ş.</t>
        </is>
      </c>
      <c r="C1344" s="40" t="inlineStr">
        <is>
          <t>TRY</t>
        </is>
      </c>
      <c r="D1344" s="40" t="inlineStr">
        <is>
          <t>ROYAL HOLIDAY</t>
        </is>
      </c>
      <c r="E1344" s="38" t="n">
        <v>0</v>
      </c>
      <c r="F1344" s="38" t="n">
        <v>570987.14</v>
      </c>
      <c r="G1344" s="38" t="n">
        <v>-570987.14</v>
      </c>
      <c r="H1344" s="40" t="inlineStr">
        <is>
          <t>Alacak</t>
        </is>
      </c>
      <c r="I1344" s="38" t="n">
        <v>0</v>
      </c>
      <c r="J1344" s="38" t="n">
        <v>570987.14</v>
      </c>
      <c r="K1344" s="38" t="n">
        <v>-570987.14</v>
      </c>
      <c r="L1344" s="40" t="inlineStr">
        <is>
          <t>Alacak</t>
        </is>
      </c>
    </row>
    <row r="1345" s="34">
      <c r="A1345" s="40" t="inlineStr">
        <is>
          <t>320.01.01.G071</t>
        </is>
      </c>
      <c r="B1345" s="40" t="inlineStr">
        <is>
          <t>Gunsu Enerji Sis. Ve Konfor Tes.San.A.Ş.</t>
        </is>
      </c>
      <c r="C1345" s="40" t="inlineStr">
        <is>
          <t>TRY</t>
        </is>
      </c>
      <c r="D1345" s="40" t="inlineStr">
        <is>
          <t>ROYAL SEGINUS</t>
        </is>
      </c>
      <c r="E1345" s="38" t="n">
        <v>0</v>
      </c>
      <c r="F1345" s="38" t="n">
        <v>322618.22</v>
      </c>
      <c r="G1345" s="38" t="n">
        <v>-322618.22</v>
      </c>
      <c r="H1345" s="40" t="inlineStr">
        <is>
          <t>Alacak</t>
        </is>
      </c>
      <c r="I1345" s="38" t="n">
        <v>0</v>
      </c>
      <c r="J1345" s="38" t="n">
        <v>322618.22</v>
      </c>
      <c r="K1345" s="38" t="n">
        <v>-322618.22</v>
      </c>
      <c r="L1345" s="40" t="inlineStr">
        <is>
          <t>Alacak</t>
        </is>
      </c>
    </row>
    <row r="1346" s="34">
      <c r="A1346" s="40" t="inlineStr">
        <is>
          <t>320.01.01.G071</t>
        </is>
      </c>
      <c r="B1346" s="40" t="inlineStr">
        <is>
          <t>Gunsu Enerji Sis. Ve Konfor Tes.San.A.Ş.</t>
        </is>
      </c>
      <c r="C1346" s="40" t="inlineStr">
        <is>
          <t>TRY</t>
        </is>
      </c>
      <c r="D1346" s="40" t="inlineStr">
        <is>
          <t>SERTAŞ MERKEZ</t>
        </is>
      </c>
      <c r="E1346" s="38" t="n">
        <v>1313899.32</v>
      </c>
      <c r="F1346" s="38" t="n">
        <v>0</v>
      </c>
      <c r="G1346" s="38" t="n">
        <v>1313899.32</v>
      </c>
      <c r="H1346" s="40" t="inlineStr">
        <is>
          <t>Borç</t>
        </is>
      </c>
      <c r="I1346" s="38" t="n">
        <v>1313899.32</v>
      </c>
      <c r="J1346" s="38" t="n">
        <v>0</v>
      </c>
      <c r="K1346" s="38" t="n">
        <v>1313899.32</v>
      </c>
      <c r="L1346" s="40" t="inlineStr">
        <is>
          <t>Borç</t>
        </is>
      </c>
    </row>
    <row r="1347" s="34">
      <c r="A1347" s="40" t="inlineStr">
        <is>
          <t>320.01.01.G078</t>
        </is>
      </c>
      <c r="B1347" s="40" t="inlineStr">
        <is>
          <t>Gitaş Turizm Tic.İnş.Taah.Ve San.A.Ş.(TL)</t>
        </is>
      </c>
      <c r="C1347" s="40" t="inlineStr">
        <is>
          <t>TRY</t>
        </is>
      </c>
      <c r="D1347" s="40" t="inlineStr">
        <is>
          <t>ROYAL ALHAMBRA</t>
        </is>
      </c>
      <c r="E1347" s="38" t="n">
        <v>0</v>
      </c>
      <c r="F1347" s="38" t="n">
        <v>42801.6</v>
      </c>
      <c r="G1347" s="38" t="n">
        <v>-42801.6</v>
      </c>
      <c r="H1347" s="40" t="inlineStr">
        <is>
          <t>Alacak</t>
        </is>
      </c>
      <c r="I1347" s="38" t="n">
        <v>0</v>
      </c>
      <c r="J1347" s="38" t="n">
        <v>42801.6</v>
      </c>
      <c r="K1347" s="38" t="n">
        <v>-42801.6</v>
      </c>
      <c r="L1347" s="40" t="inlineStr">
        <is>
          <t>Alacak</t>
        </is>
      </c>
    </row>
    <row r="1348" s="34">
      <c r="A1348" s="40" t="inlineStr">
        <is>
          <t>320.01.01.G079</t>
        </is>
      </c>
      <c r="B1348" s="40" t="inlineStr">
        <is>
          <t>Gursel Altun/Berk Dağıtım Pazarlama</t>
        </is>
      </c>
      <c r="C1348" s="40" t="inlineStr">
        <is>
          <t>TRY</t>
        </is>
      </c>
      <c r="D1348" s="40" t="inlineStr">
        <is>
          <t>ROYAL ALHAMBRA</t>
        </is>
      </c>
      <c r="E1348" s="38" t="n">
        <v>0</v>
      </c>
      <c r="F1348" s="38" t="n">
        <v>3876</v>
      </c>
      <c r="G1348" s="38" t="n">
        <v>-3876</v>
      </c>
      <c r="H1348" s="40" t="inlineStr">
        <is>
          <t>Alacak</t>
        </is>
      </c>
      <c r="I1348" s="38" t="n">
        <v>0</v>
      </c>
      <c r="J1348" s="38" t="n">
        <v>3876</v>
      </c>
      <c r="K1348" s="38" t="n">
        <v>-3876</v>
      </c>
      <c r="L1348" s="40" t="inlineStr">
        <is>
          <t>Alacak</t>
        </is>
      </c>
    </row>
    <row r="1349" s="34">
      <c r="A1349" s="40" t="inlineStr">
        <is>
          <t>320.01.01.G079</t>
        </is>
      </c>
      <c r="B1349" s="40" t="inlineStr">
        <is>
          <t>Gursel Altun/Berk Dağıtım Pazarlama</t>
        </is>
      </c>
      <c r="C1349" s="40" t="inlineStr">
        <is>
          <t>TRY</t>
        </is>
      </c>
      <c r="D1349" s="40" t="inlineStr">
        <is>
          <t>ROYAL HOLIDAY</t>
        </is>
      </c>
      <c r="E1349" s="38" t="n">
        <v>0</v>
      </c>
      <c r="F1349" s="38" t="n">
        <v>24200</v>
      </c>
      <c r="G1349" s="38" t="n">
        <v>-24200</v>
      </c>
      <c r="H1349" s="40" t="inlineStr">
        <is>
          <t>Alacak</t>
        </is>
      </c>
      <c r="I1349" s="38" t="n">
        <v>0</v>
      </c>
      <c r="J1349" s="38" t="n">
        <v>24200</v>
      </c>
      <c r="K1349" s="38" t="n">
        <v>-24200</v>
      </c>
      <c r="L1349" s="40" t="inlineStr">
        <is>
          <t>Alacak</t>
        </is>
      </c>
    </row>
    <row r="1350" s="34">
      <c r="A1350" s="40" t="inlineStr">
        <is>
          <t>320.01.01.G079</t>
        </is>
      </c>
      <c r="B1350" s="40" t="inlineStr">
        <is>
          <t>Gursel Altun/Berk Dağıtım Pazarlama</t>
        </is>
      </c>
      <c r="C1350" s="40" t="inlineStr">
        <is>
          <t>TRY</t>
        </is>
      </c>
      <c r="D1350" s="40" t="inlineStr">
        <is>
          <t>ROYAL SEGINUS</t>
        </is>
      </c>
      <c r="E1350" s="38" t="n">
        <v>0</v>
      </c>
      <c r="F1350" s="38" t="n">
        <v>60500</v>
      </c>
      <c r="G1350" s="38" t="n">
        <v>-60500</v>
      </c>
      <c r="H1350" s="40" t="inlineStr">
        <is>
          <t>Alacak</t>
        </is>
      </c>
      <c r="I1350" s="38" t="n">
        <v>0</v>
      </c>
      <c r="J1350" s="38" t="n">
        <v>60500</v>
      </c>
      <c r="K1350" s="38" t="n">
        <v>-60500</v>
      </c>
      <c r="L1350" s="40" t="inlineStr">
        <is>
          <t>Alacak</t>
        </is>
      </c>
    </row>
    <row r="1351" s="34">
      <c r="A1351" s="40" t="inlineStr">
        <is>
          <t>320.01.01.G079</t>
        </is>
      </c>
      <c r="B1351" s="40" t="inlineStr">
        <is>
          <t>Gursel Altun/Berk Dağıtım Pazarlama</t>
        </is>
      </c>
      <c r="C1351" s="40" t="inlineStr">
        <is>
          <t>TRY</t>
        </is>
      </c>
      <c r="D1351" s="40" t="inlineStr">
        <is>
          <t>SERTAŞ MERKEZ</t>
        </is>
      </c>
      <c r="E1351" s="38" t="n">
        <v>66000</v>
      </c>
      <c r="F1351" s="38" t="n">
        <v>0</v>
      </c>
      <c r="G1351" s="38" t="n">
        <v>66000</v>
      </c>
      <c r="H1351" s="40" t="inlineStr">
        <is>
          <t>Borç</t>
        </is>
      </c>
      <c r="I1351" s="38" t="n">
        <v>66000</v>
      </c>
      <c r="J1351" s="38" t="n">
        <v>0</v>
      </c>
      <c r="K1351" s="38" t="n">
        <v>66000</v>
      </c>
      <c r="L1351" s="40" t="inlineStr">
        <is>
          <t>Borç</t>
        </is>
      </c>
    </row>
    <row r="1352" s="34">
      <c r="A1352" s="40" t="inlineStr">
        <is>
          <t>320.01.01.H001</t>
        </is>
      </c>
      <c r="B1352" s="40" t="inlineStr">
        <is>
          <t>Harun Önal</t>
        </is>
      </c>
      <c r="C1352" s="40" t="inlineStr">
        <is>
          <t>TRY</t>
        </is>
      </c>
      <c r="D1352" s="40" t="inlineStr">
        <is>
          <t>SERTAŞ MERKEZ</t>
        </is>
      </c>
      <c r="E1352" s="38" t="n">
        <v>119000.11</v>
      </c>
      <c r="F1352" s="38" t="n">
        <v>0</v>
      </c>
      <c r="G1352" s="38" t="n">
        <v>119000.11</v>
      </c>
      <c r="H1352" s="40" t="inlineStr">
        <is>
          <t>Borç</t>
        </is>
      </c>
      <c r="I1352" s="38" t="n">
        <v>119000.11</v>
      </c>
      <c r="J1352" s="38" t="n">
        <v>0</v>
      </c>
      <c r="K1352" s="38" t="n">
        <v>119000.11</v>
      </c>
      <c r="L1352" s="40" t="inlineStr">
        <is>
          <t>Borç</t>
        </is>
      </c>
    </row>
    <row r="1353" s="34">
      <c r="A1353" s="40" t="inlineStr">
        <is>
          <t>320.01.01.H002</t>
        </is>
      </c>
      <c r="B1353" s="40" t="inlineStr">
        <is>
          <t>Hacı Ali Eğilmez</t>
        </is>
      </c>
      <c r="C1353" s="40" t="inlineStr">
        <is>
          <t>TRY</t>
        </is>
      </c>
      <c r="D1353" s="40" t="inlineStr">
        <is>
          <t>ROYAL ADAM EVE</t>
        </is>
      </c>
      <c r="E1353" s="38" t="n">
        <v>47640</v>
      </c>
      <c r="F1353" s="38" t="n">
        <v>0</v>
      </c>
      <c r="G1353" s="38" t="n">
        <v>47640</v>
      </c>
      <c r="H1353" s="40" t="inlineStr">
        <is>
          <t>Borç</t>
        </is>
      </c>
      <c r="I1353" s="38" t="n">
        <v>47640</v>
      </c>
      <c r="J1353" s="38" t="n">
        <v>0</v>
      </c>
      <c r="K1353" s="38" t="n">
        <v>47640</v>
      </c>
      <c r="L1353" s="40" t="inlineStr">
        <is>
          <t>Borç</t>
        </is>
      </c>
    </row>
    <row r="1354" s="34">
      <c r="A1354" s="40" t="inlineStr">
        <is>
          <t>320.01.01.H004</t>
        </is>
      </c>
      <c r="B1354" s="40" t="inlineStr">
        <is>
          <t>Hava Teknik Ticaret  Turan Serkut  Koçer</t>
        </is>
      </c>
      <c r="C1354" s="40" t="inlineStr">
        <is>
          <t>TRY</t>
        </is>
      </c>
      <c r="D1354" s="40" t="inlineStr">
        <is>
          <t>ROYAL ADAM EVE</t>
        </is>
      </c>
      <c r="E1354" s="38" t="n">
        <v>0</v>
      </c>
      <c r="F1354" s="38" t="n">
        <v>3960</v>
      </c>
      <c r="G1354" s="38" t="n">
        <v>-3960</v>
      </c>
      <c r="H1354" s="40" t="inlineStr">
        <is>
          <t>Alacak</t>
        </is>
      </c>
      <c r="I1354" s="38" t="n">
        <v>0</v>
      </c>
      <c r="J1354" s="38" t="n">
        <v>3960</v>
      </c>
      <c r="K1354" s="38" t="n">
        <v>-3960</v>
      </c>
      <c r="L1354" s="40" t="inlineStr">
        <is>
          <t>Alacak</t>
        </is>
      </c>
    </row>
    <row r="1355" s="34">
      <c r="A1355" s="40" t="inlineStr">
        <is>
          <t>320.01.01.H012</t>
        </is>
      </c>
      <c r="B1355" s="40" t="inlineStr">
        <is>
          <t>Hamamcıoğlu Aydınlatma San. Ve Tic. A.Ş.</t>
        </is>
      </c>
      <c r="C1355" s="40" t="inlineStr">
        <is>
          <t>TRY</t>
        </is>
      </c>
      <c r="D1355" s="40" t="inlineStr">
        <is>
          <t>GİTAŞ MERKEZ</t>
        </is>
      </c>
      <c r="E1355" s="38" t="n">
        <v>12376.2</v>
      </c>
      <c r="F1355" s="38" t="n">
        <v>0</v>
      </c>
      <c r="G1355" s="38" t="n">
        <v>12376.2</v>
      </c>
      <c r="H1355" s="40" t="inlineStr">
        <is>
          <t>Borç</t>
        </is>
      </c>
      <c r="I1355" s="38" t="n">
        <v>0</v>
      </c>
      <c r="J1355" s="38" t="n">
        <v>0</v>
      </c>
      <c r="K1355" s="38" t="n">
        <v>0</v>
      </c>
    </row>
    <row r="1356" s="34">
      <c r="A1356" s="40" t="inlineStr">
        <is>
          <t>320.01.01.H012</t>
        </is>
      </c>
      <c r="B1356" s="40" t="inlineStr">
        <is>
          <t>Hamamcıoğlu Aydınlatma San. Ve Tic. A.Ş.</t>
        </is>
      </c>
      <c r="C1356" s="40" t="inlineStr">
        <is>
          <t>TRY</t>
        </is>
      </c>
      <c r="D1356" s="40" t="inlineStr">
        <is>
          <t>ROYAL ADAM EVE</t>
        </is>
      </c>
      <c r="E1356" s="38" t="n">
        <v>0</v>
      </c>
      <c r="F1356" s="38" t="n">
        <v>13543.5</v>
      </c>
      <c r="G1356" s="38" t="n">
        <v>-13543.5</v>
      </c>
      <c r="H1356" s="40" t="inlineStr">
        <is>
          <t>Alacak</t>
        </is>
      </c>
      <c r="I1356" s="38" t="n">
        <v>0</v>
      </c>
      <c r="J1356" s="38" t="n">
        <v>13543.5</v>
      </c>
      <c r="K1356" s="38" t="n">
        <v>-13543.5</v>
      </c>
      <c r="L1356" s="40" t="inlineStr">
        <is>
          <t>Alacak</t>
        </is>
      </c>
    </row>
    <row r="1357" s="34">
      <c r="A1357" s="40" t="inlineStr">
        <is>
          <t>320.01.01.H012</t>
        </is>
      </c>
      <c r="B1357" s="40" t="inlineStr">
        <is>
          <t>Hamamcıoğlu Aydınlatma San. Ve Tic. A.Ş.</t>
        </is>
      </c>
      <c r="C1357" s="40" t="inlineStr">
        <is>
          <t>TRY</t>
        </is>
      </c>
      <c r="D1357" s="40" t="inlineStr">
        <is>
          <t>ROYAL HOLIDAY</t>
        </is>
      </c>
      <c r="E1357" s="38" t="n">
        <v>0</v>
      </c>
      <c r="F1357" s="38" t="n">
        <v>3000</v>
      </c>
      <c r="G1357" s="38" t="n">
        <v>-3000</v>
      </c>
      <c r="H1357" s="40" t="inlineStr">
        <is>
          <t>Alacak</t>
        </is>
      </c>
      <c r="I1357" s="38" t="n">
        <v>0</v>
      </c>
      <c r="J1357" s="38" t="n">
        <v>3000</v>
      </c>
      <c r="K1357" s="38" t="n">
        <v>-3000</v>
      </c>
      <c r="L1357" s="40" t="inlineStr">
        <is>
          <t>Alacak</t>
        </is>
      </c>
    </row>
    <row r="1358" s="34">
      <c r="A1358" s="40" t="inlineStr">
        <is>
          <t>320.01.01.H012</t>
        </is>
      </c>
      <c r="B1358" s="40" t="inlineStr">
        <is>
          <t>Hamamcıoğlu Aydınlatma San. Ve Tic. A.Ş.</t>
        </is>
      </c>
      <c r="C1358" s="40" t="inlineStr">
        <is>
          <t>TRY</t>
        </is>
      </c>
      <c r="D1358" s="40" t="inlineStr">
        <is>
          <t>ROYAL SEGINUS</t>
        </is>
      </c>
      <c r="E1358" s="38" t="n">
        <v>0</v>
      </c>
      <c r="F1358" s="38" t="n">
        <v>8257.200000000001</v>
      </c>
      <c r="G1358" s="38" t="n">
        <v>-8257.200000000001</v>
      </c>
      <c r="H1358" s="40" t="inlineStr">
        <is>
          <t>Alacak</t>
        </is>
      </c>
      <c r="I1358" s="38" t="n">
        <v>0</v>
      </c>
      <c r="J1358" s="38" t="n">
        <v>8257.200000000001</v>
      </c>
      <c r="K1358" s="38" t="n">
        <v>-8257.200000000001</v>
      </c>
      <c r="L1358" s="40" t="inlineStr">
        <is>
          <t>Alacak</t>
        </is>
      </c>
    </row>
    <row r="1359" s="34">
      <c r="A1359" s="40" t="inlineStr">
        <is>
          <t>320.01.01.H012</t>
        </is>
      </c>
      <c r="B1359" s="40" t="inlineStr">
        <is>
          <t>Hamamcıoğlu Aydınlatma San. Ve Tic. A.Ş.</t>
        </is>
      </c>
      <c r="C1359" s="40" t="inlineStr">
        <is>
          <t>TRY</t>
        </is>
      </c>
      <c r="D1359" s="40" t="inlineStr">
        <is>
          <t>SERTAŞ MERKEZ</t>
        </is>
      </c>
      <c r="E1359" s="38" t="n">
        <v>55849.2</v>
      </c>
      <c r="F1359" s="38" t="n">
        <v>0</v>
      </c>
      <c r="G1359" s="38" t="n">
        <v>55849.2</v>
      </c>
      <c r="H1359" s="40" t="inlineStr">
        <is>
          <t>Borç</t>
        </is>
      </c>
      <c r="I1359" s="38" t="n">
        <v>55849.2</v>
      </c>
      <c r="J1359" s="38" t="n">
        <v>0</v>
      </c>
      <c r="K1359" s="38" t="n">
        <v>55849.2</v>
      </c>
      <c r="L1359" s="40" t="inlineStr">
        <is>
          <t>Borç</t>
        </is>
      </c>
    </row>
    <row r="1360" s="34">
      <c r="A1360" s="40" t="inlineStr">
        <is>
          <t>320.01.01.H033</t>
        </is>
      </c>
      <c r="B1360" s="40" t="inlineStr">
        <is>
          <t>Haten Kozmetik Plas.Mat.Tic.A.Ş.</t>
        </is>
      </c>
      <c r="C1360" s="40" t="inlineStr">
        <is>
          <t>TRY</t>
        </is>
      </c>
      <c r="D1360" s="40" t="inlineStr">
        <is>
          <t>GİTAŞ MERKEZ</t>
        </is>
      </c>
      <c r="E1360" s="38" t="n">
        <v>683425</v>
      </c>
      <c r="F1360" s="38" t="n">
        <v>0</v>
      </c>
      <c r="G1360" s="38" t="n">
        <v>683425</v>
      </c>
      <c r="H1360" s="40" t="inlineStr">
        <is>
          <t>Borç</t>
        </is>
      </c>
      <c r="I1360" s="38" t="n">
        <v>683425</v>
      </c>
      <c r="J1360" s="38" t="n">
        <v>0</v>
      </c>
      <c r="K1360" s="38" t="n">
        <v>683425</v>
      </c>
      <c r="L1360" s="40" t="inlineStr">
        <is>
          <t>Borç</t>
        </is>
      </c>
    </row>
    <row r="1361" s="34">
      <c r="A1361" s="40" t="inlineStr">
        <is>
          <t>320.01.01.H033</t>
        </is>
      </c>
      <c r="B1361" s="40" t="inlineStr">
        <is>
          <t>Haten Kozmetik Plas.Mat.Tic.A.Ş.</t>
        </is>
      </c>
      <c r="C1361" s="40" t="inlineStr">
        <is>
          <t>TRY</t>
        </is>
      </c>
      <c r="D1361" s="40" t="inlineStr">
        <is>
          <t>ROYAL ADAM EVE</t>
        </is>
      </c>
      <c r="E1361" s="38" t="n">
        <v>1075833.86</v>
      </c>
      <c r="F1361" s="38" t="n">
        <v>615034.2</v>
      </c>
      <c r="G1361" s="38" t="n">
        <v>460799.66</v>
      </c>
      <c r="H1361" s="40" t="inlineStr">
        <is>
          <t>Borç</t>
        </is>
      </c>
      <c r="I1361" s="38" t="n">
        <v>1075833.86</v>
      </c>
      <c r="J1361" s="38" t="n">
        <v>615034.2</v>
      </c>
      <c r="K1361" s="38" t="n">
        <v>460799.66</v>
      </c>
      <c r="L1361" s="40" t="inlineStr">
        <is>
          <t>Borç</t>
        </is>
      </c>
    </row>
    <row r="1362" s="34">
      <c r="A1362" s="40" t="inlineStr">
        <is>
          <t>320.01.01.H033</t>
        </is>
      </c>
      <c r="B1362" s="40" t="inlineStr">
        <is>
          <t>Haten Kozmetik Plas.Mat.Tic.A.Ş.</t>
        </is>
      </c>
      <c r="C1362" s="40" t="inlineStr">
        <is>
          <t>TRY</t>
        </is>
      </c>
      <c r="D1362" s="40" t="inlineStr">
        <is>
          <t>ROYAL ALHAMBRA</t>
        </is>
      </c>
      <c r="E1362" s="38" t="n">
        <v>0</v>
      </c>
      <c r="F1362" s="38" t="n">
        <v>73149</v>
      </c>
      <c r="G1362" s="38" t="n">
        <v>-73149</v>
      </c>
      <c r="H1362" s="40" t="inlineStr">
        <is>
          <t>Alacak</t>
        </is>
      </c>
      <c r="I1362" s="38" t="n">
        <v>0</v>
      </c>
      <c r="J1362" s="38" t="n">
        <v>73149</v>
      </c>
      <c r="K1362" s="38" t="n">
        <v>-73149</v>
      </c>
      <c r="L1362" s="40" t="inlineStr">
        <is>
          <t>Alacak</t>
        </is>
      </c>
    </row>
    <row r="1363" s="34">
      <c r="A1363" s="40" t="inlineStr">
        <is>
          <t>320.01.01.H033</t>
        </is>
      </c>
      <c r="B1363" s="40" t="inlineStr">
        <is>
          <t>Haten Kozmetik Plas.Mat.Tic.A.Ş.</t>
        </is>
      </c>
      <c r="C1363" s="40" t="inlineStr">
        <is>
          <t>TRY</t>
        </is>
      </c>
      <c r="D1363" s="40" t="inlineStr">
        <is>
          <t>ROYAL DRAGON</t>
        </is>
      </c>
      <c r="E1363" s="38" t="n">
        <v>0</v>
      </c>
      <c r="F1363" s="38" t="n">
        <v>374795.8</v>
      </c>
      <c r="G1363" s="38" t="n">
        <v>-374795.8</v>
      </c>
      <c r="H1363" s="40" t="inlineStr">
        <is>
          <t>Alacak</t>
        </is>
      </c>
      <c r="I1363" s="38" t="n">
        <v>0</v>
      </c>
      <c r="J1363" s="38" t="n">
        <v>374795.8</v>
      </c>
      <c r="K1363" s="38" t="n">
        <v>-374795.8</v>
      </c>
      <c r="L1363" s="40" t="inlineStr">
        <is>
          <t>Alacak</t>
        </is>
      </c>
    </row>
    <row r="1364" s="34">
      <c r="A1364" s="40" t="inlineStr">
        <is>
          <t>320.01.01.H033</t>
        </is>
      </c>
      <c r="B1364" s="40" t="inlineStr">
        <is>
          <t>Haten Kozmetik Plas.Mat.Tic.A.Ş.</t>
        </is>
      </c>
      <c r="C1364" s="40" t="inlineStr">
        <is>
          <t>TRY</t>
        </is>
      </c>
      <c r="D1364" s="40" t="inlineStr">
        <is>
          <t>ROYAL HOLIDAY</t>
        </is>
      </c>
      <c r="E1364" s="38" t="n">
        <v>0</v>
      </c>
      <c r="F1364" s="38" t="n">
        <v>1079159</v>
      </c>
      <c r="G1364" s="38" t="n">
        <v>-1079159</v>
      </c>
      <c r="H1364" s="40" t="inlineStr">
        <is>
          <t>Alacak</t>
        </is>
      </c>
      <c r="I1364" s="38" t="n">
        <v>0</v>
      </c>
      <c r="J1364" s="38" t="n">
        <v>1079159</v>
      </c>
      <c r="K1364" s="38" t="n">
        <v>-1079159</v>
      </c>
      <c r="L1364" s="40" t="inlineStr">
        <is>
          <t>Alacak</t>
        </is>
      </c>
    </row>
    <row r="1365" s="34">
      <c r="A1365" s="40" t="inlineStr">
        <is>
          <t>320.01.01.H033</t>
        </is>
      </c>
      <c r="B1365" s="40" t="inlineStr">
        <is>
          <t>Haten Kozmetik Plas.Mat.Tic.A.Ş.</t>
        </is>
      </c>
      <c r="C1365" s="40" t="inlineStr">
        <is>
          <t>TRY</t>
        </is>
      </c>
      <c r="D1365" s="40" t="inlineStr">
        <is>
          <t>ROYAL SEGINUS</t>
        </is>
      </c>
      <c r="E1365" s="38" t="n">
        <v>0</v>
      </c>
      <c r="F1365" s="38" t="n">
        <v>229709.6</v>
      </c>
      <c r="G1365" s="38" t="n">
        <v>-229709.6</v>
      </c>
      <c r="H1365" s="40" t="inlineStr">
        <is>
          <t>Alacak</t>
        </is>
      </c>
      <c r="I1365" s="38" t="n">
        <v>0</v>
      </c>
      <c r="J1365" s="38" t="n">
        <v>229709.6</v>
      </c>
      <c r="K1365" s="38" t="n">
        <v>-229709.6</v>
      </c>
      <c r="L1365" s="40" t="inlineStr">
        <is>
          <t>Alacak</t>
        </is>
      </c>
    </row>
    <row r="1366" s="34">
      <c r="A1366" s="40" t="inlineStr">
        <is>
          <t>320.01.01.H033</t>
        </is>
      </c>
      <c r="B1366" s="40" t="inlineStr">
        <is>
          <t>Haten Kozmetik Plas.Mat.Tic.A.Ş.</t>
        </is>
      </c>
      <c r="C1366" s="40" t="inlineStr">
        <is>
          <t>TRY</t>
        </is>
      </c>
      <c r="D1366" s="40" t="inlineStr">
        <is>
          <t>SERTAŞ MERKEZ</t>
        </is>
      </c>
      <c r="E1366" s="38" t="n">
        <v>1435903.2</v>
      </c>
      <c r="F1366" s="38" t="n">
        <v>0</v>
      </c>
      <c r="G1366" s="38" t="n">
        <v>1435903.2</v>
      </c>
      <c r="H1366" s="40" t="inlineStr">
        <is>
          <t>Borç</t>
        </is>
      </c>
      <c r="I1366" s="38" t="n">
        <v>1435903.2</v>
      </c>
      <c r="J1366" s="38" t="n">
        <v>0</v>
      </c>
      <c r="K1366" s="38" t="n">
        <v>1435903.2</v>
      </c>
      <c r="L1366" s="40" t="inlineStr">
        <is>
          <t>Borç</t>
        </is>
      </c>
    </row>
    <row r="1367" s="34">
      <c r="A1367" s="40" t="inlineStr">
        <is>
          <t>320.01.01.H034</t>
        </is>
      </c>
      <c r="B1367" s="40" t="inlineStr">
        <is>
          <t>Halil İbrahim Tanrıkulu</t>
        </is>
      </c>
      <c r="C1367" s="40" t="inlineStr">
        <is>
          <t>TRY</t>
        </is>
      </c>
      <c r="D1367" s="40" t="inlineStr">
        <is>
          <t>ROYAL ADAM EVE</t>
        </is>
      </c>
      <c r="E1367" s="38" t="n">
        <v>0</v>
      </c>
      <c r="F1367" s="38" t="n">
        <v>65025</v>
      </c>
      <c r="G1367" s="38" t="n">
        <v>-65025</v>
      </c>
      <c r="H1367" s="40" t="inlineStr">
        <is>
          <t>Alacak</t>
        </is>
      </c>
      <c r="I1367" s="38" t="n">
        <v>0</v>
      </c>
      <c r="J1367" s="38" t="n">
        <v>65025</v>
      </c>
      <c r="K1367" s="38" t="n">
        <v>-65025</v>
      </c>
      <c r="L1367" s="40" t="inlineStr">
        <is>
          <t>Alacak</t>
        </is>
      </c>
    </row>
    <row r="1368" s="34">
      <c r="A1368" s="40" t="inlineStr">
        <is>
          <t>320.01.01.H040</t>
        </is>
      </c>
      <c r="B1368" s="40" t="inlineStr">
        <is>
          <t>Hb Icecek Gıda San.Tic.Ltd.Şti.</t>
        </is>
      </c>
      <c r="C1368" s="40" t="inlineStr">
        <is>
          <t>TRY</t>
        </is>
      </c>
      <c r="D1368" s="40" t="inlineStr">
        <is>
          <t>ROYAL DRAGON</t>
        </is>
      </c>
      <c r="E1368" s="38" t="n">
        <v>0</v>
      </c>
      <c r="F1368" s="38" t="n">
        <v>8826.389999999999</v>
      </c>
      <c r="G1368" s="38" t="n">
        <v>-8826.389999999999</v>
      </c>
      <c r="H1368" s="40" t="inlineStr">
        <is>
          <t>Alacak</t>
        </is>
      </c>
      <c r="I1368" s="38" t="n">
        <v>0</v>
      </c>
      <c r="J1368" s="38" t="n">
        <v>8826.389999999999</v>
      </c>
      <c r="K1368" s="38" t="n">
        <v>-8826.389999999999</v>
      </c>
      <c r="L1368" s="40" t="inlineStr">
        <is>
          <t>Alacak</t>
        </is>
      </c>
    </row>
    <row r="1369" s="34">
      <c r="A1369" s="40" t="inlineStr">
        <is>
          <t>320.01.01.H040</t>
        </is>
      </c>
      <c r="B1369" s="40" t="inlineStr">
        <is>
          <t>Hb Icecek Gıda San.Tic.Ltd.Şti.</t>
        </is>
      </c>
      <c r="C1369" s="40" t="inlineStr">
        <is>
          <t>TRY</t>
        </is>
      </c>
      <c r="D1369" s="40" t="inlineStr">
        <is>
          <t>ROYAL HOLIDAY</t>
        </is>
      </c>
      <c r="E1369" s="38" t="n">
        <v>0</v>
      </c>
      <c r="F1369" s="38" t="n">
        <v>38313.34</v>
      </c>
      <c r="G1369" s="38" t="n">
        <v>-38313.34</v>
      </c>
      <c r="H1369" s="40" t="inlineStr">
        <is>
          <t>Alacak</t>
        </is>
      </c>
      <c r="I1369" s="38" t="n">
        <v>0</v>
      </c>
      <c r="J1369" s="38" t="n">
        <v>38313.34</v>
      </c>
      <c r="K1369" s="38" t="n">
        <v>-38313.34</v>
      </c>
      <c r="L1369" s="40" t="inlineStr">
        <is>
          <t>Alacak</t>
        </is>
      </c>
    </row>
    <row r="1370" s="34">
      <c r="A1370" s="40" t="inlineStr">
        <is>
          <t>320.01.01.H040</t>
        </is>
      </c>
      <c r="B1370" s="40" t="inlineStr">
        <is>
          <t>Hb Icecek Gıda San.Tic.Ltd.Şti.</t>
        </is>
      </c>
      <c r="C1370" s="40" t="inlineStr">
        <is>
          <t>TRY</t>
        </is>
      </c>
      <c r="D1370" s="40" t="inlineStr">
        <is>
          <t>ROYAL SEGINUS</t>
        </is>
      </c>
      <c r="E1370" s="38" t="n">
        <v>0</v>
      </c>
      <c r="F1370" s="38" t="n">
        <v>19326.86</v>
      </c>
      <c r="G1370" s="38" t="n">
        <v>-19326.86</v>
      </c>
      <c r="H1370" s="40" t="inlineStr">
        <is>
          <t>Alacak</t>
        </is>
      </c>
      <c r="I1370" s="38" t="n">
        <v>0</v>
      </c>
      <c r="J1370" s="38" t="n">
        <v>19326.86</v>
      </c>
      <c r="K1370" s="38" t="n">
        <v>-19326.86</v>
      </c>
      <c r="L1370" s="40" t="inlineStr">
        <is>
          <t>Alacak</t>
        </is>
      </c>
    </row>
    <row r="1371" s="34">
      <c r="A1371" s="40" t="inlineStr">
        <is>
          <t>320.01.01.H049</t>
        </is>
      </c>
      <c r="B1371" s="40" t="inlineStr">
        <is>
          <t>Hıgh Enerjı Verimliliği Dan.Müh.Eğitim İ</t>
        </is>
      </c>
      <c r="C1371" s="40" t="inlineStr">
        <is>
          <t>TRY</t>
        </is>
      </c>
      <c r="D1371" s="40" t="inlineStr">
        <is>
          <t>STONE ÇARŞI</t>
        </is>
      </c>
      <c r="E1371" s="38" t="n">
        <v>0</v>
      </c>
      <c r="F1371" s="38" t="n">
        <v>13559.04</v>
      </c>
      <c r="G1371" s="38" t="n">
        <v>-13559.04</v>
      </c>
      <c r="H1371" s="40" t="inlineStr">
        <is>
          <t>Alacak</t>
        </is>
      </c>
      <c r="I1371" s="38" t="n">
        <v>0</v>
      </c>
      <c r="J1371" s="38" t="n">
        <v>13559.04</v>
      </c>
      <c r="K1371" s="38" t="n">
        <v>-13559.04</v>
      </c>
      <c r="L1371" s="40" t="inlineStr">
        <is>
          <t>Alacak</t>
        </is>
      </c>
    </row>
    <row r="1372" s="34">
      <c r="A1372" s="40" t="inlineStr">
        <is>
          <t>320.01.01.H050</t>
        </is>
      </c>
      <c r="B1372" s="40" t="inlineStr">
        <is>
          <t>Hılls Diamond Aır Havacılık İçecek Gıda</t>
        </is>
      </c>
      <c r="C1372" s="40" t="inlineStr">
        <is>
          <t>TRY</t>
        </is>
      </c>
      <c r="D1372" s="40" t="inlineStr">
        <is>
          <t>GİTAŞ MERKEZ</t>
        </is>
      </c>
      <c r="E1372" s="38" t="n">
        <v>261172.94</v>
      </c>
      <c r="F1372" s="38" t="n">
        <v>0</v>
      </c>
      <c r="G1372" s="38" t="n">
        <v>261172.94</v>
      </c>
      <c r="H1372" s="40" t="inlineStr">
        <is>
          <t>Borç</t>
        </is>
      </c>
      <c r="I1372" s="38" t="n">
        <v>261172.94</v>
      </c>
      <c r="J1372" s="38" t="n">
        <v>0</v>
      </c>
      <c r="K1372" s="38" t="n">
        <v>261172.94</v>
      </c>
      <c r="L1372" s="40" t="inlineStr">
        <is>
          <t>Borç</t>
        </is>
      </c>
    </row>
    <row r="1373" s="34">
      <c r="A1373" s="40" t="inlineStr">
        <is>
          <t>320.01.01.H050</t>
        </is>
      </c>
      <c r="B1373" s="40" t="inlineStr">
        <is>
          <t>Hılls Diamond Aır Havacılık İçecek Gıda</t>
        </is>
      </c>
      <c r="C1373" s="40" t="inlineStr">
        <is>
          <t>TRY</t>
        </is>
      </c>
      <c r="D1373" s="40" t="inlineStr">
        <is>
          <t>ROYAL ADAM EVE</t>
        </is>
      </c>
      <c r="E1373" s="38" t="n">
        <v>891285.12</v>
      </c>
      <c r="F1373" s="38" t="n">
        <v>0</v>
      </c>
      <c r="G1373" s="38" t="n">
        <v>891285.12</v>
      </c>
      <c r="H1373" s="40" t="inlineStr">
        <is>
          <t>Borç</t>
        </is>
      </c>
      <c r="I1373" s="38" t="n">
        <v>891285.12</v>
      </c>
      <c r="J1373" s="38" t="n">
        <v>0</v>
      </c>
      <c r="K1373" s="38" t="n">
        <v>891285.12</v>
      </c>
      <c r="L1373" s="40" t="inlineStr">
        <is>
          <t>Borç</t>
        </is>
      </c>
    </row>
    <row r="1374" s="34">
      <c r="A1374" s="40" t="inlineStr">
        <is>
          <t>320.01.01.H050</t>
        </is>
      </c>
      <c r="B1374" s="40" t="inlineStr">
        <is>
          <t>Hılls Diamond Aır Havacılık İçecek Gıda</t>
        </is>
      </c>
      <c r="C1374" s="40" t="inlineStr">
        <is>
          <t>TRY</t>
        </is>
      </c>
      <c r="D1374" s="40" t="inlineStr">
        <is>
          <t>ROYAL DRAGON</t>
        </is>
      </c>
      <c r="E1374" s="38" t="n">
        <v>0</v>
      </c>
      <c r="F1374" s="38" t="n">
        <v>16643.09</v>
      </c>
      <c r="G1374" s="38" t="n">
        <v>-16643.09</v>
      </c>
      <c r="H1374" s="40" t="inlineStr">
        <is>
          <t>Alacak</t>
        </is>
      </c>
      <c r="I1374" s="38" t="n">
        <v>0</v>
      </c>
      <c r="J1374" s="38" t="n">
        <v>16643.09</v>
      </c>
      <c r="K1374" s="38" t="n">
        <v>-16643.09</v>
      </c>
      <c r="L1374" s="40" t="inlineStr">
        <is>
          <t>Alacak</t>
        </is>
      </c>
    </row>
    <row r="1375" s="34">
      <c r="A1375" s="40" t="inlineStr">
        <is>
          <t>320.01.01.H050</t>
        </is>
      </c>
      <c r="B1375" s="40" t="inlineStr">
        <is>
          <t>Hılls Diamond Aır Havacılık İçecek Gıda</t>
        </is>
      </c>
      <c r="C1375" s="40" t="inlineStr">
        <is>
          <t>TRY</t>
        </is>
      </c>
      <c r="D1375" s="40" t="inlineStr">
        <is>
          <t>ROYAL SEGINUS</t>
        </is>
      </c>
      <c r="E1375" s="38" t="n">
        <v>0</v>
      </c>
      <c r="F1375" s="38" t="n">
        <v>863781.12</v>
      </c>
      <c r="G1375" s="38" t="n">
        <v>-863781.12</v>
      </c>
      <c r="H1375" s="40" t="inlineStr">
        <is>
          <t>Alacak</t>
        </is>
      </c>
      <c r="I1375" s="38" t="n">
        <v>0</v>
      </c>
      <c r="J1375" s="38" t="n">
        <v>863781.12</v>
      </c>
      <c r="K1375" s="38" t="n">
        <v>-863781.12</v>
      </c>
      <c r="L1375" s="40" t="inlineStr">
        <is>
          <t>Alacak</t>
        </is>
      </c>
    </row>
    <row r="1376" s="34">
      <c r="A1376" s="40" t="inlineStr">
        <is>
          <t>320.01.01.H058</t>
        </is>
      </c>
      <c r="B1376" s="40" t="inlineStr">
        <is>
          <t>Homs Global Teknoloji A.Ş./Euro</t>
        </is>
      </c>
      <c r="C1376" s="40" t="inlineStr">
        <is>
          <t>TRY</t>
        </is>
      </c>
      <c r="D1376" s="40" t="inlineStr">
        <is>
          <t>GİTAŞ MERKEZ</t>
        </is>
      </c>
      <c r="E1376" s="38" t="n">
        <v>42638.32</v>
      </c>
      <c r="F1376" s="38" t="n">
        <v>0</v>
      </c>
      <c r="G1376" s="38" t="n">
        <v>42638.32</v>
      </c>
      <c r="H1376" s="40" t="inlineStr">
        <is>
          <t>Borç</t>
        </is>
      </c>
      <c r="I1376" s="38" t="n">
        <v>42638.32</v>
      </c>
      <c r="J1376" s="38" t="n">
        <v>0</v>
      </c>
      <c r="K1376" s="38" t="n">
        <v>42638.32</v>
      </c>
      <c r="L1376" s="40" t="inlineStr">
        <is>
          <t>Borç</t>
        </is>
      </c>
    </row>
    <row r="1377" s="34">
      <c r="A1377" s="40" t="inlineStr">
        <is>
          <t>320.01.01.H058</t>
        </is>
      </c>
      <c r="B1377" s="40" t="inlineStr">
        <is>
          <t>Homs Global Teknoloji A.Ş./Euro</t>
        </is>
      </c>
      <c r="C1377" s="40" t="inlineStr">
        <is>
          <t>TRY</t>
        </is>
      </c>
      <c r="D1377" s="40" t="inlineStr">
        <is>
          <t>ROYAL ADAM EVE</t>
        </is>
      </c>
      <c r="E1377" s="38" t="n">
        <v>21234.08</v>
      </c>
      <c r="F1377" s="38" t="n">
        <v>21234.08</v>
      </c>
      <c r="G1377" s="38" t="n">
        <v>0</v>
      </c>
      <c r="I1377" s="38" t="n">
        <v>21234.08</v>
      </c>
      <c r="J1377" s="38" t="n">
        <v>400</v>
      </c>
      <c r="K1377" s="38" t="n">
        <v>20834.08</v>
      </c>
      <c r="L1377" s="40" t="inlineStr">
        <is>
          <t>Borç</t>
        </is>
      </c>
    </row>
    <row r="1378" s="34">
      <c r="A1378" s="40" t="inlineStr">
        <is>
          <t>320.01.01.H058</t>
        </is>
      </c>
      <c r="B1378" s="40" t="inlineStr">
        <is>
          <t>Homs Global Teknoloji A.Ş./Euro</t>
        </is>
      </c>
      <c r="C1378" s="40" t="inlineStr">
        <is>
          <t>TRY</t>
        </is>
      </c>
      <c r="D1378" s="40" t="inlineStr">
        <is>
          <t>ROYAL ALHAMBRA</t>
        </is>
      </c>
      <c r="E1378" s="38" t="n">
        <v>0</v>
      </c>
      <c r="F1378" s="38" t="n">
        <v>21319.16</v>
      </c>
      <c r="G1378" s="38" t="n">
        <v>-21319.16</v>
      </c>
      <c r="H1378" s="40" t="inlineStr">
        <is>
          <t>Alacak</t>
        </is>
      </c>
      <c r="I1378" s="38" t="n">
        <v>0</v>
      </c>
      <c r="J1378" s="38" t="n">
        <v>21319.16</v>
      </c>
      <c r="K1378" s="38" t="n">
        <v>-21319.16</v>
      </c>
      <c r="L1378" s="40" t="inlineStr">
        <is>
          <t>Alacak</t>
        </is>
      </c>
    </row>
    <row r="1379" s="34">
      <c r="A1379" s="40" t="inlineStr">
        <is>
          <t>320.01.01.H058</t>
        </is>
      </c>
      <c r="B1379" s="40" t="inlineStr">
        <is>
          <t>Homs Global Teknoloji A.Ş./Euro</t>
        </is>
      </c>
      <c r="C1379" s="40" t="inlineStr">
        <is>
          <t>TRY</t>
        </is>
      </c>
      <c r="D1379" s="40" t="inlineStr">
        <is>
          <t>ROYAL HOLIDAY</t>
        </is>
      </c>
      <c r="E1379" s="38" t="n">
        <v>0</v>
      </c>
      <c r="F1379" s="38" t="n">
        <v>21319.16</v>
      </c>
      <c r="G1379" s="38" t="n">
        <v>-21319.16</v>
      </c>
      <c r="H1379" s="40" t="inlineStr">
        <is>
          <t>Alacak</t>
        </is>
      </c>
      <c r="I1379" s="38" t="n">
        <v>0</v>
      </c>
      <c r="J1379" s="38" t="n">
        <v>400</v>
      </c>
      <c r="K1379" s="38" t="n">
        <v>-400</v>
      </c>
      <c r="L1379" s="40" t="inlineStr">
        <is>
          <t>Alacak</t>
        </is>
      </c>
    </row>
    <row r="1380" s="34">
      <c r="A1380" s="40" t="inlineStr">
        <is>
          <t>320.01.01.H058</t>
        </is>
      </c>
      <c r="B1380" s="40" t="inlineStr">
        <is>
          <t>Homs Global Teknoloji A.Ş./Euro</t>
        </is>
      </c>
      <c r="C1380" s="40" t="inlineStr">
        <is>
          <t>TRY</t>
        </is>
      </c>
      <c r="D1380" s="40" t="inlineStr">
        <is>
          <t>SERTAŞ MERKEZ</t>
        </is>
      </c>
      <c r="E1380" s="38" t="n">
        <v>42638.32</v>
      </c>
      <c r="F1380" s="38" t="n">
        <v>0</v>
      </c>
      <c r="G1380" s="38" t="n">
        <v>42638.32</v>
      </c>
      <c r="H1380" s="40" t="inlineStr">
        <is>
          <t>Borç</t>
        </is>
      </c>
      <c r="I1380" s="38" t="n">
        <v>42638.32</v>
      </c>
      <c r="J1380" s="38" t="n">
        <v>0</v>
      </c>
      <c r="K1380" s="38" t="n">
        <v>42638.32</v>
      </c>
      <c r="L1380" s="40" t="inlineStr">
        <is>
          <t>Borç</t>
        </is>
      </c>
    </row>
    <row r="1381" s="34">
      <c r="A1381" s="40" t="inlineStr">
        <is>
          <t>320.01.01.H073</t>
        </is>
      </c>
      <c r="B1381" s="40" t="inlineStr">
        <is>
          <t>Halil Sulu/Hı Event Company</t>
        </is>
      </c>
      <c r="C1381" s="40" t="inlineStr">
        <is>
          <t>TRY</t>
        </is>
      </c>
      <c r="D1381" s="40" t="inlineStr">
        <is>
          <t>GİTAŞ MERKEZ</t>
        </is>
      </c>
      <c r="E1381" s="38" t="n">
        <v>108528</v>
      </c>
      <c r="F1381" s="38" t="n">
        <v>0</v>
      </c>
      <c r="G1381" s="38" t="n">
        <v>108528</v>
      </c>
      <c r="H1381" s="40" t="inlineStr">
        <is>
          <t>Borç</t>
        </is>
      </c>
      <c r="I1381" s="38" t="n">
        <v>108528</v>
      </c>
      <c r="J1381" s="38" t="n">
        <v>0</v>
      </c>
      <c r="K1381" s="38" t="n">
        <v>108528</v>
      </c>
      <c r="L1381" s="40" t="inlineStr">
        <is>
          <t>Borç</t>
        </is>
      </c>
    </row>
    <row r="1382" s="34">
      <c r="A1382" s="40" t="inlineStr">
        <is>
          <t>320.01.01.H073</t>
        </is>
      </c>
      <c r="B1382" s="40" t="inlineStr">
        <is>
          <t>Halil Sulu/Hı Event Company</t>
        </is>
      </c>
      <c r="C1382" s="40" t="inlineStr">
        <is>
          <t>TRY</t>
        </is>
      </c>
      <c r="D1382" s="40" t="inlineStr">
        <is>
          <t>ROYAL ADAM EVE</t>
        </is>
      </c>
      <c r="E1382" s="38" t="n">
        <v>494762.4</v>
      </c>
      <c r="F1382" s="38" t="n">
        <v>0</v>
      </c>
      <c r="G1382" s="38" t="n">
        <v>494762.4</v>
      </c>
      <c r="H1382" s="40" t="inlineStr">
        <is>
          <t>Borç</t>
        </is>
      </c>
      <c r="I1382" s="38" t="n">
        <v>494762.4</v>
      </c>
      <c r="J1382" s="38" t="n">
        <v>0</v>
      </c>
      <c r="K1382" s="38" t="n">
        <v>494762.4</v>
      </c>
      <c r="L1382" s="40" t="inlineStr">
        <is>
          <t>Borç</t>
        </is>
      </c>
    </row>
    <row r="1383" s="34">
      <c r="A1383" s="40" t="inlineStr">
        <is>
          <t>320.01.01.H076</t>
        </is>
      </c>
      <c r="B1383" s="40" t="inlineStr">
        <is>
          <t>Holidaycheck Ag</t>
        </is>
      </c>
      <c r="C1383" s="40" t="inlineStr">
        <is>
          <t>TRY</t>
        </is>
      </c>
      <c r="D1383" s="40" t="inlineStr">
        <is>
          <t>GİTAŞ MERKEZ</t>
        </is>
      </c>
      <c r="E1383" s="38" t="n">
        <v>128447.28</v>
      </c>
      <c r="F1383" s="38" t="n">
        <v>1861.6</v>
      </c>
      <c r="G1383" s="38" t="n">
        <v>126585.68</v>
      </c>
      <c r="H1383" s="40" t="inlineStr">
        <is>
          <t>Borç</t>
        </is>
      </c>
      <c r="I1383" s="38" t="n">
        <v>2411</v>
      </c>
      <c r="J1383" s="38" t="n">
        <v>35</v>
      </c>
      <c r="K1383" s="38" t="n">
        <v>2376</v>
      </c>
      <c r="L1383" s="40" t="inlineStr">
        <is>
          <t>Borç</t>
        </is>
      </c>
    </row>
    <row r="1384" s="34">
      <c r="A1384" s="40" t="inlineStr">
        <is>
          <t>320.01.01.H076</t>
        </is>
      </c>
      <c r="B1384" s="40" t="inlineStr">
        <is>
          <t>Holidaycheck Ag</t>
        </is>
      </c>
      <c r="C1384" s="40" t="inlineStr">
        <is>
          <t>TRY</t>
        </is>
      </c>
      <c r="D1384" s="40" t="inlineStr">
        <is>
          <t>ROYAL ADAM EVE</t>
        </is>
      </c>
      <c r="E1384" s="38" t="n">
        <v>65021.47</v>
      </c>
      <c r="F1384" s="38" t="n">
        <v>1728.63</v>
      </c>
      <c r="G1384" s="38" t="n">
        <v>63292.84</v>
      </c>
      <c r="H1384" s="40" t="inlineStr">
        <is>
          <t>Borç</t>
        </is>
      </c>
      <c r="I1384" s="38" t="n">
        <v>1220.5</v>
      </c>
      <c r="J1384" s="38" t="n">
        <v>32.5</v>
      </c>
      <c r="K1384" s="38" t="n">
        <v>1188</v>
      </c>
      <c r="L1384" s="40" t="inlineStr">
        <is>
          <t>Borç</t>
        </is>
      </c>
    </row>
    <row r="1385" s="34">
      <c r="A1385" s="40" t="inlineStr">
        <is>
          <t>320.01.01.H076</t>
        </is>
      </c>
      <c r="B1385" s="40" t="inlineStr">
        <is>
          <t>Holidaycheck Ag</t>
        </is>
      </c>
      <c r="C1385" s="40" t="inlineStr">
        <is>
          <t>TRY</t>
        </is>
      </c>
      <c r="D1385" s="40" t="inlineStr">
        <is>
          <t>SERTAŞ MERKEZ</t>
        </is>
      </c>
      <c r="E1385" s="38" t="n">
        <v>128447.28</v>
      </c>
      <c r="F1385" s="38" t="n">
        <v>1861.6</v>
      </c>
      <c r="G1385" s="38" t="n">
        <v>126585.68</v>
      </c>
      <c r="H1385" s="40" t="inlineStr">
        <is>
          <t>Borç</t>
        </is>
      </c>
      <c r="I1385" s="38" t="n">
        <v>2411</v>
      </c>
      <c r="J1385" s="38" t="n">
        <v>35</v>
      </c>
      <c r="K1385" s="38" t="n">
        <v>2376</v>
      </c>
      <c r="L1385" s="40" t="inlineStr">
        <is>
          <t>Borç</t>
        </is>
      </c>
    </row>
    <row r="1386" s="34">
      <c r="A1386" s="40" t="inlineStr">
        <is>
          <t>320.01.01.H077</t>
        </is>
      </c>
      <c r="B1386" s="40" t="inlineStr">
        <is>
          <t>Hakan Kurt</t>
        </is>
      </c>
      <c r="C1386" s="40" t="inlineStr">
        <is>
          <t>TRY</t>
        </is>
      </c>
      <c r="D1386" s="40" t="inlineStr">
        <is>
          <t>SERTAŞ MERKEZ</t>
        </is>
      </c>
      <c r="E1386" s="38" t="n">
        <v>42000</v>
      </c>
      <c r="F1386" s="38" t="n">
        <v>0</v>
      </c>
      <c r="G1386" s="38" t="n">
        <v>42000</v>
      </c>
      <c r="H1386" s="40" t="inlineStr">
        <is>
          <t>Borç</t>
        </is>
      </c>
      <c r="I1386" s="38" t="n">
        <v>42000</v>
      </c>
      <c r="J1386" s="38" t="n">
        <v>0</v>
      </c>
      <c r="K1386" s="38" t="n">
        <v>42000</v>
      </c>
      <c r="L1386" s="40" t="inlineStr">
        <is>
          <t>Borç</t>
        </is>
      </c>
    </row>
    <row r="1387" s="34">
      <c r="A1387" s="40" t="inlineStr">
        <is>
          <t>320.01.01.H087</t>
        </is>
      </c>
      <c r="B1387" s="40" t="inlineStr">
        <is>
          <t>Hüseyin Kıvran</t>
        </is>
      </c>
      <c r="C1387" s="40" t="inlineStr">
        <is>
          <t>TRY</t>
        </is>
      </c>
      <c r="D1387" s="40" t="inlineStr">
        <is>
          <t>ROYAL ADAM EVE</t>
        </is>
      </c>
      <c r="E1387" s="38" t="n">
        <v>3619.2</v>
      </c>
      <c r="F1387" s="38" t="n">
        <v>0</v>
      </c>
      <c r="G1387" s="38" t="n">
        <v>3619.2</v>
      </c>
      <c r="H1387" s="40" t="inlineStr">
        <is>
          <t>Borç</t>
        </is>
      </c>
      <c r="I1387" s="38" t="n">
        <v>3619.2</v>
      </c>
      <c r="J1387" s="38" t="n">
        <v>0</v>
      </c>
      <c r="K1387" s="38" t="n">
        <v>3619.2</v>
      </c>
      <c r="L1387" s="40" t="inlineStr">
        <is>
          <t>Borç</t>
        </is>
      </c>
    </row>
    <row r="1388" s="34">
      <c r="A1388" s="40" t="inlineStr">
        <is>
          <t>320.01.01.H087</t>
        </is>
      </c>
      <c r="B1388" s="40" t="inlineStr">
        <is>
          <t>Hüseyin Kıvran</t>
        </is>
      </c>
      <c r="C1388" s="40" t="inlineStr">
        <is>
          <t>TRY</t>
        </is>
      </c>
      <c r="D1388" s="40" t="inlineStr">
        <is>
          <t>ROYAL SEGINUS</t>
        </is>
      </c>
      <c r="E1388" s="38" t="n">
        <v>0</v>
      </c>
      <c r="F1388" s="38" t="n">
        <v>7497.38</v>
      </c>
      <c r="G1388" s="38" t="n">
        <v>-7497.38</v>
      </c>
      <c r="H1388" s="40" t="inlineStr">
        <is>
          <t>Alacak</t>
        </is>
      </c>
      <c r="I1388" s="38" t="n">
        <v>0</v>
      </c>
      <c r="J1388" s="38" t="n">
        <v>7497.38</v>
      </c>
      <c r="K1388" s="38" t="n">
        <v>-7497.38</v>
      </c>
      <c r="L1388" s="40" t="inlineStr">
        <is>
          <t>Alacak</t>
        </is>
      </c>
    </row>
    <row r="1389" s="34">
      <c r="A1389" s="40" t="inlineStr">
        <is>
          <t>320.01.01.H087</t>
        </is>
      </c>
      <c r="B1389" s="40" t="inlineStr">
        <is>
          <t>Hüseyin Kıvran</t>
        </is>
      </c>
      <c r="C1389" s="40" t="inlineStr">
        <is>
          <t>TRY</t>
        </is>
      </c>
      <c r="D1389" s="40" t="inlineStr">
        <is>
          <t>SERTAŞ MERKEZ</t>
        </is>
      </c>
      <c r="E1389" s="38" t="n">
        <v>101751</v>
      </c>
      <c r="F1389" s="38" t="n">
        <v>0</v>
      </c>
      <c r="G1389" s="38" t="n">
        <v>101751</v>
      </c>
      <c r="H1389" s="40" t="inlineStr">
        <is>
          <t>Borç</t>
        </is>
      </c>
      <c r="I1389" s="38" t="n">
        <v>101751</v>
      </c>
      <c r="J1389" s="38" t="n">
        <v>0</v>
      </c>
      <c r="K1389" s="38" t="n">
        <v>101751</v>
      </c>
      <c r="L1389" s="40" t="inlineStr">
        <is>
          <t>Borç</t>
        </is>
      </c>
    </row>
    <row r="1390" s="34">
      <c r="A1390" s="40" t="inlineStr">
        <is>
          <t>320.01.01.H089</t>
        </is>
      </c>
      <c r="B1390" s="40" t="inlineStr">
        <is>
          <t>Hatice Erdoğan</t>
        </is>
      </c>
      <c r="C1390" s="40" t="inlineStr">
        <is>
          <t>TRY</t>
        </is>
      </c>
      <c r="D1390" s="40" t="inlineStr">
        <is>
          <t>GİTAŞ MERKEZ</t>
        </is>
      </c>
      <c r="E1390" s="38" t="n">
        <v>11434.33</v>
      </c>
      <c r="F1390" s="38" t="n">
        <v>0</v>
      </c>
      <c r="G1390" s="38" t="n">
        <v>11434.33</v>
      </c>
      <c r="H1390" s="40" t="inlineStr">
        <is>
          <t>Borç</t>
        </is>
      </c>
      <c r="I1390" s="38" t="n">
        <v>11434.33</v>
      </c>
      <c r="J1390" s="38" t="n">
        <v>0</v>
      </c>
      <c r="K1390" s="38" t="n">
        <v>11434.33</v>
      </c>
      <c r="L1390" s="40" t="inlineStr">
        <is>
          <t>Borç</t>
        </is>
      </c>
    </row>
    <row r="1391" s="34">
      <c r="A1391" s="40" t="inlineStr">
        <is>
          <t>320.01.01.H090</t>
        </is>
      </c>
      <c r="B1391" s="40" t="inlineStr">
        <is>
          <t>Her-Mak Her Türlü Makina Aletleri Isıtma Soğutma Tic. Ve San. Ltd. Şti</t>
        </is>
      </c>
      <c r="C1391" s="40" t="inlineStr">
        <is>
          <t>TRY</t>
        </is>
      </c>
      <c r="D1391" s="40" t="inlineStr">
        <is>
          <t>GİTAŞ MERKEZ</t>
        </is>
      </c>
      <c r="E1391" s="38" t="n">
        <v>61200</v>
      </c>
      <c r="F1391" s="38" t="n">
        <v>0</v>
      </c>
      <c r="G1391" s="38" t="n">
        <v>61200</v>
      </c>
      <c r="H1391" s="40" t="inlineStr">
        <is>
          <t>Borç</t>
        </is>
      </c>
      <c r="I1391" s="38" t="n">
        <v>61200</v>
      </c>
      <c r="J1391" s="38" t="n">
        <v>0</v>
      </c>
      <c r="K1391" s="38" t="n">
        <v>61200</v>
      </c>
      <c r="L1391" s="40" t="inlineStr">
        <is>
          <t>Borç</t>
        </is>
      </c>
    </row>
    <row r="1392" s="34">
      <c r="A1392" s="40" t="inlineStr">
        <is>
          <t>320.01.01.H091</t>
        </is>
      </c>
      <c r="B1392" s="40" t="inlineStr">
        <is>
          <t>Hanım Koyucan</t>
        </is>
      </c>
      <c r="C1392" s="40" t="inlineStr">
        <is>
          <t>TRY</t>
        </is>
      </c>
      <c r="D1392" s="40" t="inlineStr">
        <is>
          <t>SERTAŞ MERKEZ</t>
        </is>
      </c>
      <c r="E1392" s="38" t="n">
        <v>139000</v>
      </c>
      <c r="F1392" s="38" t="n">
        <v>0</v>
      </c>
      <c r="G1392" s="38" t="n">
        <v>139000</v>
      </c>
      <c r="H1392" s="40" t="inlineStr">
        <is>
          <t>Borç</t>
        </is>
      </c>
      <c r="I1392" s="38" t="n">
        <v>139000</v>
      </c>
      <c r="J1392" s="38" t="n">
        <v>0</v>
      </c>
      <c r="K1392" s="38" t="n">
        <v>139000</v>
      </c>
      <c r="L1392" s="40" t="inlineStr">
        <is>
          <t>Borç</t>
        </is>
      </c>
    </row>
    <row r="1393" s="34">
      <c r="A1393" s="40" t="inlineStr">
        <is>
          <t>320.01.01.H092</t>
        </is>
      </c>
      <c r="B1393" s="40" t="inlineStr">
        <is>
          <t>Hotelrunner Bilgi Teknolojileri Tic.A.Ş</t>
        </is>
      </c>
      <c r="C1393" s="40" t="inlineStr">
        <is>
          <t>USD</t>
        </is>
      </c>
      <c r="D1393" s="40" t="inlineStr">
        <is>
          <t>GİTAŞ MERKEZ</t>
        </is>
      </c>
      <c r="E1393" s="38" t="n">
        <v>110863.68</v>
      </c>
      <c r="F1393" s="38" t="n">
        <v>0</v>
      </c>
      <c r="G1393" s="38" t="n">
        <v>110863.68</v>
      </c>
      <c r="H1393" s="40" t="inlineStr">
        <is>
          <t>Borç</t>
        </is>
      </c>
      <c r="I1393" s="38" t="n">
        <v>2400</v>
      </c>
      <c r="J1393" s="38" t="n">
        <v>0</v>
      </c>
      <c r="K1393" s="38" t="n">
        <v>2400</v>
      </c>
      <c r="L1393" s="40" t="inlineStr">
        <is>
          <t>Borç</t>
        </is>
      </c>
    </row>
    <row r="1394" s="34">
      <c r="A1394" s="40" t="inlineStr">
        <is>
          <t>320.01.01.H092</t>
        </is>
      </c>
      <c r="B1394" s="40" t="inlineStr">
        <is>
          <t>Hotelrunner Bilgi Teknolojileri Tic.A.Ş</t>
        </is>
      </c>
      <c r="C1394" s="40" t="inlineStr">
        <is>
          <t>USD</t>
        </is>
      </c>
      <c r="D1394" s="40" t="inlineStr">
        <is>
          <t>ROYAL ADAM EVE</t>
        </is>
      </c>
      <c r="E1394" s="38" t="n">
        <v>55431.84</v>
      </c>
      <c r="F1394" s="38" t="n">
        <v>110560.56</v>
      </c>
      <c r="G1394" s="38" t="n">
        <v>-55128.72</v>
      </c>
      <c r="H1394" s="40" t="inlineStr">
        <is>
          <t>Alacak</t>
        </is>
      </c>
      <c r="I1394" s="38" t="n">
        <v>1200</v>
      </c>
      <c r="J1394" s="38" t="n">
        <v>2400</v>
      </c>
      <c r="K1394" s="38" t="n">
        <v>-1200</v>
      </c>
      <c r="L1394" s="40" t="inlineStr">
        <is>
          <t>Alacak</t>
        </is>
      </c>
    </row>
    <row r="1395" s="34">
      <c r="A1395" s="40" t="inlineStr">
        <is>
          <t>320.01.01.H092</t>
        </is>
      </c>
      <c r="B1395" s="40" t="inlineStr">
        <is>
          <t>Hotelrunner Bilgi Teknolojileri Tic.A.Ş</t>
        </is>
      </c>
      <c r="C1395" s="40" t="inlineStr">
        <is>
          <t>USD</t>
        </is>
      </c>
      <c r="D1395" s="40" t="inlineStr">
        <is>
          <t>SERTAŞ MERKEZ</t>
        </is>
      </c>
      <c r="E1395" s="38" t="n">
        <v>110863.68</v>
      </c>
      <c r="F1395" s="38" t="n">
        <v>0</v>
      </c>
      <c r="G1395" s="38" t="n">
        <v>110863.68</v>
      </c>
      <c r="H1395" s="40" t="inlineStr">
        <is>
          <t>Borç</t>
        </is>
      </c>
      <c r="I1395" s="38" t="n">
        <v>2400</v>
      </c>
      <c r="J1395" s="38" t="n">
        <v>0</v>
      </c>
      <c r="K1395" s="38" t="n">
        <v>2400</v>
      </c>
      <c r="L1395" s="40" t="inlineStr">
        <is>
          <t>Borç</t>
        </is>
      </c>
    </row>
    <row r="1396" s="34">
      <c r="A1396" s="40" t="inlineStr">
        <is>
          <t>320.01.01.H093</t>
        </is>
      </c>
      <c r="B1396" s="40" t="inlineStr">
        <is>
          <t>Hasan Büyükkaya</t>
        </is>
      </c>
      <c r="C1396" s="40" t="inlineStr">
        <is>
          <t>TRY</t>
        </is>
      </c>
      <c r="D1396" s="40" t="inlineStr">
        <is>
          <t>GİTAŞ MERKEZ</t>
        </is>
      </c>
      <c r="E1396" s="38" t="n">
        <v>40320</v>
      </c>
      <c r="F1396" s="38" t="n">
        <v>0</v>
      </c>
      <c r="G1396" s="38" t="n">
        <v>40320</v>
      </c>
      <c r="H1396" s="40" t="inlineStr">
        <is>
          <t>Borç</t>
        </is>
      </c>
      <c r="I1396" s="38" t="n">
        <v>40320</v>
      </c>
      <c r="J1396" s="38" t="n">
        <v>0</v>
      </c>
      <c r="K1396" s="38" t="n">
        <v>40320</v>
      </c>
      <c r="L1396" s="40" t="inlineStr">
        <is>
          <t>Borç</t>
        </is>
      </c>
    </row>
    <row r="1397" s="34">
      <c r="A1397" s="40" t="inlineStr">
        <is>
          <t>320.01.01.I002</t>
        </is>
      </c>
      <c r="B1397" s="40" t="inlineStr">
        <is>
          <t xml:space="preserve">Ibc Endüstriyel Yatırımlar Makina Otomotiv Medikal İnşaat Sanayi ve Tic.Ltd.Şti. </t>
        </is>
      </c>
      <c r="C1397" s="40" t="inlineStr">
        <is>
          <t>TRY</t>
        </is>
      </c>
      <c r="D1397" s="40" t="inlineStr">
        <is>
          <t>SERTAŞ MERKEZ</t>
        </is>
      </c>
      <c r="E1397" s="38" t="n">
        <v>0</v>
      </c>
      <c r="F1397" s="38" t="n">
        <v>0.15</v>
      </c>
      <c r="G1397" s="38" t="n">
        <v>-0.15</v>
      </c>
      <c r="H1397" s="40" t="inlineStr">
        <is>
          <t>Alacak</t>
        </is>
      </c>
      <c r="I1397" s="38" t="n">
        <v>0</v>
      </c>
      <c r="J1397" s="38" t="n">
        <v>0.15</v>
      </c>
      <c r="K1397" s="38" t="n">
        <v>-0.15</v>
      </c>
      <c r="L1397" s="40" t="inlineStr">
        <is>
          <t>Alacak</t>
        </is>
      </c>
    </row>
    <row r="1398" s="34">
      <c r="A1398" s="40" t="inlineStr">
        <is>
          <t>320.01.01.I003</t>
        </is>
      </c>
      <c r="B1398" s="40" t="inlineStr">
        <is>
          <t>Ibrahım Yılmaz / Er-Ay End.Tekstil</t>
        </is>
      </c>
      <c r="C1398" s="40" t="inlineStr">
        <is>
          <t>TRY</t>
        </is>
      </c>
      <c r="D1398" s="40" t="inlineStr">
        <is>
          <t>GİTAŞ MERKEZ</t>
        </is>
      </c>
      <c r="E1398" s="38" t="n">
        <v>14000</v>
      </c>
      <c r="F1398" s="38" t="n">
        <v>0</v>
      </c>
      <c r="G1398" s="38" t="n">
        <v>14000</v>
      </c>
      <c r="H1398" s="40" t="inlineStr">
        <is>
          <t>Borç</t>
        </is>
      </c>
      <c r="I1398" s="38" t="n">
        <v>14000</v>
      </c>
      <c r="J1398" s="38" t="n">
        <v>0</v>
      </c>
      <c r="K1398" s="38" t="n">
        <v>14000</v>
      </c>
      <c r="L1398" s="40" t="inlineStr">
        <is>
          <t>Borç</t>
        </is>
      </c>
    </row>
    <row r="1399" s="34">
      <c r="A1399" s="40" t="inlineStr">
        <is>
          <t>320.01.01.I003</t>
        </is>
      </c>
      <c r="B1399" s="40" t="inlineStr">
        <is>
          <t>Ibrahım Yılmaz / Er-Ay End.Tekstil</t>
        </is>
      </c>
      <c r="C1399" s="40" t="inlineStr">
        <is>
          <t>TRY</t>
        </is>
      </c>
      <c r="D1399" s="40" t="inlineStr">
        <is>
          <t>SERTAŞ MERKEZ</t>
        </is>
      </c>
      <c r="E1399" s="38" t="n">
        <v>640</v>
      </c>
      <c r="F1399" s="38" t="n">
        <v>0</v>
      </c>
      <c r="G1399" s="38" t="n">
        <v>640</v>
      </c>
      <c r="H1399" s="40" t="inlineStr">
        <is>
          <t>Borç</t>
        </is>
      </c>
      <c r="I1399" s="38" t="n">
        <v>640</v>
      </c>
      <c r="J1399" s="38" t="n">
        <v>0</v>
      </c>
      <c r="K1399" s="38" t="n">
        <v>640</v>
      </c>
      <c r="L1399" s="40" t="inlineStr">
        <is>
          <t>Borç</t>
        </is>
      </c>
    </row>
    <row r="1400" s="34">
      <c r="A1400" s="40" t="inlineStr">
        <is>
          <t>320.01.01.I004</t>
        </is>
      </c>
      <c r="B1400" s="40" t="inlineStr">
        <is>
          <t>Ibrahim Turker-Erol Yolalan Ort./Tekser</t>
        </is>
      </c>
      <c r="C1400" s="40" t="inlineStr">
        <is>
          <t>TRY</t>
        </is>
      </c>
      <c r="D1400" s="40" t="inlineStr">
        <is>
          <t>ROYAL ADAM EVE</t>
        </is>
      </c>
      <c r="E1400" s="38" t="n">
        <v>0</v>
      </c>
      <c r="F1400" s="38" t="n">
        <v>236825.15</v>
      </c>
      <c r="G1400" s="38" t="n">
        <v>-236825.15</v>
      </c>
      <c r="H1400" s="40" t="inlineStr">
        <is>
          <t>Alacak</t>
        </is>
      </c>
      <c r="I1400" s="38" t="n">
        <v>0</v>
      </c>
      <c r="J1400" s="38" t="n">
        <v>236825.15</v>
      </c>
      <c r="K1400" s="38" t="n">
        <v>-236825.15</v>
      </c>
      <c r="L1400" s="40" t="inlineStr">
        <is>
          <t>Alacak</t>
        </is>
      </c>
    </row>
    <row r="1401" s="34">
      <c r="A1401" s="40" t="inlineStr">
        <is>
          <t>320.01.01.I004</t>
        </is>
      </c>
      <c r="B1401" s="40" t="inlineStr">
        <is>
          <t>Ibrahim Turker-Erol Yolalan Ort./Tekser</t>
        </is>
      </c>
      <c r="C1401" s="40" t="inlineStr">
        <is>
          <t>TRY</t>
        </is>
      </c>
      <c r="D1401" s="40" t="inlineStr">
        <is>
          <t>ROYAL SEGINUS</t>
        </is>
      </c>
      <c r="E1401" s="38" t="n">
        <v>0</v>
      </c>
      <c r="F1401" s="38" t="n">
        <v>73472.39999999999</v>
      </c>
      <c r="G1401" s="38" t="n">
        <v>-73472.39999999999</v>
      </c>
      <c r="H1401" s="40" t="inlineStr">
        <is>
          <t>Alacak</t>
        </is>
      </c>
      <c r="I1401" s="38" t="n">
        <v>0</v>
      </c>
      <c r="J1401" s="38" t="n">
        <v>73472.39999999999</v>
      </c>
      <c r="K1401" s="38" t="n">
        <v>-73472.39999999999</v>
      </c>
      <c r="L1401" s="40" t="inlineStr">
        <is>
          <t>Alacak</t>
        </is>
      </c>
    </row>
    <row r="1402" s="34">
      <c r="A1402" s="40" t="inlineStr">
        <is>
          <t>320.01.01.I004</t>
        </is>
      </c>
      <c r="B1402" s="40" t="inlineStr">
        <is>
          <t>Ibrahim Turker-Erol Yolalan Ort./Tekser</t>
        </is>
      </c>
      <c r="C1402" s="40" t="inlineStr">
        <is>
          <t>TRY</t>
        </is>
      </c>
      <c r="D1402" s="40" t="inlineStr">
        <is>
          <t>SERTAŞ MERKEZ</t>
        </is>
      </c>
      <c r="E1402" s="38" t="n">
        <v>358897.1</v>
      </c>
      <c r="F1402" s="38" t="n">
        <v>0</v>
      </c>
      <c r="G1402" s="38" t="n">
        <v>358897.1</v>
      </c>
      <c r="H1402" s="40" t="inlineStr">
        <is>
          <t>Borç</t>
        </is>
      </c>
      <c r="I1402" s="38" t="n">
        <v>358897.1</v>
      </c>
      <c r="J1402" s="38" t="n">
        <v>0</v>
      </c>
      <c r="K1402" s="38" t="n">
        <v>358897.1</v>
      </c>
      <c r="L1402" s="40" t="inlineStr">
        <is>
          <t>Borç</t>
        </is>
      </c>
    </row>
    <row r="1403" s="34">
      <c r="A1403" s="40" t="inlineStr">
        <is>
          <t>320.01.01.I010</t>
        </is>
      </c>
      <c r="B1403" s="40" t="inlineStr">
        <is>
          <t>Imc Muhendislik İklim.Elekt.Mak.Ltd.Şti.</t>
        </is>
      </c>
      <c r="C1403" s="40" t="inlineStr">
        <is>
          <t>TRY</t>
        </is>
      </c>
      <c r="D1403" s="40" t="inlineStr">
        <is>
          <t>GİTAŞ MERKEZ</t>
        </is>
      </c>
      <c r="E1403" s="38" t="n">
        <v>65934</v>
      </c>
      <c r="F1403" s="38" t="n">
        <v>0</v>
      </c>
      <c r="G1403" s="38" t="n">
        <v>65934</v>
      </c>
      <c r="H1403" s="40" t="inlineStr">
        <is>
          <t>Borç</t>
        </is>
      </c>
      <c r="I1403" s="38" t="n">
        <v>65934</v>
      </c>
      <c r="J1403" s="38" t="n">
        <v>0</v>
      </c>
      <c r="K1403" s="38" t="n">
        <v>65934</v>
      </c>
      <c r="L1403" s="40" t="inlineStr">
        <is>
          <t>Borç</t>
        </is>
      </c>
    </row>
    <row r="1404" s="34">
      <c r="A1404" s="40" t="inlineStr">
        <is>
          <t>320.01.01.I010</t>
        </is>
      </c>
      <c r="B1404" s="40" t="inlineStr">
        <is>
          <t>Imc Muhendislik İklim.Elekt.Mak.Ltd.Şti.</t>
        </is>
      </c>
      <c r="C1404" s="40" t="inlineStr">
        <is>
          <t>TRY</t>
        </is>
      </c>
      <c r="D1404" s="40" t="inlineStr">
        <is>
          <t>SERTAŞ MERKEZ</t>
        </is>
      </c>
      <c r="E1404" s="38" t="n">
        <v>3540</v>
      </c>
      <c r="F1404" s="38" t="n">
        <v>0</v>
      </c>
      <c r="G1404" s="38" t="n">
        <v>3540</v>
      </c>
      <c r="H1404" s="40" t="inlineStr">
        <is>
          <t>Borç</t>
        </is>
      </c>
      <c r="I1404" s="38" t="n">
        <v>3540</v>
      </c>
      <c r="J1404" s="38" t="n">
        <v>0</v>
      </c>
      <c r="K1404" s="38" t="n">
        <v>3540</v>
      </c>
      <c r="L1404" s="40" t="inlineStr">
        <is>
          <t>Borç</t>
        </is>
      </c>
    </row>
    <row r="1405" s="34">
      <c r="A1405" s="40" t="inlineStr">
        <is>
          <t>320.01.01.İ010</t>
        </is>
      </c>
      <c r="B1405" s="40" t="inlineStr">
        <is>
          <t>İncesu Gıda San.Tic. A.Ş.</t>
        </is>
      </c>
      <c r="C1405" s="40" t="inlineStr">
        <is>
          <t>TRY</t>
        </is>
      </c>
      <c r="D1405" s="40" t="inlineStr">
        <is>
          <t>GİTAŞ MERKEZ</t>
        </is>
      </c>
      <c r="E1405" s="38" t="n">
        <v>375555.75</v>
      </c>
      <c r="F1405" s="38" t="n">
        <v>0</v>
      </c>
      <c r="G1405" s="38" t="n">
        <v>375555.75</v>
      </c>
      <c r="H1405" s="40" t="inlineStr">
        <is>
          <t>Borç</t>
        </is>
      </c>
      <c r="I1405" s="38" t="n">
        <v>375555.75</v>
      </c>
      <c r="J1405" s="38" t="n">
        <v>0</v>
      </c>
      <c r="K1405" s="38" t="n">
        <v>375555.75</v>
      </c>
      <c r="L1405" s="40" t="inlineStr">
        <is>
          <t>Borç</t>
        </is>
      </c>
    </row>
    <row r="1406" s="34">
      <c r="A1406" s="40" t="inlineStr">
        <is>
          <t>320.01.01.İ010</t>
        </is>
      </c>
      <c r="B1406" s="40" t="inlineStr">
        <is>
          <t>İncesu Gıda San.Tic. A.Ş.</t>
        </is>
      </c>
      <c r="C1406" s="40" t="inlineStr">
        <is>
          <t>TRY</t>
        </is>
      </c>
      <c r="D1406" s="40" t="inlineStr">
        <is>
          <t>ROYAL ADAM EVE</t>
        </is>
      </c>
      <c r="E1406" s="38" t="n">
        <v>127270.11</v>
      </c>
      <c r="F1406" s="38" t="n">
        <v>52276.59</v>
      </c>
      <c r="G1406" s="38" t="n">
        <v>74993.52</v>
      </c>
      <c r="H1406" s="40" t="inlineStr">
        <is>
          <t>Borç</t>
        </is>
      </c>
      <c r="I1406" s="38" t="n">
        <v>127270.11</v>
      </c>
      <c r="J1406" s="38" t="n">
        <v>52276.59</v>
      </c>
      <c r="K1406" s="38" t="n">
        <v>74993.52</v>
      </c>
      <c r="L1406" s="40" t="inlineStr">
        <is>
          <t>Borç</t>
        </is>
      </c>
    </row>
    <row r="1407" s="34">
      <c r="A1407" s="40" t="inlineStr">
        <is>
          <t>320.01.01.İ010</t>
        </is>
      </c>
      <c r="B1407" s="40" t="inlineStr">
        <is>
          <t>İncesu Gıda San.Tic. A.Ş.</t>
        </is>
      </c>
      <c r="C1407" s="40" t="inlineStr">
        <is>
          <t>TRY</t>
        </is>
      </c>
      <c r="D1407" s="40" t="inlineStr">
        <is>
          <t>ROYAL ALHAMBRA</t>
        </is>
      </c>
      <c r="E1407" s="38" t="n">
        <v>0</v>
      </c>
      <c r="F1407" s="38" t="n">
        <v>261560.67</v>
      </c>
      <c r="G1407" s="38" t="n">
        <v>-261560.67</v>
      </c>
      <c r="H1407" s="40" t="inlineStr">
        <is>
          <t>Alacak</t>
        </is>
      </c>
      <c r="I1407" s="38" t="n">
        <v>0</v>
      </c>
      <c r="J1407" s="38" t="n">
        <v>261560.67</v>
      </c>
      <c r="K1407" s="38" t="n">
        <v>-261560.67</v>
      </c>
      <c r="L1407" s="40" t="inlineStr">
        <is>
          <t>Alacak</t>
        </is>
      </c>
    </row>
    <row r="1408" s="34">
      <c r="A1408" s="40" t="inlineStr">
        <is>
          <t>320.01.01.İ010</t>
        </is>
      </c>
      <c r="B1408" s="40" t="inlineStr">
        <is>
          <t>İncesu Gıda San.Tic. A.Ş.</t>
        </is>
      </c>
      <c r="C1408" s="40" t="inlineStr">
        <is>
          <t>TRY</t>
        </is>
      </c>
      <c r="D1408" s="40" t="inlineStr">
        <is>
          <t>ROYAL DRAGON</t>
        </is>
      </c>
      <c r="E1408" s="38" t="n">
        <v>0</v>
      </c>
      <c r="F1408" s="38" t="n">
        <v>23615.82</v>
      </c>
      <c r="G1408" s="38" t="n">
        <v>-23615.82</v>
      </c>
      <c r="H1408" s="40" t="inlineStr">
        <is>
          <t>Alacak</t>
        </is>
      </c>
      <c r="I1408" s="38" t="n">
        <v>0</v>
      </c>
      <c r="J1408" s="38" t="n">
        <v>23615.82</v>
      </c>
      <c r="K1408" s="38" t="n">
        <v>-23615.82</v>
      </c>
      <c r="L1408" s="40" t="inlineStr">
        <is>
          <t>Alacak</t>
        </is>
      </c>
    </row>
    <row r="1409" s="34">
      <c r="A1409" s="40" t="inlineStr">
        <is>
          <t>320.01.01.İ010</t>
        </is>
      </c>
      <c r="B1409" s="40" t="inlineStr">
        <is>
          <t>İncesu Gıda San.Tic. A.Ş.</t>
        </is>
      </c>
      <c r="C1409" s="40" t="inlineStr">
        <is>
          <t>TRY</t>
        </is>
      </c>
      <c r="D1409" s="40" t="inlineStr">
        <is>
          <t>ROYAL HOLIDAY</t>
        </is>
      </c>
      <c r="E1409" s="38" t="n">
        <v>0</v>
      </c>
      <c r="F1409" s="38" t="n">
        <v>469072.17</v>
      </c>
      <c r="G1409" s="38" t="n">
        <v>-469072.17</v>
      </c>
      <c r="H1409" s="40" t="inlineStr">
        <is>
          <t>Alacak</t>
        </is>
      </c>
      <c r="I1409" s="38" t="n">
        <v>0</v>
      </c>
      <c r="J1409" s="38" t="n">
        <v>469072.17</v>
      </c>
      <c r="K1409" s="38" t="n">
        <v>-469072.17</v>
      </c>
      <c r="L1409" s="40" t="inlineStr">
        <is>
          <t>Alacak</t>
        </is>
      </c>
    </row>
    <row r="1410" s="34">
      <c r="A1410" s="40" t="inlineStr">
        <is>
          <t>320.01.01.İ010</t>
        </is>
      </c>
      <c r="B1410" s="40" t="inlineStr">
        <is>
          <t>İncesu Gıda San.Tic. A.Ş.</t>
        </is>
      </c>
      <c r="C1410" s="40" t="inlineStr">
        <is>
          <t>TRY</t>
        </is>
      </c>
      <c r="D1410" s="40" t="inlineStr">
        <is>
          <t>ROYAL SEGINUS</t>
        </is>
      </c>
      <c r="E1410" s="38" t="n">
        <v>0</v>
      </c>
      <c r="F1410" s="38" t="n">
        <v>662830.52</v>
      </c>
      <c r="G1410" s="38" t="n">
        <v>-662830.52</v>
      </c>
      <c r="H1410" s="40" t="inlineStr">
        <is>
          <t>Alacak</t>
        </is>
      </c>
      <c r="I1410" s="38" t="n">
        <v>0</v>
      </c>
      <c r="J1410" s="38" t="n">
        <v>662830.52</v>
      </c>
      <c r="K1410" s="38" t="n">
        <v>-662830.52</v>
      </c>
      <c r="L1410" s="40" t="inlineStr">
        <is>
          <t>Alacak</t>
        </is>
      </c>
    </row>
    <row r="1411" s="34">
      <c r="A1411" s="40" t="inlineStr">
        <is>
          <t>320.01.01.İ010</t>
        </is>
      </c>
      <c r="B1411" s="40" t="inlineStr">
        <is>
          <t>İncesu Gıda San.Tic. A.Ş.</t>
        </is>
      </c>
      <c r="C1411" s="40" t="inlineStr">
        <is>
          <t>TRY</t>
        </is>
      </c>
      <c r="D1411" s="40" t="inlineStr">
        <is>
          <t>SERTAŞ MERKEZ</t>
        </is>
      </c>
      <c r="E1411" s="38" t="n">
        <v>718088.22</v>
      </c>
      <c r="F1411" s="38" t="n">
        <v>0</v>
      </c>
      <c r="G1411" s="38" t="n">
        <v>718088.22</v>
      </c>
      <c r="H1411" s="40" t="inlineStr">
        <is>
          <t>Borç</t>
        </is>
      </c>
      <c r="I1411" s="38" t="n">
        <v>718088.22</v>
      </c>
      <c r="J1411" s="38" t="n">
        <v>0</v>
      </c>
      <c r="K1411" s="38" t="n">
        <v>718088.22</v>
      </c>
      <c r="L1411" s="40" t="inlineStr">
        <is>
          <t>Borç</t>
        </is>
      </c>
    </row>
    <row r="1412" s="34">
      <c r="A1412" s="40" t="inlineStr">
        <is>
          <t>320.01.01.İ011</t>
        </is>
      </c>
      <c r="B1412" s="40" t="inlineStr">
        <is>
          <t>İnci Paz.Dag.İnş.Tic.A.Ş.</t>
        </is>
      </c>
      <c r="C1412" s="40" t="inlineStr">
        <is>
          <t>TRY</t>
        </is>
      </c>
      <c r="D1412" s="40" t="inlineStr">
        <is>
          <t>GİTAŞ MERKEZ</t>
        </is>
      </c>
      <c r="E1412" s="38" t="n">
        <v>2480430.41</v>
      </c>
      <c r="F1412" s="38" t="n">
        <v>0</v>
      </c>
      <c r="G1412" s="38" t="n">
        <v>2480430.41</v>
      </c>
      <c r="H1412" s="40" t="inlineStr">
        <is>
          <t>Borç</t>
        </is>
      </c>
      <c r="I1412" s="38" t="n">
        <v>2480430.41</v>
      </c>
      <c r="J1412" s="38" t="n">
        <v>0</v>
      </c>
      <c r="K1412" s="38" t="n">
        <v>2480430.41</v>
      </c>
      <c r="L1412" s="40" t="inlineStr">
        <is>
          <t>Borç</t>
        </is>
      </c>
    </row>
    <row r="1413" s="34">
      <c r="A1413" s="40" t="inlineStr">
        <is>
          <t>320.01.01.İ011</t>
        </is>
      </c>
      <c r="B1413" s="40" t="inlineStr">
        <is>
          <t>İnci Paz.Dag.İnş.Tic.A.Ş.</t>
        </is>
      </c>
      <c r="C1413" s="40" t="inlineStr">
        <is>
          <t>TRY</t>
        </is>
      </c>
      <c r="D1413" s="40" t="inlineStr">
        <is>
          <t>ROYAL ALHAMBRA</t>
        </is>
      </c>
      <c r="E1413" s="38" t="n">
        <v>0</v>
      </c>
      <c r="F1413" s="38" t="n">
        <v>1304668.04</v>
      </c>
      <c r="G1413" s="38" t="n">
        <v>-1304668.04</v>
      </c>
      <c r="H1413" s="40" t="inlineStr">
        <is>
          <t>Alacak</t>
        </is>
      </c>
      <c r="I1413" s="38" t="n">
        <v>0</v>
      </c>
      <c r="J1413" s="38" t="n">
        <v>1304668.04</v>
      </c>
      <c r="K1413" s="38" t="n">
        <v>-1304668.04</v>
      </c>
      <c r="L1413" s="40" t="inlineStr">
        <is>
          <t>Alacak</t>
        </is>
      </c>
    </row>
    <row r="1414" s="34">
      <c r="A1414" s="40" t="inlineStr">
        <is>
          <t>320.01.01.İ011</t>
        </is>
      </c>
      <c r="B1414" s="40" t="inlineStr">
        <is>
          <t>İnci Paz.Dag.İnş.Tic.A.Ş.</t>
        </is>
      </c>
      <c r="C1414" s="40" t="inlineStr">
        <is>
          <t>TRY</t>
        </is>
      </c>
      <c r="D1414" s="40" t="inlineStr">
        <is>
          <t>ROYAL DRAGON</t>
        </is>
      </c>
      <c r="E1414" s="38" t="n">
        <v>180940.03</v>
      </c>
      <c r="F1414" s="38" t="n">
        <v>799805.96</v>
      </c>
      <c r="G1414" s="38" t="n">
        <v>-618865.9300000001</v>
      </c>
      <c r="H1414" s="40" t="inlineStr">
        <is>
          <t>Alacak</t>
        </is>
      </c>
      <c r="I1414" s="38" t="n">
        <v>180940.03</v>
      </c>
      <c r="J1414" s="38" t="n">
        <v>799805.96</v>
      </c>
      <c r="K1414" s="38" t="n">
        <v>-618865.9300000001</v>
      </c>
      <c r="L1414" s="40" t="inlineStr">
        <is>
          <t>Alacak</t>
        </is>
      </c>
    </row>
    <row r="1415" s="34">
      <c r="A1415" s="40" t="inlineStr">
        <is>
          <t>320.01.01.İ012</t>
        </is>
      </c>
      <c r="B1415" s="40" t="inlineStr">
        <is>
          <t>İntegral EndüsTRiyel Mutfak Ekipmanları</t>
        </is>
      </c>
      <c r="C1415" s="40" t="inlineStr">
        <is>
          <t>TRY</t>
        </is>
      </c>
      <c r="D1415" s="40" t="inlineStr">
        <is>
          <t>GİTAŞ MERKEZ</t>
        </is>
      </c>
      <c r="E1415" s="38" t="n">
        <v>17696.82</v>
      </c>
      <c r="F1415" s="38" t="n">
        <v>0</v>
      </c>
      <c r="G1415" s="38" t="n">
        <v>17696.82</v>
      </c>
      <c r="H1415" s="40" t="inlineStr">
        <is>
          <t>Borç</t>
        </is>
      </c>
      <c r="I1415" s="38" t="n">
        <v>17696.82</v>
      </c>
      <c r="J1415" s="38" t="n">
        <v>0</v>
      </c>
      <c r="K1415" s="38" t="n">
        <v>17696.82</v>
      </c>
      <c r="L1415" s="40" t="inlineStr">
        <is>
          <t>Borç</t>
        </is>
      </c>
    </row>
    <row r="1416" s="34">
      <c r="A1416" s="40" t="inlineStr">
        <is>
          <t>320.01.01.İ012</t>
        </is>
      </c>
      <c r="B1416" s="40" t="inlineStr">
        <is>
          <t>İntegral EndüsTRiyel Mutfak Ekipmanları</t>
        </is>
      </c>
      <c r="C1416" s="40" t="inlineStr">
        <is>
          <t>TRY</t>
        </is>
      </c>
      <c r="D1416" s="40" t="inlineStr">
        <is>
          <t>ROYAL ADAM EVE</t>
        </is>
      </c>
      <c r="E1416" s="38" t="n">
        <v>35289.47</v>
      </c>
      <c r="F1416" s="38" t="n">
        <v>0</v>
      </c>
      <c r="G1416" s="38" t="n">
        <v>35289.47</v>
      </c>
      <c r="H1416" s="40" t="inlineStr">
        <is>
          <t>Borç</t>
        </is>
      </c>
      <c r="I1416" s="38" t="n">
        <v>35289.47</v>
      </c>
      <c r="J1416" s="38" t="n">
        <v>0</v>
      </c>
      <c r="K1416" s="38" t="n">
        <v>35289.47</v>
      </c>
      <c r="L1416" s="40" t="inlineStr">
        <is>
          <t>Borç</t>
        </is>
      </c>
    </row>
    <row r="1417" s="34">
      <c r="A1417" s="40" t="inlineStr">
        <is>
          <t>320.01.01.i019</t>
        </is>
      </c>
      <c r="B1417" s="40" t="inlineStr">
        <is>
          <t>İtc Antalya Kati Atik Enerji Yon.A.S.</t>
        </is>
      </c>
      <c r="C1417" s="40" t="inlineStr">
        <is>
          <t>TRY</t>
        </is>
      </c>
      <c r="D1417" s="40" t="inlineStr">
        <is>
          <t>GİTAŞ MERKEZ</t>
        </is>
      </c>
      <c r="E1417" s="38" t="n">
        <v>325.2</v>
      </c>
      <c r="F1417" s="38" t="n">
        <v>0</v>
      </c>
      <c r="G1417" s="38" t="n">
        <v>325.2</v>
      </c>
      <c r="H1417" s="40" t="inlineStr">
        <is>
          <t>Borç</t>
        </is>
      </c>
      <c r="I1417" s="38" t="n">
        <v>325.2</v>
      </c>
      <c r="J1417" s="38" t="n">
        <v>0</v>
      </c>
      <c r="K1417" s="38" t="n">
        <v>325.2</v>
      </c>
      <c r="L1417" s="40" t="inlineStr">
        <is>
          <t>Borç</t>
        </is>
      </c>
    </row>
    <row r="1418" s="34">
      <c r="A1418" s="40" t="inlineStr">
        <is>
          <t>320.01.01.i019</t>
        </is>
      </c>
      <c r="B1418" s="40" t="inlineStr">
        <is>
          <t>İtc Antalya Kati Atik Enerji Yon.A.S.</t>
        </is>
      </c>
      <c r="C1418" s="40" t="inlineStr">
        <is>
          <t>TRY</t>
        </is>
      </c>
      <c r="D1418" s="40" t="inlineStr">
        <is>
          <t>SERTAŞ MERKEZ</t>
        </is>
      </c>
      <c r="E1418" s="38" t="n">
        <v>325.2</v>
      </c>
      <c r="F1418" s="38" t="n">
        <v>0</v>
      </c>
      <c r="G1418" s="38" t="n">
        <v>325.2</v>
      </c>
      <c r="H1418" s="40" t="inlineStr">
        <is>
          <t>Borç</t>
        </is>
      </c>
      <c r="I1418" s="38" t="n">
        <v>325.2</v>
      </c>
      <c r="J1418" s="38" t="n">
        <v>0</v>
      </c>
      <c r="K1418" s="38" t="n">
        <v>325.2</v>
      </c>
      <c r="L1418" s="40" t="inlineStr">
        <is>
          <t>Borç</t>
        </is>
      </c>
    </row>
    <row r="1419" s="34">
      <c r="A1419" s="40" t="inlineStr">
        <is>
          <t>320.01.01.I019</t>
        </is>
      </c>
      <c r="B1419" s="40" t="inlineStr">
        <is>
          <t>Ipragaz A.Ş.</t>
        </is>
      </c>
      <c r="C1419" s="40" t="inlineStr">
        <is>
          <t>TRY</t>
        </is>
      </c>
      <c r="D1419" s="40" t="inlineStr">
        <is>
          <t>GİTAŞ MERKEZ</t>
        </is>
      </c>
      <c r="E1419" s="38" t="n">
        <v>2902598.1</v>
      </c>
      <c r="F1419" s="38" t="n">
        <v>0</v>
      </c>
      <c r="G1419" s="38" t="n">
        <v>2902598.1</v>
      </c>
      <c r="H1419" s="40" t="inlineStr">
        <is>
          <t>Borç</t>
        </is>
      </c>
      <c r="I1419" s="38" t="n">
        <v>2902598.1</v>
      </c>
      <c r="J1419" s="38" t="n">
        <v>0</v>
      </c>
      <c r="K1419" s="38" t="n">
        <v>2902598.1</v>
      </c>
      <c r="L1419" s="40" t="inlineStr">
        <is>
          <t>Borç</t>
        </is>
      </c>
    </row>
    <row r="1420" s="34">
      <c r="A1420" s="40" t="inlineStr">
        <is>
          <t>320.01.01.I019</t>
        </is>
      </c>
      <c r="B1420" s="40" t="inlineStr">
        <is>
          <t>Ipragaz A.Ş.</t>
        </is>
      </c>
      <c r="C1420" s="40" t="inlineStr">
        <is>
          <t>TRY</t>
        </is>
      </c>
      <c r="D1420" s="40" t="inlineStr">
        <is>
          <t>ROYAL ADAM EVE</t>
        </is>
      </c>
      <c r="E1420" s="38" t="n">
        <v>56658.68</v>
      </c>
      <c r="F1420" s="38" t="n">
        <v>0</v>
      </c>
      <c r="G1420" s="38" t="n">
        <v>56658.68</v>
      </c>
      <c r="H1420" s="40" t="inlineStr">
        <is>
          <t>Borç</t>
        </is>
      </c>
      <c r="I1420" s="38" t="n">
        <v>56658.68</v>
      </c>
      <c r="J1420" s="38" t="n">
        <v>0</v>
      </c>
      <c r="K1420" s="38" t="n">
        <v>56658.68</v>
      </c>
      <c r="L1420" s="40" t="inlineStr">
        <is>
          <t>Borç</t>
        </is>
      </c>
    </row>
    <row r="1421" s="34">
      <c r="A1421" s="40" t="inlineStr">
        <is>
          <t>320.01.01.i023</t>
        </is>
      </c>
      <c r="B1421" s="40" t="inlineStr">
        <is>
          <t>İsse Elektrik Elektronik Asan.Yan.Güv.Sis.İnş.Tic.Ltd.Şti.</t>
        </is>
      </c>
      <c r="C1421" s="40" t="inlineStr">
        <is>
          <t>TRY</t>
        </is>
      </c>
      <c r="D1421" s="40" t="inlineStr">
        <is>
          <t>SERTAŞ MERKEZ</t>
        </is>
      </c>
      <c r="E1421" s="38" t="n">
        <v>3425.65</v>
      </c>
      <c r="F1421" s="38" t="n">
        <v>0</v>
      </c>
      <c r="G1421" s="38" t="n">
        <v>3425.65</v>
      </c>
      <c r="H1421" s="40" t="inlineStr">
        <is>
          <t>Borç</t>
        </is>
      </c>
      <c r="I1421" s="38" t="n">
        <v>3425.65</v>
      </c>
      <c r="J1421" s="38" t="n">
        <v>0</v>
      </c>
      <c r="K1421" s="38" t="n">
        <v>3425.65</v>
      </c>
      <c r="L1421" s="40" t="inlineStr">
        <is>
          <t>Borç</t>
        </is>
      </c>
    </row>
    <row r="1422" s="34">
      <c r="A1422" s="40" t="inlineStr">
        <is>
          <t>320.01.01.J002</t>
        </is>
      </c>
      <c r="B1422" s="40" t="inlineStr">
        <is>
          <t>Jest Duşakabin İnş.Eml.Oto.Taş.Gıda Tar.Hay.Tur.San.ve Tic.Ltd.Şti.</t>
        </is>
      </c>
      <c r="C1422" s="40" t="inlineStr">
        <is>
          <t>TRY</t>
        </is>
      </c>
      <c r="D1422" s="40" t="inlineStr">
        <is>
          <t>ROYAL SEGINUS</t>
        </is>
      </c>
      <c r="E1422" s="38" t="n">
        <v>0</v>
      </c>
      <c r="F1422" s="38" t="n">
        <v>1872</v>
      </c>
      <c r="G1422" s="38" t="n">
        <v>-1872</v>
      </c>
      <c r="H1422" s="40" t="inlineStr">
        <is>
          <t>Alacak</t>
        </is>
      </c>
      <c r="I1422" s="38" t="n">
        <v>0</v>
      </c>
      <c r="J1422" s="38" t="n">
        <v>1872</v>
      </c>
      <c r="K1422" s="38" t="n">
        <v>-1872</v>
      </c>
      <c r="L1422" s="40" t="inlineStr">
        <is>
          <t>Alacak</t>
        </is>
      </c>
    </row>
    <row r="1423" s="34">
      <c r="A1423" s="40" t="inlineStr">
        <is>
          <t>320.01.01.J002</t>
        </is>
      </c>
      <c r="B1423" s="40" t="inlineStr">
        <is>
          <t>Jest Duşakabin İnş.Eml.Oto.Taş.Gıda Tar.Hay.Tur.San.ve Tic.Ltd.Şti.</t>
        </is>
      </c>
      <c r="C1423" s="40" t="inlineStr">
        <is>
          <t>TRY</t>
        </is>
      </c>
      <c r="D1423" s="40" t="inlineStr">
        <is>
          <t>SERTAŞ MERKEZ</t>
        </is>
      </c>
      <c r="E1423" s="38" t="n">
        <v>1872</v>
      </c>
      <c r="F1423" s="38" t="n">
        <v>0</v>
      </c>
      <c r="G1423" s="38" t="n">
        <v>1872</v>
      </c>
      <c r="H1423" s="40" t="inlineStr">
        <is>
          <t>Borç</t>
        </is>
      </c>
      <c r="I1423" s="38" t="n">
        <v>1872</v>
      </c>
      <c r="J1423" s="38" t="n">
        <v>0</v>
      </c>
      <c r="K1423" s="38" t="n">
        <v>1872</v>
      </c>
      <c r="L1423" s="40" t="inlineStr">
        <is>
          <t>Borç</t>
        </is>
      </c>
    </row>
    <row r="1424" s="34">
      <c r="A1424" s="40" t="inlineStr">
        <is>
          <t>320.01.01.K016</t>
        </is>
      </c>
      <c r="B1424" s="40" t="inlineStr">
        <is>
          <t>Kalite Tedarik Gıda Tur.Tic.Ltd.Şti.</t>
        </is>
      </c>
      <c r="C1424" s="40" t="inlineStr">
        <is>
          <t>TRY</t>
        </is>
      </c>
      <c r="D1424" s="40" t="inlineStr">
        <is>
          <t>GİTAŞ MERKEZ</t>
        </is>
      </c>
      <c r="E1424" s="38" t="n">
        <v>11234.63</v>
      </c>
      <c r="F1424" s="38" t="n">
        <v>0</v>
      </c>
      <c r="G1424" s="38" t="n">
        <v>11234.63</v>
      </c>
      <c r="H1424" s="40" t="inlineStr">
        <is>
          <t>Borç</t>
        </is>
      </c>
      <c r="I1424" s="38" t="n">
        <v>11234.63</v>
      </c>
      <c r="J1424" s="38" t="n">
        <v>0</v>
      </c>
      <c r="K1424" s="38" t="n">
        <v>11234.63</v>
      </c>
      <c r="L1424" s="40" t="inlineStr">
        <is>
          <t>Borç</t>
        </is>
      </c>
    </row>
    <row r="1425" s="34">
      <c r="A1425" s="40" t="inlineStr">
        <is>
          <t>320.01.01.K016</t>
        </is>
      </c>
      <c r="B1425" s="40" t="inlineStr">
        <is>
          <t>Kalite Tedarik Gıda Tur.Tic.Ltd.Şti.</t>
        </is>
      </c>
      <c r="C1425" s="40" t="inlineStr">
        <is>
          <t>TRY</t>
        </is>
      </c>
      <c r="D1425" s="40" t="inlineStr">
        <is>
          <t>ROYAL ADAM EVE</t>
        </is>
      </c>
      <c r="E1425" s="38" t="n">
        <v>1573.98</v>
      </c>
      <c r="F1425" s="38" t="n">
        <v>0</v>
      </c>
      <c r="G1425" s="38" t="n">
        <v>1573.98</v>
      </c>
      <c r="H1425" s="40" t="inlineStr">
        <is>
          <t>Borç</t>
        </is>
      </c>
      <c r="I1425" s="38" t="n">
        <v>1573.98</v>
      </c>
      <c r="J1425" s="38" t="n">
        <v>0</v>
      </c>
      <c r="K1425" s="38" t="n">
        <v>1573.98</v>
      </c>
      <c r="L1425" s="40" t="inlineStr">
        <is>
          <t>Borç</t>
        </is>
      </c>
    </row>
    <row r="1426" s="34">
      <c r="A1426" s="40" t="inlineStr">
        <is>
          <t>320.01.01.K016</t>
        </is>
      </c>
      <c r="B1426" s="40" t="inlineStr">
        <is>
          <t>Kalite Tedarik Gıda Tur.Tic.Ltd.Şti.</t>
        </is>
      </c>
      <c r="C1426" s="40" t="inlineStr">
        <is>
          <t>TRY</t>
        </is>
      </c>
      <c r="D1426" s="40" t="inlineStr">
        <is>
          <t>SERTAŞ MERKEZ</t>
        </is>
      </c>
      <c r="E1426" s="38" t="n">
        <v>5114.24</v>
      </c>
      <c r="F1426" s="38" t="n">
        <v>0</v>
      </c>
      <c r="G1426" s="38" t="n">
        <v>5114.24</v>
      </c>
      <c r="H1426" s="40" t="inlineStr">
        <is>
          <t>Borç</t>
        </is>
      </c>
      <c r="I1426" s="38" t="n">
        <v>5114.24</v>
      </c>
      <c r="J1426" s="38" t="n">
        <v>0</v>
      </c>
      <c r="K1426" s="38" t="n">
        <v>5114.24</v>
      </c>
      <c r="L1426" s="40" t="inlineStr">
        <is>
          <t>Borç</t>
        </is>
      </c>
    </row>
    <row r="1427" s="34">
      <c r="A1427" s="40" t="inlineStr">
        <is>
          <t>320.01.01.K019</t>
        </is>
      </c>
      <c r="B1427" s="40" t="inlineStr">
        <is>
          <t>Kantarcı Kardesler Koll.Şirketi</t>
        </is>
      </c>
      <c r="C1427" s="40" t="inlineStr">
        <is>
          <t>TRY</t>
        </is>
      </c>
      <c r="D1427" s="40" t="inlineStr">
        <is>
          <t>ROYAL ADAM EVE</t>
        </is>
      </c>
      <c r="E1427" s="38" t="n">
        <v>8960</v>
      </c>
      <c r="F1427" s="38" t="n">
        <v>0</v>
      </c>
      <c r="G1427" s="38" t="n">
        <v>8960</v>
      </c>
      <c r="H1427" s="40" t="inlineStr">
        <is>
          <t>Borç</t>
        </is>
      </c>
      <c r="I1427" s="38" t="n">
        <v>8960</v>
      </c>
      <c r="J1427" s="38" t="n">
        <v>0</v>
      </c>
      <c r="K1427" s="38" t="n">
        <v>8960</v>
      </c>
      <c r="L1427" s="40" t="inlineStr">
        <is>
          <t>Borç</t>
        </is>
      </c>
    </row>
    <row r="1428" s="34">
      <c r="A1428" s="40" t="inlineStr">
        <is>
          <t>320.01.01.K019</t>
        </is>
      </c>
      <c r="B1428" s="40" t="inlineStr">
        <is>
          <t>Kantarcı Kardesler Koll.Şirketi</t>
        </is>
      </c>
      <c r="C1428" s="40" t="inlineStr">
        <is>
          <t>TRY</t>
        </is>
      </c>
      <c r="D1428" s="40" t="inlineStr">
        <is>
          <t>ROYAL HOLIDAY</t>
        </is>
      </c>
      <c r="E1428" s="38" t="n">
        <v>0</v>
      </c>
      <c r="F1428" s="38" t="n">
        <v>13440</v>
      </c>
      <c r="G1428" s="38" t="n">
        <v>-13440</v>
      </c>
      <c r="H1428" s="40" t="inlineStr">
        <is>
          <t>Alacak</t>
        </is>
      </c>
      <c r="I1428" s="38" t="n">
        <v>0</v>
      </c>
      <c r="J1428" s="38" t="n">
        <v>13440</v>
      </c>
      <c r="K1428" s="38" t="n">
        <v>-13440</v>
      </c>
      <c r="L1428" s="40" t="inlineStr">
        <is>
          <t>Alacak</t>
        </is>
      </c>
    </row>
    <row r="1429" s="34">
      <c r="A1429" s="40" t="inlineStr">
        <is>
          <t>320.01.01.K022</t>
        </is>
      </c>
      <c r="B1429" s="40" t="inlineStr">
        <is>
          <t>Karaelmas Yapı Malzemeleri İnş. Oto. Ltd. Şti</t>
        </is>
      </c>
      <c r="C1429" s="40" t="inlineStr">
        <is>
          <t>TRY</t>
        </is>
      </c>
      <c r="D1429" s="40" t="inlineStr">
        <is>
          <t>GİTAŞ MERKEZ</t>
        </is>
      </c>
      <c r="E1429" s="38" t="n">
        <v>61208.2</v>
      </c>
      <c r="F1429" s="38" t="n">
        <v>0</v>
      </c>
      <c r="G1429" s="38" t="n">
        <v>61208.2</v>
      </c>
      <c r="H1429" s="40" t="inlineStr">
        <is>
          <t>Borç</t>
        </is>
      </c>
      <c r="I1429" s="38" t="n">
        <v>61208.2</v>
      </c>
      <c r="J1429" s="38" t="n">
        <v>0</v>
      </c>
      <c r="K1429" s="38" t="n">
        <v>61208.2</v>
      </c>
      <c r="L1429" s="40" t="inlineStr">
        <is>
          <t>Borç</t>
        </is>
      </c>
    </row>
    <row r="1430" s="34">
      <c r="A1430" s="40" t="inlineStr">
        <is>
          <t>320.01.01.K022</t>
        </is>
      </c>
      <c r="B1430" s="40" t="inlineStr">
        <is>
          <t>Karaelmas Yapı Malzemeleri İnş. Oto. Ltd. Şti</t>
        </is>
      </c>
      <c r="C1430" s="40" t="inlineStr">
        <is>
          <t>TRY</t>
        </is>
      </c>
      <c r="D1430" s="40" t="inlineStr">
        <is>
          <t>ROYAL ADAM EVE</t>
        </is>
      </c>
      <c r="E1430" s="38" t="n">
        <v>144577.2</v>
      </c>
      <c r="F1430" s="38" t="n">
        <v>0</v>
      </c>
      <c r="G1430" s="38" t="n">
        <v>144577.2</v>
      </c>
      <c r="H1430" s="40" t="inlineStr">
        <is>
          <t>Borç</t>
        </is>
      </c>
      <c r="I1430" s="38" t="n">
        <v>144577.2</v>
      </c>
      <c r="J1430" s="38" t="n">
        <v>0</v>
      </c>
      <c r="K1430" s="38" t="n">
        <v>144577.2</v>
      </c>
      <c r="L1430" s="40" t="inlineStr">
        <is>
          <t>Borç</t>
        </is>
      </c>
    </row>
    <row r="1431" s="34">
      <c r="A1431" s="40" t="inlineStr">
        <is>
          <t>320.01.01.K022</t>
        </is>
      </c>
      <c r="B1431" s="40" t="inlineStr">
        <is>
          <t>Karaelmas Yapı Malzemeleri İnş. Oto. Ltd. Şti</t>
        </is>
      </c>
      <c r="C1431" s="40" t="inlineStr">
        <is>
          <t>TRY</t>
        </is>
      </c>
      <c r="D1431" s="40" t="inlineStr">
        <is>
          <t>ROYAL ALHAMBRA</t>
        </is>
      </c>
      <c r="E1431" s="38" t="n">
        <v>0</v>
      </c>
      <c r="F1431" s="38" t="n">
        <v>6100.8</v>
      </c>
      <c r="G1431" s="38" t="n">
        <v>-6100.8</v>
      </c>
      <c r="H1431" s="40" t="inlineStr">
        <is>
          <t>Alacak</t>
        </is>
      </c>
      <c r="I1431" s="38" t="n">
        <v>0</v>
      </c>
      <c r="J1431" s="38" t="n">
        <v>6100.8</v>
      </c>
      <c r="K1431" s="38" t="n">
        <v>-6100.8</v>
      </c>
      <c r="L1431" s="40" t="inlineStr">
        <is>
          <t>Alacak</t>
        </is>
      </c>
    </row>
    <row r="1432" s="34">
      <c r="A1432" s="40" t="inlineStr">
        <is>
          <t>320.01.01.K022</t>
        </is>
      </c>
      <c r="B1432" s="40" t="inlineStr">
        <is>
          <t>Karaelmas Yapı Malzemeleri İnş. Oto. Ltd. Şti</t>
        </is>
      </c>
      <c r="C1432" s="40" t="inlineStr">
        <is>
          <t>TRY</t>
        </is>
      </c>
      <c r="D1432" s="40" t="inlineStr">
        <is>
          <t>SERTAŞ MERKEZ</t>
        </is>
      </c>
      <c r="E1432" s="38" t="n">
        <v>38400</v>
      </c>
      <c r="F1432" s="38" t="n">
        <v>0</v>
      </c>
      <c r="G1432" s="38" t="n">
        <v>38400</v>
      </c>
      <c r="H1432" s="40" t="inlineStr">
        <is>
          <t>Borç</t>
        </is>
      </c>
      <c r="I1432" s="38" t="n">
        <v>38400</v>
      </c>
      <c r="J1432" s="38" t="n">
        <v>0</v>
      </c>
      <c r="K1432" s="38" t="n">
        <v>38400</v>
      </c>
      <c r="L1432" s="40" t="inlineStr">
        <is>
          <t>Borç</t>
        </is>
      </c>
    </row>
    <row r="1433" s="34">
      <c r="A1433" s="40" t="inlineStr">
        <is>
          <t>320.01.01.K035</t>
        </is>
      </c>
      <c r="B1433" s="40" t="inlineStr">
        <is>
          <t>Karsan Karadeniz Kimya San.Ltd.Şti.</t>
        </is>
      </c>
      <c r="C1433" s="40" t="inlineStr">
        <is>
          <t>TRY</t>
        </is>
      </c>
      <c r="D1433" s="40" t="inlineStr">
        <is>
          <t>ROYAL HOLIDAY</t>
        </is>
      </c>
      <c r="E1433" s="38" t="n">
        <v>0</v>
      </c>
      <c r="F1433" s="38" t="n">
        <v>146180.42</v>
      </c>
      <c r="G1433" s="38" t="n">
        <v>-146180.42</v>
      </c>
      <c r="H1433" s="40" t="inlineStr">
        <is>
          <t>Alacak</t>
        </is>
      </c>
      <c r="I1433" s="38" t="n">
        <v>0</v>
      </c>
      <c r="J1433" s="38" t="n">
        <v>146180.42</v>
      </c>
      <c r="K1433" s="38" t="n">
        <v>-146180.42</v>
      </c>
      <c r="L1433" s="40" t="inlineStr">
        <is>
          <t>Alacak</t>
        </is>
      </c>
    </row>
    <row r="1434" s="34">
      <c r="A1434" s="40" t="inlineStr">
        <is>
          <t>320.01.01.K035</t>
        </is>
      </c>
      <c r="B1434" s="40" t="inlineStr">
        <is>
          <t>Karsan Karadeniz Kimya San.Ltd.Şti.</t>
        </is>
      </c>
      <c r="C1434" s="40" t="inlineStr">
        <is>
          <t>TRY</t>
        </is>
      </c>
      <c r="D1434" s="40" t="inlineStr">
        <is>
          <t>ROYAL SEGINUS</t>
        </is>
      </c>
      <c r="E1434" s="38" t="n">
        <v>0</v>
      </c>
      <c r="F1434" s="38" t="n">
        <v>216523.01</v>
      </c>
      <c r="G1434" s="38" t="n">
        <v>-216523.01</v>
      </c>
      <c r="H1434" s="40" t="inlineStr">
        <is>
          <t>Alacak</t>
        </is>
      </c>
      <c r="I1434" s="38" t="n">
        <v>0</v>
      </c>
      <c r="J1434" s="38" t="n">
        <v>216523.01</v>
      </c>
      <c r="K1434" s="38" t="n">
        <v>-216523.01</v>
      </c>
      <c r="L1434" s="40" t="inlineStr">
        <is>
          <t>Alacak</t>
        </is>
      </c>
    </row>
    <row r="1435" s="34">
      <c r="A1435" s="40" t="inlineStr">
        <is>
          <t>320.01.01.K035</t>
        </is>
      </c>
      <c r="B1435" s="40" t="inlineStr">
        <is>
          <t>Karsan Karadeniz Kimya San.Ltd.Şti.</t>
        </is>
      </c>
      <c r="C1435" s="40" t="inlineStr">
        <is>
          <t>TRY</t>
        </is>
      </c>
      <c r="D1435" s="40" t="inlineStr">
        <is>
          <t>SERTAŞ MERKEZ</t>
        </is>
      </c>
      <c r="E1435" s="38" t="n">
        <v>383053.26</v>
      </c>
      <c r="F1435" s="38" t="n">
        <v>0</v>
      </c>
      <c r="G1435" s="38" t="n">
        <v>383053.26</v>
      </c>
      <c r="H1435" s="40" t="inlineStr">
        <is>
          <t>Borç</t>
        </is>
      </c>
      <c r="I1435" s="38" t="n">
        <v>383053.26</v>
      </c>
      <c r="J1435" s="38" t="n">
        <v>0</v>
      </c>
      <c r="K1435" s="38" t="n">
        <v>383053.26</v>
      </c>
      <c r="L1435" s="40" t="inlineStr">
        <is>
          <t>Borç</t>
        </is>
      </c>
    </row>
    <row r="1436" s="34">
      <c r="A1436" s="40" t="inlineStr">
        <is>
          <t>320.01.01.K040</t>
        </is>
      </c>
      <c r="B1436" s="40" t="inlineStr">
        <is>
          <t>Kaspa Gıda San. Ve Tic. Ltd. Şti.</t>
        </is>
      </c>
      <c r="C1436" s="40" t="inlineStr">
        <is>
          <t>TRY</t>
        </is>
      </c>
      <c r="D1436" s="40" t="inlineStr">
        <is>
          <t>GİTAŞ MERKEZ</t>
        </is>
      </c>
      <c r="E1436" s="38" t="n">
        <v>84646.33</v>
      </c>
      <c r="F1436" s="38" t="n">
        <v>0</v>
      </c>
      <c r="G1436" s="38" t="n">
        <v>84646.33</v>
      </c>
      <c r="H1436" s="40" t="inlineStr">
        <is>
          <t>Borç</t>
        </is>
      </c>
      <c r="I1436" s="38" t="n">
        <v>84646.33</v>
      </c>
      <c r="J1436" s="38" t="n">
        <v>0</v>
      </c>
      <c r="K1436" s="38" t="n">
        <v>84646.33</v>
      </c>
      <c r="L1436" s="40" t="inlineStr">
        <is>
          <t>Borç</t>
        </is>
      </c>
    </row>
    <row r="1437" s="34">
      <c r="A1437" s="40" t="inlineStr">
        <is>
          <t>320.01.01.K040</t>
        </is>
      </c>
      <c r="B1437" s="40" t="inlineStr">
        <is>
          <t>Kaspa Gıda San. Ve Tic. Ltd. Şti.</t>
        </is>
      </c>
      <c r="C1437" s="40" t="inlineStr">
        <is>
          <t>TRY</t>
        </is>
      </c>
      <c r="D1437" s="40" t="inlineStr">
        <is>
          <t>ROYAL ADAM EVE</t>
        </is>
      </c>
      <c r="E1437" s="38" t="n">
        <v>38741.03</v>
      </c>
      <c r="F1437" s="38" t="n">
        <v>0</v>
      </c>
      <c r="G1437" s="38" t="n">
        <v>38741.03</v>
      </c>
      <c r="H1437" s="40" t="inlineStr">
        <is>
          <t>Borç</t>
        </is>
      </c>
      <c r="I1437" s="38" t="n">
        <v>38741.03</v>
      </c>
      <c r="J1437" s="38" t="n">
        <v>0</v>
      </c>
      <c r="K1437" s="38" t="n">
        <v>38741.03</v>
      </c>
      <c r="L1437" s="40" t="inlineStr">
        <is>
          <t>Borç</t>
        </is>
      </c>
    </row>
    <row r="1438" s="34">
      <c r="A1438" s="40" t="inlineStr">
        <is>
          <t>320.01.01.K040</t>
        </is>
      </c>
      <c r="B1438" s="40" t="inlineStr">
        <is>
          <t>Kaspa Gıda San. Ve Tic. Ltd. Şti.</t>
        </is>
      </c>
      <c r="C1438" s="40" t="inlineStr">
        <is>
          <t>TRY</t>
        </is>
      </c>
      <c r="D1438" s="40" t="inlineStr">
        <is>
          <t>ROYAL ALHAMBRA</t>
        </is>
      </c>
      <c r="E1438" s="38" t="n">
        <v>0</v>
      </c>
      <c r="F1438" s="38" t="n">
        <v>6546.85</v>
      </c>
      <c r="G1438" s="38" t="n">
        <v>-6546.85</v>
      </c>
      <c r="H1438" s="40" t="inlineStr">
        <is>
          <t>Alacak</t>
        </is>
      </c>
      <c r="I1438" s="38" t="n">
        <v>0</v>
      </c>
      <c r="J1438" s="38" t="n">
        <v>6546.85</v>
      </c>
      <c r="K1438" s="38" t="n">
        <v>-6546.85</v>
      </c>
      <c r="L1438" s="40" t="inlineStr">
        <is>
          <t>Alacak</t>
        </is>
      </c>
    </row>
    <row r="1439" s="34">
      <c r="A1439" s="40" t="inlineStr">
        <is>
          <t>320.01.01.K040</t>
        </is>
      </c>
      <c r="B1439" s="40" t="inlineStr">
        <is>
          <t>Kaspa Gıda San. Ve Tic. Ltd. Şti.</t>
        </is>
      </c>
      <c r="C1439" s="40" t="inlineStr">
        <is>
          <t>TRY</t>
        </is>
      </c>
      <c r="D1439" s="40" t="inlineStr">
        <is>
          <t>ROYAL DRAGON</t>
        </is>
      </c>
      <c r="E1439" s="38" t="n">
        <v>0</v>
      </c>
      <c r="F1439" s="38" t="n">
        <v>55607.87</v>
      </c>
      <c r="G1439" s="38" t="n">
        <v>-55607.87</v>
      </c>
      <c r="H1439" s="40" t="inlineStr">
        <is>
          <t>Alacak</t>
        </is>
      </c>
      <c r="I1439" s="38" t="n">
        <v>0</v>
      </c>
      <c r="J1439" s="38" t="n">
        <v>55607.87</v>
      </c>
      <c r="K1439" s="38" t="n">
        <v>-55607.87</v>
      </c>
      <c r="L1439" s="40" t="inlineStr">
        <is>
          <t>Alacak</t>
        </is>
      </c>
    </row>
    <row r="1440" s="34">
      <c r="A1440" s="40" t="inlineStr">
        <is>
          <t>320.01.01.K040</t>
        </is>
      </c>
      <c r="B1440" s="40" t="inlineStr">
        <is>
          <t>Kaspa Gıda San. Ve Tic. Ltd. Şti.</t>
        </is>
      </c>
      <c r="C1440" s="40" t="inlineStr">
        <is>
          <t>TRY</t>
        </is>
      </c>
      <c r="D1440" s="40" t="inlineStr">
        <is>
          <t>ROYAL SEGINUS</t>
        </is>
      </c>
      <c r="E1440" s="38" t="n">
        <v>0</v>
      </c>
      <c r="F1440" s="38" t="n">
        <v>61988.65</v>
      </c>
      <c r="G1440" s="38" t="n">
        <v>-61988.65</v>
      </c>
      <c r="H1440" s="40" t="inlineStr">
        <is>
          <t>Alacak</t>
        </is>
      </c>
      <c r="I1440" s="38" t="n">
        <v>0</v>
      </c>
      <c r="J1440" s="38" t="n">
        <v>61988.65</v>
      </c>
      <c r="K1440" s="38" t="n">
        <v>-61988.65</v>
      </c>
      <c r="L1440" s="40" t="inlineStr">
        <is>
          <t>Alacak</t>
        </is>
      </c>
    </row>
    <row r="1441" s="34">
      <c r="A1441" s="40" t="inlineStr">
        <is>
          <t>320.01.01.K040</t>
        </is>
      </c>
      <c r="B1441" s="40" t="inlineStr">
        <is>
          <t>Kaspa Gıda San. Ve Tic. Ltd. Şti.</t>
        </is>
      </c>
      <c r="C1441" s="40" t="inlineStr">
        <is>
          <t>TRY</t>
        </is>
      </c>
      <c r="D1441" s="40" t="inlineStr">
        <is>
          <t>SERTAŞ MERKEZ</t>
        </is>
      </c>
      <c r="E1441" s="38" t="n">
        <v>63707.35</v>
      </c>
      <c r="F1441" s="38" t="n">
        <v>0</v>
      </c>
      <c r="G1441" s="38" t="n">
        <v>63707.35</v>
      </c>
      <c r="H1441" s="40" t="inlineStr">
        <is>
          <t>Borç</t>
        </is>
      </c>
      <c r="I1441" s="38" t="n">
        <v>63707.35</v>
      </c>
      <c r="J1441" s="38" t="n">
        <v>0</v>
      </c>
      <c r="K1441" s="38" t="n">
        <v>63707.35</v>
      </c>
      <c r="L1441" s="40" t="inlineStr">
        <is>
          <t>Borç</t>
        </is>
      </c>
    </row>
    <row r="1442" s="34">
      <c r="A1442" s="40" t="inlineStr">
        <is>
          <t>320.01.01.K044</t>
        </is>
      </c>
      <c r="B1442" s="40" t="inlineStr">
        <is>
          <t>Kayaport Odeme Kurulusu As.</t>
        </is>
      </c>
      <c r="C1442" s="40" t="inlineStr">
        <is>
          <t>TRY</t>
        </is>
      </c>
      <c r="D1442" s="40" t="inlineStr">
        <is>
          <t>GİTAŞ MERKEZ</t>
        </is>
      </c>
      <c r="E1442" s="38" t="n">
        <v>0</v>
      </c>
      <c r="F1442" s="38" t="n">
        <v>1050</v>
      </c>
      <c r="G1442" s="38" t="n">
        <v>-1050</v>
      </c>
      <c r="H1442" s="40" t="inlineStr">
        <is>
          <t>Alacak</t>
        </is>
      </c>
      <c r="I1442" s="38" t="n">
        <v>0</v>
      </c>
      <c r="J1442" s="38" t="n">
        <v>1050</v>
      </c>
      <c r="K1442" s="38" t="n">
        <v>-1050</v>
      </c>
      <c r="L1442" s="40" t="inlineStr">
        <is>
          <t>Alacak</t>
        </is>
      </c>
    </row>
    <row r="1443" s="34">
      <c r="A1443" s="40" t="inlineStr">
        <is>
          <t>320.01.01.K044</t>
        </is>
      </c>
      <c r="B1443" s="40" t="inlineStr">
        <is>
          <t>Kayaport Odeme Kurulusu As.</t>
        </is>
      </c>
      <c r="C1443" s="40" t="inlineStr">
        <is>
          <t>TRY</t>
        </is>
      </c>
      <c r="D1443" s="40" t="inlineStr">
        <is>
          <t>ROYAL ADAM EVE</t>
        </is>
      </c>
      <c r="E1443" s="38" t="n">
        <v>0</v>
      </c>
      <c r="F1443" s="38" t="n">
        <v>1050</v>
      </c>
      <c r="G1443" s="38" t="n">
        <v>-1050</v>
      </c>
      <c r="H1443" s="40" t="inlineStr">
        <is>
          <t>Alacak</t>
        </is>
      </c>
      <c r="I1443" s="38" t="n">
        <v>0</v>
      </c>
      <c r="J1443" s="38" t="n">
        <v>1050</v>
      </c>
      <c r="K1443" s="38" t="n">
        <v>-1050</v>
      </c>
      <c r="L1443" s="40" t="inlineStr">
        <is>
          <t>Alacak</t>
        </is>
      </c>
    </row>
    <row r="1444" s="34">
      <c r="A1444" s="40" t="inlineStr">
        <is>
          <t>320.01.01.K044</t>
        </is>
      </c>
      <c r="B1444" s="40" t="inlineStr">
        <is>
          <t>Kayaport Odeme Kurulusu As.</t>
        </is>
      </c>
      <c r="C1444" s="40" t="inlineStr">
        <is>
          <t>TRY</t>
        </is>
      </c>
      <c r="D1444" s="40" t="inlineStr">
        <is>
          <t>SERTAŞ MERKEZ</t>
        </is>
      </c>
      <c r="E1444" s="38" t="n">
        <v>29000</v>
      </c>
      <c r="F1444" s="38" t="n">
        <v>1050</v>
      </c>
      <c r="G1444" s="38" t="n">
        <v>27950</v>
      </c>
      <c r="H1444" s="40" t="inlineStr">
        <is>
          <t>Borç</t>
        </is>
      </c>
      <c r="I1444" s="38" t="n">
        <v>29000</v>
      </c>
      <c r="J1444" s="38" t="n">
        <v>1050</v>
      </c>
      <c r="K1444" s="38" t="n">
        <v>27950</v>
      </c>
      <c r="L1444" s="40" t="inlineStr">
        <is>
          <t>Borç</t>
        </is>
      </c>
    </row>
    <row r="1445" s="34">
      <c r="A1445" s="40" t="inlineStr">
        <is>
          <t>320.01.01.K065</t>
        </is>
      </c>
      <c r="B1445" s="40" t="inlineStr">
        <is>
          <t>Kıvranlar İnş.Tar.Tur.Tic. Ltd.Şti.</t>
        </is>
      </c>
      <c r="C1445" s="40" t="inlineStr">
        <is>
          <t>TRY</t>
        </is>
      </c>
      <c r="D1445" s="40" t="inlineStr">
        <is>
          <t>GİTAŞ MERKEZ</t>
        </is>
      </c>
      <c r="E1445" s="38" t="n">
        <v>43888.2</v>
      </c>
      <c r="F1445" s="38" t="n">
        <v>0</v>
      </c>
      <c r="G1445" s="38" t="n">
        <v>43888.2</v>
      </c>
      <c r="H1445" s="40" t="inlineStr">
        <is>
          <t>Borç</t>
        </is>
      </c>
      <c r="I1445" s="38" t="n">
        <v>43888.2</v>
      </c>
      <c r="J1445" s="38" t="n">
        <v>0</v>
      </c>
      <c r="K1445" s="38" t="n">
        <v>43888.2</v>
      </c>
      <c r="L1445" s="40" t="inlineStr">
        <is>
          <t>Borç</t>
        </is>
      </c>
    </row>
    <row r="1446" s="34">
      <c r="A1446" s="40" t="inlineStr">
        <is>
          <t>320.01.01.K065</t>
        </is>
      </c>
      <c r="B1446" s="40" t="inlineStr">
        <is>
          <t>Kıvranlar İnş.Tar.Tur.Tic. Ltd.Şti.</t>
        </is>
      </c>
      <c r="C1446" s="40" t="inlineStr">
        <is>
          <t>TRY</t>
        </is>
      </c>
      <c r="D1446" s="40" t="inlineStr">
        <is>
          <t>ROYAL ADAM EVE</t>
        </is>
      </c>
      <c r="E1446" s="38" t="n">
        <v>29054.4</v>
      </c>
      <c r="F1446" s="38" t="n">
        <v>0</v>
      </c>
      <c r="G1446" s="38" t="n">
        <v>29054.4</v>
      </c>
      <c r="H1446" s="40" t="inlineStr">
        <is>
          <t>Borç</t>
        </is>
      </c>
      <c r="I1446" s="38" t="n">
        <v>29054.4</v>
      </c>
      <c r="J1446" s="38" t="n">
        <v>0</v>
      </c>
      <c r="K1446" s="38" t="n">
        <v>29054.4</v>
      </c>
      <c r="L1446" s="40" t="inlineStr">
        <is>
          <t>Borç</t>
        </is>
      </c>
    </row>
    <row r="1447" s="34">
      <c r="A1447" s="40" t="inlineStr">
        <is>
          <t>320.01.01.K065</t>
        </is>
      </c>
      <c r="B1447" s="40" t="inlineStr">
        <is>
          <t>Kıvranlar İnş.Tar.Tur.Tic. Ltd.Şti.</t>
        </is>
      </c>
      <c r="C1447" s="40" t="inlineStr">
        <is>
          <t>TRY</t>
        </is>
      </c>
      <c r="D1447" s="40" t="inlineStr">
        <is>
          <t>ROYAL HOLIDAY</t>
        </is>
      </c>
      <c r="E1447" s="38" t="n">
        <v>0</v>
      </c>
      <c r="F1447" s="38" t="n">
        <v>2971.2</v>
      </c>
      <c r="G1447" s="38" t="n">
        <v>-2971.2</v>
      </c>
      <c r="H1447" s="40" t="inlineStr">
        <is>
          <t>Alacak</t>
        </is>
      </c>
      <c r="I1447" s="38" t="n">
        <v>0</v>
      </c>
      <c r="J1447" s="38" t="n">
        <v>2971.2</v>
      </c>
      <c r="K1447" s="38" t="n">
        <v>-2971.2</v>
      </c>
      <c r="L1447" s="40" t="inlineStr">
        <is>
          <t>Alacak</t>
        </is>
      </c>
    </row>
    <row r="1448" s="34">
      <c r="A1448" s="40" t="inlineStr">
        <is>
          <t>320.01.01.K065</t>
        </is>
      </c>
      <c r="B1448" s="40" t="inlineStr">
        <is>
          <t>Kıvranlar İnş.Tar.Tur.Tic. Ltd.Şti.</t>
        </is>
      </c>
      <c r="C1448" s="40" t="inlineStr">
        <is>
          <t>TRY</t>
        </is>
      </c>
      <c r="D1448" s="40" t="inlineStr">
        <is>
          <t>ROYAL SEGINUS</t>
        </is>
      </c>
      <c r="E1448" s="38" t="n">
        <v>0</v>
      </c>
      <c r="F1448" s="38" t="n">
        <v>28087.2</v>
      </c>
      <c r="G1448" s="38" t="n">
        <v>-28087.2</v>
      </c>
      <c r="H1448" s="40" t="inlineStr">
        <is>
          <t>Alacak</t>
        </is>
      </c>
      <c r="I1448" s="38" t="n">
        <v>0</v>
      </c>
      <c r="J1448" s="38" t="n">
        <v>28087.2</v>
      </c>
      <c r="K1448" s="38" t="n">
        <v>-28087.2</v>
      </c>
      <c r="L1448" s="40" t="inlineStr">
        <is>
          <t>Alacak</t>
        </is>
      </c>
    </row>
    <row r="1449" s="34">
      <c r="A1449" s="40" t="inlineStr">
        <is>
          <t>320.01.01.K065</t>
        </is>
      </c>
      <c r="B1449" s="40" t="inlineStr">
        <is>
          <t>Kıvranlar İnş.Tar.Tur.Tic. Ltd.Şti.</t>
        </is>
      </c>
      <c r="C1449" s="40" t="inlineStr">
        <is>
          <t>TRY</t>
        </is>
      </c>
      <c r="D1449" s="40" t="inlineStr">
        <is>
          <t>SERTAŞ MERKEZ</t>
        </is>
      </c>
      <c r="E1449" s="38" t="n">
        <v>102721.2</v>
      </c>
      <c r="F1449" s="38" t="n">
        <v>0</v>
      </c>
      <c r="G1449" s="38" t="n">
        <v>102721.2</v>
      </c>
      <c r="H1449" s="40" t="inlineStr">
        <is>
          <t>Borç</t>
        </is>
      </c>
      <c r="I1449" s="38" t="n">
        <v>102721.2</v>
      </c>
      <c r="J1449" s="38" t="n">
        <v>0</v>
      </c>
      <c r="K1449" s="38" t="n">
        <v>102721.2</v>
      </c>
      <c r="L1449" s="40" t="inlineStr">
        <is>
          <t>Borç</t>
        </is>
      </c>
    </row>
    <row r="1450" s="34">
      <c r="A1450" s="40" t="inlineStr">
        <is>
          <t>320.01.01.K075</t>
        </is>
      </c>
      <c r="B1450" s="40" t="inlineStr">
        <is>
          <t>Koçyiğitler Bobinaj Sanayi ve Ticaret Limited Şirketi</t>
        </is>
      </c>
      <c r="C1450" s="40" t="inlineStr">
        <is>
          <t>TRY</t>
        </is>
      </c>
      <c r="D1450" s="40" t="inlineStr">
        <is>
          <t>GİTAŞ MERKEZ</t>
        </is>
      </c>
      <c r="E1450" s="38" t="n">
        <v>7800</v>
      </c>
      <c r="F1450" s="38" t="n">
        <v>0</v>
      </c>
      <c r="G1450" s="38" t="n">
        <v>7800</v>
      </c>
      <c r="H1450" s="40" t="inlineStr">
        <is>
          <t>Borç</t>
        </is>
      </c>
      <c r="I1450" s="38" t="n">
        <v>7800</v>
      </c>
      <c r="J1450" s="38" t="n">
        <v>0</v>
      </c>
      <c r="K1450" s="38" t="n">
        <v>7800</v>
      </c>
      <c r="L1450" s="40" t="inlineStr">
        <is>
          <t>Borç</t>
        </is>
      </c>
    </row>
    <row r="1451" s="34">
      <c r="A1451" s="40" t="inlineStr">
        <is>
          <t>320.01.01.K076</t>
        </is>
      </c>
      <c r="B1451" s="40" t="inlineStr">
        <is>
          <t xml:space="preserve">Kosifler Oto Servis Tic. Aş. </t>
        </is>
      </c>
      <c r="C1451" s="40" t="inlineStr">
        <is>
          <t>TRY</t>
        </is>
      </c>
      <c r="D1451" s="40" t="inlineStr">
        <is>
          <t>SERTAŞ MERKEZ</t>
        </is>
      </c>
      <c r="E1451" s="38" t="n">
        <v>39155.27</v>
      </c>
      <c r="F1451" s="38" t="n">
        <v>0</v>
      </c>
      <c r="G1451" s="38" t="n">
        <v>39155.27</v>
      </c>
      <c r="H1451" s="40" t="inlineStr">
        <is>
          <t>Borç</t>
        </is>
      </c>
      <c r="I1451" s="38" t="n">
        <v>39155.27</v>
      </c>
      <c r="J1451" s="38" t="n">
        <v>0</v>
      </c>
      <c r="K1451" s="38" t="n">
        <v>39155.27</v>
      </c>
      <c r="L1451" s="40" t="inlineStr">
        <is>
          <t>Borç</t>
        </is>
      </c>
    </row>
    <row r="1452" s="34">
      <c r="A1452" s="40" t="inlineStr">
        <is>
          <t>320.01.01.K078</t>
        </is>
      </c>
      <c r="B1452" s="40" t="inlineStr">
        <is>
          <t>Kod Yazılım Proje Hizm.Turizm Tic.A.Ş.</t>
        </is>
      </c>
      <c r="C1452" s="40" t="inlineStr">
        <is>
          <t>EUR</t>
        </is>
      </c>
      <c r="D1452" s="40" t="inlineStr">
        <is>
          <t>GİTAŞ MERKEZ</t>
        </is>
      </c>
      <c r="E1452" s="38" t="n">
        <v>41647</v>
      </c>
      <c r="F1452" s="38" t="n">
        <v>0</v>
      </c>
      <c r="G1452" s="38" t="n">
        <v>41647</v>
      </c>
      <c r="H1452" s="40" t="inlineStr">
        <is>
          <t>Borç</t>
        </is>
      </c>
      <c r="I1452" s="38" t="n">
        <v>790</v>
      </c>
      <c r="J1452" s="38" t="n">
        <v>0</v>
      </c>
      <c r="K1452" s="38" t="n">
        <v>790</v>
      </c>
      <c r="L1452" s="40" t="inlineStr">
        <is>
          <t>Borç</t>
        </is>
      </c>
    </row>
    <row r="1453" s="34">
      <c r="A1453" s="40" t="inlineStr">
        <is>
          <t>320.01.01.K078</t>
        </is>
      </c>
      <c r="B1453" s="40" t="inlineStr">
        <is>
          <t>Kod Yazılım Proje Hizm.Turizm Tic.A.Ş.</t>
        </is>
      </c>
      <c r="C1453" s="40" t="inlineStr">
        <is>
          <t>EUR</t>
        </is>
      </c>
      <c r="D1453" s="40" t="inlineStr">
        <is>
          <t>ROYAL ADAM EVE</t>
        </is>
      </c>
      <c r="E1453" s="38" t="n">
        <v>0</v>
      </c>
      <c r="F1453" s="38" t="n">
        <v>297114.4</v>
      </c>
      <c r="G1453" s="38" t="n">
        <v>-297114.4</v>
      </c>
      <c r="H1453" s="40" t="inlineStr">
        <is>
          <t>Alacak</t>
        </is>
      </c>
      <c r="I1453" s="38" t="n">
        <v>0</v>
      </c>
      <c r="J1453" s="38" t="n">
        <v>5570</v>
      </c>
      <c r="K1453" s="38" t="n">
        <v>-5570</v>
      </c>
      <c r="L1453" s="40" t="inlineStr">
        <is>
          <t>Alacak</t>
        </is>
      </c>
    </row>
    <row r="1454" s="34">
      <c r="A1454" s="40" t="inlineStr">
        <is>
          <t>320.01.01.K078</t>
        </is>
      </c>
      <c r="B1454" s="40" t="inlineStr">
        <is>
          <t>Kod Yazılım Proje Hizm.Turizm Tic.A.Ş.</t>
        </is>
      </c>
      <c r="C1454" s="40" t="inlineStr">
        <is>
          <t>EUR</t>
        </is>
      </c>
      <c r="D1454" s="40" t="inlineStr">
        <is>
          <t>ROYAL HOLIDAY</t>
        </is>
      </c>
      <c r="E1454" s="38" t="n">
        <v>0</v>
      </c>
      <c r="F1454" s="38" t="n">
        <v>21070.05</v>
      </c>
      <c r="G1454" s="38" t="n">
        <v>-21070.05</v>
      </c>
      <c r="H1454" s="40" t="inlineStr">
        <is>
          <t>Alacak</t>
        </is>
      </c>
      <c r="I1454" s="38" t="n">
        <v>0</v>
      </c>
      <c r="J1454" s="38" t="n">
        <v>395</v>
      </c>
      <c r="K1454" s="38" t="n">
        <v>-395</v>
      </c>
      <c r="L1454" s="40" t="inlineStr">
        <is>
          <t>Alacak</t>
        </is>
      </c>
    </row>
    <row r="1455" s="34">
      <c r="A1455" s="40" t="inlineStr">
        <is>
          <t>320.01.01.K078</t>
        </is>
      </c>
      <c r="B1455" s="40" t="inlineStr">
        <is>
          <t>Kod Yazılım Proje Hizm.Turizm Tic.A.Ş.</t>
        </is>
      </c>
      <c r="C1455" s="40" t="inlineStr">
        <is>
          <t>EUR</t>
        </is>
      </c>
      <c r="D1455" s="40" t="inlineStr">
        <is>
          <t>ROYAL SEGINUS</t>
        </is>
      </c>
      <c r="E1455" s="38" t="n">
        <v>0</v>
      </c>
      <c r="F1455" s="38" t="n">
        <v>27737.79</v>
      </c>
      <c r="G1455" s="38" t="n">
        <v>-27737.79</v>
      </c>
      <c r="H1455" s="40" t="inlineStr">
        <is>
          <t>Alacak</t>
        </is>
      </c>
      <c r="I1455" s="38" t="n">
        <v>0</v>
      </c>
      <c r="J1455" s="38" t="n">
        <v>520</v>
      </c>
      <c r="K1455" s="38" t="n">
        <v>-520</v>
      </c>
      <c r="L1455" s="40" t="inlineStr">
        <is>
          <t>Alacak</t>
        </is>
      </c>
    </row>
    <row r="1456" s="34">
      <c r="A1456" s="40" t="inlineStr">
        <is>
          <t>320.01.01.K078</t>
        </is>
      </c>
      <c r="B1456" s="40" t="inlineStr">
        <is>
          <t>Kod Yazılım Proje Hizm.Turizm Tic.A.Ş.</t>
        </is>
      </c>
      <c r="C1456" s="40" t="inlineStr">
        <is>
          <t>EUR</t>
        </is>
      </c>
      <c r="D1456" s="40" t="inlineStr">
        <is>
          <t>SERTAŞ MERKEZ</t>
        </is>
      </c>
      <c r="E1456" s="38" t="n">
        <v>48236.7</v>
      </c>
      <c r="F1456" s="38" t="n">
        <v>0</v>
      </c>
      <c r="G1456" s="38" t="n">
        <v>48236.7</v>
      </c>
      <c r="H1456" s="40" t="inlineStr">
        <is>
          <t>Borç</t>
        </is>
      </c>
      <c r="I1456" s="38" t="n">
        <v>915</v>
      </c>
      <c r="J1456" s="38" t="n">
        <v>0</v>
      </c>
      <c r="K1456" s="38" t="n">
        <v>915</v>
      </c>
      <c r="L1456" s="40" t="inlineStr">
        <is>
          <t>Borç</t>
        </is>
      </c>
    </row>
    <row r="1457" s="34">
      <c r="A1457" s="40" t="inlineStr">
        <is>
          <t>320.01.01.K079</t>
        </is>
      </c>
      <c r="B1457" s="40" t="inlineStr">
        <is>
          <t>Kone Asansör Sanayi ve Ticaret Anonim Şirketi</t>
        </is>
      </c>
      <c r="C1457" s="40" t="inlineStr">
        <is>
          <t>TRY</t>
        </is>
      </c>
      <c r="D1457" s="40" t="inlineStr">
        <is>
          <t>ROYAL ADAM EVE</t>
        </is>
      </c>
      <c r="E1457" s="38" t="n">
        <v>41300.01</v>
      </c>
      <c r="F1457" s="38" t="n">
        <v>180000</v>
      </c>
      <c r="G1457" s="38" t="n">
        <v>-138699.99</v>
      </c>
      <c r="H1457" s="40" t="inlineStr">
        <is>
          <t>Alacak</t>
        </is>
      </c>
      <c r="I1457" s="38" t="n">
        <v>41300.01</v>
      </c>
      <c r="J1457" s="38" t="n">
        <v>180000</v>
      </c>
      <c r="K1457" s="38" t="n">
        <v>-138699.99</v>
      </c>
      <c r="L1457" s="40" t="inlineStr">
        <is>
          <t>Alacak</t>
        </is>
      </c>
    </row>
    <row r="1458" s="34">
      <c r="A1458" s="40" t="inlineStr">
        <is>
          <t>320.01.01.K080</t>
        </is>
      </c>
      <c r="B1458" s="40" t="inlineStr">
        <is>
          <t>Kolayrez Yazılım A.Ş.</t>
        </is>
      </c>
      <c r="C1458" s="40" t="inlineStr">
        <is>
          <t>TRY</t>
        </is>
      </c>
      <c r="D1458" s="40" t="inlineStr">
        <is>
          <t>GİTAŞ MERKEZ</t>
        </is>
      </c>
      <c r="E1458" s="38" t="n">
        <v>10121.8</v>
      </c>
      <c r="F1458" s="38" t="n">
        <v>0</v>
      </c>
      <c r="G1458" s="38" t="n">
        <v>10121.8</v>
      </c>
      <c r="H1458" s="40" t="inlineStr">
        <is>
          <t>Borç</t>
        </is>
      </c>
      <c r="I1458" s="38" t="n">
        <v>10121.8</v>
      </c>
      <c r="J1458" s="38" t="n">
        <v>0</v>
      </c>
      <c r="K1458" s="38" t="n">
        <v>10121.8</v>
      </c>
      <c r="L1458" s="40" t="inlineStr">
        <is>
          <t>Borç</t>
        </is>
      </c>
    </row>
    <row r="1459" s="34">
      <c r="A1459" s="40" t="inlineStr">
        <is>
          <t>320.01.01.K080</t>
        </is>
      </c>
      <c r="B1459" s="40" t="inlineStr">
        <is>
          <t>Kolayrez Yazılım A.Ş.</t>
        </is>
      </c>
      <c r="C1459" s="40" t="inlineStr">
        <is>
          <t>TRY</t>
        </is>
      </c>
      <c r="D1459" s="40" t="inlineStr">
        <is>
          <t>ROYAL ADAM EVE</t>
        </is>
      </c>
      <c r="E1459" s="38" t="n">
        <v>32474.1</v>
      </c>
      <c r="F1459" s="38" t="n">
        <v>5099.75</v>
      </c>
      <c r="G1459" s="38" t="n">
        <v>27374.35</v>
      </c>
      <c r="H1459" s="40" t="inlineStr">
        <is>
          <t>Borç</t>
        </is>
      </c>
      <c r="I1459" s="38" t="n">
        <v>32474.1</v>
      </c>
      <c r="J1459" s="38" t="n">
        <v>96</v>
      </c>
      <c r="K1459" s="38" t="n">
        <v>32378.1</v>
      </c>
      <c r="L1459" s="40" t="inlineStr">
        <is>
          <t>Borç</t>
        </is>
      </c>
    </row>
    <row r="1460" s="34">
      <c r="A1460" s="40" t="inlineStr">
        <is>
          <t>320.01.01.K080</t>
        </is>
      </c>
      <c r="B1460" s="40" t="inlineStr">
        <is>
          <t>Kolayrez Yazılım A.Ş.</t>
        </is>
      </c>
      <c r="C1460" s="40" t="inlineStr">
        <is>
          <t>TRY</t>
        </is>
      </c>
      <c r="D1460" s="40" t="inlineStr">
        <is>
          <t>ROYAL HOLIDAY</t>
        </is>
      </c>
      <c r="E1460" s="38" t="n">
        <v>0</v>
      </c>
      <c r="F1460" s="38" t="n">
        <v>5099.75</v>
      </c>
      <c r="G1460" s="38" t="n">
        <v>-5099.75</v>
      </c>
      <c r="H1460" s="40" t="inlineStr">
        <is>
          <t>Alacak</t>
        </is>
      </c>
      <c r="I1460" s="38" t="n">
        <v>0</v>
      </c>
      <c r="J1460" s="38" t="n">
        <v>96</v>
      </c>
      <c r="K1460" s="38" t="n">
        <v>-96</v>
      </c>
      <c r="L1460" s="40" t="inlineStr">
        <is>
          <t>Alacak</t>
        </is>
      </c>
    </row>
    <row r="1461" s="34">
      <c r="A1461" s="40" t="inlineStr">
        <is>
          <t>320.01.01.K080</t>
        </is>
      </c>
      <c r="B1461" s="40" t="inlineStr">
        <is>
          <t>Kolayrez Yazılım A.Ş.</t>
        </is>
      </c>
      <c r="C1461" s="40" t="inlineStr">
        <is>
          <t>TRY</t>
        </is>
      </c>
      <c r="D1461" s="40" t="inlineStr">
        <is>
          <t>SERTAŞ MERKEZ</t>
        </is>
      </c>
      <c r="E1461" s="38" t="n">
        <v>10121.8</v>
      </c>
      <c r="F1461" s="38" t="n">
        <v>0</v>
      </c>
      <c r="G1461" s="38" t="n">
        <v>10121.8</v>
      </c>
      <c r="H1461" s="40" t="inlineStr">
        <is>
          <t>Borç</t>
        </is>
      </c>
      <c r="I1461" s="38" t="n">
        <v>10121.8</v>
      </c>
      <c r="J1461" s="38" t="n">
        <v>0</v>
      </c>
      <c r="K1461" s="38" t="n">
        <v>10121.8</v>
      </c>
      <c r="L1461" s="40" t="inlineStr">
        <is>
          <t>Borç</t>
        </is>
      </c>
    </row>
    <row r="1462" s="34">
      <c r="A1462" s="40" t="inlineStr">
        <is>
          <t>320.01.01.K088</t>
        </is>
      </c>
      <c r="B1462" s="40" t="inlineStr">
        <is>
          <t>Koza Gıda Dağ.San.Tic.A.Ş.</t>
        </is>
      </c>
      <c r="C1462" s="40" t="inlineStr">
        <is>
          <t>TRY</t>
        </is>
      </c>
      <c r="D1462" s="40" t="inlineStr">
        <is>
          <t>GİTAŞ MERKEZ</t>
        </is>
      </c>
      <c r="E1462" s="38" t="n">
        <v>11786.34</v>
      </c>
      <c r="F1462" s="38" t="n">
        <v>0</v>
      </c>
      <c r="G1462" s="38" t="n">
        <v>11786.34</v>
      </c>
      <c r="H1462" s="40" t="inlineStr">
        <is>
          <t>Borç</t>
        </is>
      </c>
      <c r="I1462" s="38" t="n">
        <v>11786.34</v>
      </c>
      <c r="J1462" s="38" t="n">
        <v>0</v>
      </c>
      <c r="K1462" s="38" t="n">
        <v>11786.34</v>
      </c>
      <c r="L1462" s="40" t="inlineStr">
        <is>
          <t>Borç</t>
        </is>
      </c>
    </row>
    <row r="1463" s="34">
      <c r="A1463" s="40" t="inlineStr">
        <is>
          <t>320.01.01.K088</t>
        </is>
      </c>
      <c r="B1463" s="40" t="inlineStr">
        <is>
          <t>Koza Gıda Dağ.San.Tic.A.Ş.</t>
        </is>
      </c>
      <c r="C1463" s="40" t="inlineStr">
        <is>
          <t>TRY</t>
        </is>
      </c>
      <c r="D1463" s="40" t="inlineStr">
        <is>
          <t>ROYAL ADAM EVE</t>
        </is>
      </c>
      <c r="E1463" s="38" t="n">
        <v>15008.6</v>
      </c>
      <c r="F1463" s="38" t="n">
        <v>0</v>
      </c>
      <c r="G1463" s="38" t="n">
        <v>15008.6</v>
      </c>
      <c r="H1463" s="40" t="inlineStr">
        <is>
          <t>Borç</t>
        </is>
      </c>
      <c r="I1463" s="38" t="n">
        <v>15008.6</v>
      </c>
      <c r="J1463" s="38" t="n">
        <v>0</v>
      </c>
      <c r="K1463" s="38" t="n">
        <v>15008.6</v>
      </c>
      <c r="L1463" s="40" t="inlineStr">
        <is>
          <t>Borç</t>
        </is>
      </c>
    </row>
    <row r="1464" s="34">
      <c r="A1464" s="40" t="inlineStr">
        <is>
          <t>320.01.01.K088</t>
        </is>
      </c>
      <c r="B1464" s="40" t="inlineStr">
        <is>
          <t>Koza Gıda Dağ.San.Tic.A.Ş.</t>
        </is>
      </c>
      <c r="C1464" s="40" t="inlineStr">
        <is>
          <t>TRY</t>
        </is>
      </c>
      <c r="D1464" s="40" t="inlineStr">
        <is>
          <t>ROYAL HOLIDAY</t>
        </is>
      </c>
      <c r="E1464" s="38" t="n">
        <v>0</v>
      </c>
      <c r="F1464" s="38" t="n">
        <v>1515</v>
      </c>
      <c r="G1464" s="38" t="n">
        <v>-1515</v>
      </c>
      <c r="H1464" s="40" t="inlineStr">
        <is>
          <t>Alacak</t>
        </is>
      </c>
      <c r="I1464" s="38" t="n">
        <v>0</v>
      </c>
      <c r="J1464" s="38" t="n">
        <v>1515</v>
      </c>
      <c r="K1464" s="38" t="n">
        <v>-1515</v>
      </c>
      <c r="L1464" s="40" t="inlineStr">
        <is>
          <t>Alacak</t>
        </is>
      </c>
    </row>
    <row r="1465" s="34">
      <c r="A1465" s="40" t="inlineStr">
        <is>
          <t>320.01.01.K088</t>
        </is>
      </c>
      <c r="B1465" s="40" t="inlineStr">
        <is>
          <t>Koza Gıda Dağ.San.Tic.A.Ş.</t>
        </is>
      </c>
      <c r="C1465" s="40" t="inlineStr">
        <is>
          <t>TRY</t>
        </is>
      </c>
      <c r="D1465" s="40" t="inlineStr">
        <is>
          <t>ROYAL SEGINUS</t>
        </is>
      </c>
      <c r="E1465" s="38" t="n">
        <v>0</v>
      </c>
      <c r="F1465" s="38" t="n">
        <v>13097.68</v>
      </c>
      <c r="G1465" s="38" t="n">
        <v>-13097.68</v>
      </c>
      <c r="H1465" s="40" t="inlineStr">
        <is>
          <t>Alacak</t>
        </is>
      </c>
      <c r="I1465" s="38" t="n">
        <v>0</v>
      </c>
      <c r="J1465" s="38" t="n">
        <v>13097.68</v>
      </c>
      <c r="K1465" s="38" t="n">
        <v>-13097.68</v>
      </c>
      <c r="L1465" s="40" t="inlineStr">
        <is>
          <t>Alacak</t>
        </is>
      </c>
    </row>
    <row r="1466" s="34">
      <c r="A1466" s="40" t="inlineStr">
        <is>
          <t>320.01.01.K088</t>
        </is>
      </c>
      <c r="B1466" s="40" t="inlineStr">
        <is>
          <t>Koza Gıda Dağ.San.Tic.A.Ş.</t>
        </is>
      </c>
      <c r="C1466" s="40" t="inlineStr">
        <is>
          <t>TRY</t>
        </is>
      </c>
      <c r="D1466" s="40" t="inlineStr">
        <is>
          <t>SERTAŞ MERKEZ</t>
        </is>
      </c>
      <c r="E1466" s="38" t="n">
        <v>22496.34</v>
      </c>
      <c r="F1466" s="38" t="n">
        <v>0</v>
      </c>
      <c r="G1466" s="38" t="n">
        <v>22496.34</v>
      </c>
      <c r="H1466" s="40" t="inlineStr">
        <is>
          <t>Borç</t>
        </is>
      </c>
      <c r="I1466" s="38" t="n">
        <v>22496.34</v>
      </c>
      <c r="J1466" s="38" t="n">
        <v>0</v>
      </c>
      <c r="K1466" s="38" t="n">
        <v>22496.34</v>
      </c>
      <c r="L1466" s="40" t="inlineStr">
        <is>
          <t>Borç</t>
        </is>
      </c>
    </row>
    <row r="1467" s="34">
      <c r="A1467" s="40" t="inlineStr">
        <is>
          <t>320.01.01.K093</t>
        </is>
      </c>
      <c r="B1467" s="40" t="inlineStr">
        <is>
          <t>Krea İcerik Hiz.Ve Prodüksiyon A.Ş.</t>
        </is>
      </c>
      <c r="C1467" s="40" t="inlineStr">
        <is>
          <t>TRY</t>
        </is>
      </c>
      <c r="D1467" s="40" t="inlineStr">
        <is>
          <t>ROYAL ADAM EVE</t>
        </is>
      </c>
      <c r="E1467" s="38" t="n">
        <v>20265.03</v>
      </c>
      <c r="F1467" s="38" t="n">
        <v>20265.02</v>
      </c>
      <c r="G1467" s="38" t="n">
        <v>0.01</v>
      </c>
      <c r="H1467" s="40" t="inlineStr">
        <is>
          <t>Borç</t>
        </is>
      </c>
      <c r="I1467" s="38" t="n">
        <v>20265.03</v>
      </c>
      <c r="J1467" s="38" t="n">
        <v>20265.02</v>
      </c>
      <c r="K1467" s="38" t="n">
        <v>0.01</v>
      </c>
      <c r="L1467" s="40" t="inlineStr">
        <is>
          <t>Borç</t>
        </is>
      </c>
    </row>
    <row r="1468" s="34">
      <c r="A1468" s="40" t="inlineStr">
        <is>
          <t>320.01.01.K093</t>
        </is>
      </c>
      <c r="B1468" s="40" t="inlineStr">
        <is>
          <t>Krea İcerik Hiz.Ve Prodüksiyon A.Ş.</t>
        </is>
      </c>
      <c r="C1468" s="40" t="inlineStr">
        <is>
          <t>TRY</t>
        </is>
      </c>
      <c r="D1468" s="40" t="inlineStr">
        <is>
          <t>ROYAL SEGINUS</t>
        </is>
      </c>
      <c r="E1468" s="38" t="n">
        <v>0</v>
      </c>
      <c r="F1468" s="38" t="n">
        <v>7514.41</v>
      </c>
      <c r="G1468" s="38" t="n">
        <v>-7514.41</v>
      </c>
      <c r="H1468" s="40" t="inlineStr">
        <is>
          <t>Alacak</t>
        </is>
      </c>
      <c r="I1468" s="38" t="n">
        <v>0</v>
      </c>
      <c r="J1468" s="38" t="n">
        <v>7514.41</v>
      </c>
      <c r="K1468" s="38" t="n">
        <v>-7514.41</v>
      </c>
      <c r="L1468" s="40" t="inlineStr">
        <is>
          <t>Alacak</t>
        </is>
      </c>
    </row>
    <row r="1469" s="34">
      <c r="A1469" s="40" t="inlineStr">
        <is>
          <t>320.01.01.K100</t>
        </is>
      </c>
      <c r="B1469" s="40" t="inlineStr">
        <is>
          <t>Kubay Isıtma Sis.Ltd.Şti.</t>
        </is>
      </c>
      <c r="C1469" s="40" t="inlineStr">
        <is>
          <t>TRY</t>
        </is>
      </c>
      <c r="D1469" s="40" t="inlineStr">
        <is>
          <t>GİTAŞ MERKEZ</t>
        </is>
      </c>
      <c r="E1469" s="38" t="n">
        <v>22253.99</v>
      </c>
      <c r="F1469" s="38" t="n">
        <v>0</v>
      </c>
      <c r="G1469" s="38" t="n">
        <v>22253.99</v>
      </c>
      <c r="H1469" s="40" t="inlineStr">
        <is>
          <t>Borç</t>
        </is>
      </c>
      <c r="I1469" s="38" t="n">
        <v>22253.99</v>
      </c>
      <c r="J1469" s="38" t="n">
        <v>0</v>
      </c>
      <c r="K1469" s="38" t="n">
        <v>22253.99</v>
      </c>
      <c r="L1469" s="40" t="inlineStr">
        <is>
          <t>Borç</t>
        </is>
      </c>
    </row>
    <row r="1470" s="34">
      <c r="A1470" s="40" t="inlineStr">
        <is>
          <t>320.01.01.K100</t>
        </is>
      </c>
      <c r="B1470" s="40" t="inlineStr">
        <is>
          <t>Kubay Isıtma Sis.Ltd.Şti.</t>
        </is>
      </c>
      <c r="C1470" s="40" t="inlineStr">
        <is>
          <t>TRY</t>
        </is>
      </c>
      <c r="D1470" s="40" t="inlineStr">
        <is>
          <t>SERTAŞ MERKEZ</t>
        </is>
      </c>
      <c r="E1470" s="38" t="n">
        <v>29612.35</v>
      </c>
      <c r="F1470" s="38" t="n">
        <v>0</v>
      </c>
      <c r="G1470" s="38" t="n">
        <v>29612.35</v>
      </c>
      <c r="H1470" s="40" t="inlineStr">
        <is>
          <t>Borç</t>
        </is>
      </c>
      <c r="I1470" s="38" t="n">
        <v>29612.35</v>
      </c>
      <c r="J1470" s="38" t="n">
        <v>0</v>
      </c>
      <c r="K1470" s="38" t="n">
        <v>29612.35</v>
      </c>
      <c r="L1470" s="40" t="inlineStr">
        <is>
          <t>Borç</t>
        </is>
      </c>
    </row>
    <row r="1471" s="34">
      <c r="A1471" s="40" t="inlineStr">
        <is>
          <t>320.01.01.K102</t>
        </is>
      </c>
      <c r="B1471" s="40" t="inlineStr">
        <is>
          <t>Kuresel Teknik İklimlendirme Ltd.Şti.</t>
        </is>
      </c>
      <c r="C1471" s="40" t="inlineStr">
        <is>
          <t>TRY</t>
        </is>
      </c>
      <c r="D1471" s="40" t="inlineStr">
        <is>
          <t>ROYAL ADAM EVE</t>
        </is>
      </c>
      <c r="E1471" s="38" t="n">
        <v>59982</v>
      </c>
      <c r="F1471" s="38" t="n">
        <v>43602</v>
      </c>
      <c r="G1471" s="38" t="n">
        <v>16380</v>
      </c>
      <c r="H1471" s="40" t="inlineStr">
        <is>
          <t>Borç</t>
        </is>
      </c>
      <c r="I1471" s="38" t="n">
        <v>59982</v>
      </c>
      <c r="J1471" s="38" t="n">
        <v>43602</v>
      </c>
      <c r="K1471" s="38" t="n">
        <v>16380</v>
      </c>
      <c r="L1471" s="40" t="inlineStr">
        <is>
          <t>Borç</t>
        </is>
      </c>
    </row>
    <row r="1472" s="34">
      <c r="A1472" s="40" t="inlineStr">
        <is>
          <t>320.01.01.K102</t>
        </is>
      </c>
      <c r="B1472" s="40" t="inlineStr">
        <is>
          <t>Kuresel Teknik İklimlendirme Ltd.Şti.</t>
        </is>
      </c>
      <c r="C1472" s="40" t="inlineStr">
        <is>
          <t>TRY</t>
        </is>
      </c>
      <c r="D1472" s="40" t="inlineStr">
        <is>
          <t>SERTAŞ MERKEZ</t>
        </is>
      </c>
      <c r="E1472" s="38" t="n">
        <v>19208.4</v>
      </c>
      <c r="F1472" s="38" t="n">
        <v>0</v>
      </c>
      <c r="G1472" s="38" t="n">
        <v>19208.4</v>
      </c>
      <c r="H1472" s="40" t="inlineStr">
        <is>
          <t>Borç</t>
        </is>
      </c>
      <c r="I1472" s="38" t="n">
        <v>19208.4</v>
      </c>
      <c r="J1472" s="38" t="n">
        <v>0</v>
      </c>
      <c r="K1472" s="38" t="n">
        <v>19208.4</v>
      </c>
      <c r="L1472" s="40" t="inlineStr">
        <is>
          <t>Borç</t>
        </is>
      </c>
    </row>
    <row r="1473" s="34">
      <c r="A1473" s="40" t="inlineStr">
        <is>
          <t>320.01.01.K109</t>
        </is>
      </c>
      <c r="B1473" s="40" t="inlineStr">
        <is>
          <t>Kardesler İns.Sıhhi Tes.Taah.Tur.Ltd.Şti</t>
        </is>
      </c>
      <c r="C1473" s="40" t="inlineStr">
        <is>
          <t>TRY</t>
        </is>
      </c>
      <c r="D1473" s="40" t="inlineStr">
        <is>
          <t>GİTAŞ MERKEZ</t>
        </is>
      </c>
      <c r="E1473" s="38" t="n">
        <v>25116</v>
      </c>
      <c r="F1473" s="38" t="n">
        <v>0</v>
      </c>
      <c r="G1473" s="38" t="n">
        <v>25116</v>
      </c>
      <c r="H1473" s="40" t="inlineStr">
        <is>
          <t>Borç</t>
        </is>
      </c>
      <c r="I1473" s="38" t="n">
        <v>25116</v>
      </c>
      <c r="J1473" s="38" t="n">
        <v>0</v>
      </c>
      <c r="K1473" s="38" t="n">
        <v>25116</v>
      </c>
      <c r="L1473" s="40" t="inlineStr">
        <is>
          <t>Borç</t>
        </is>
      </c>
    </row>
    <row r="1474" s="34">
      <c r="A1474" s="40" t="inlineStr">
        <is>
          <t>320.01.01.K109</t>
        </is>
      </c>
      <c r="B1474" s="40" t="inlineStr">
        <is>
          <t>Kardesler İns.Sıhhi Tes.Taah.Tur.Ltd.Şti</t>
        </is>
      </c>
      <c r="C1474" s="40" t="inlineStr">
        <is>
          <t>TRY</t>
        </is>
      </c>
      <c r="D1474" s="40" t="inlineStr">
        <is>
          <t>ROYAL SEGINUS</t>
        </is>
      </c>
      <c r="E1474" s="38" t="n">
        <v>0</v>
      </c>
      <c r="F1474" s="38" t="n">
        <v>42402</v>
      </c>
      <c r="G1474" s="38" t="n">
        <v>-42402</v>
      </c>
      <c r="H1474" s="40" t="inlineStr">
        <is>
          <t>Alacak</t>
        </is>
      </c>
      <c r="I1474" s="38" t="n">
        <v>0</v>
      </c>
      <c r="J1474" s="38" t="n">
        <v>42402</v>
      </c>
      <c r="K1474" s="38" t="n">
        <v>-42402</v>
      </c>
      <c r="L1474" s="40" t="inlineStr">
        <is>
          <t>Alacak</t>
        </is>
      </c>
    </row>
    <row r="1475" s="34">
      <c r="A1475" s="40" t="inlineStr">
        <is>
          <t>320.01.01.K109</t>
        </is>
      </c>
      <c r="B1475" s="40" t="inlineStr">
        <is>
          <t>Kardesler İns.Sıhhi Tes.Taah.Tur.Ltd.Şti</t>
        </is>
      </c>
      <c r="C1475" s="40" t="inlineStr">
        <is>
          <t>TRY</t>
        </is>
      </c>
      <c r="D1475" s="40" t="inlineStr">
        <is>
          <t>SERTAŞ MERKEZ</t>
        </is>
      </c>
      <c r="E1475" s="38" t="n">
        <v>18630.6</v>
      </c>
      <c r="F1475" s="38" t="n">
        <v>0</v>
      </c>
      <c r="G1475" s="38" t="n">
        <v>18630.6</v>
      </c>
      <c r="H1475" s="40" t="inlineStr">
        <is>
          <t>Borç</t>
        </is>
      </c>
      <c r="I1475" s="38" t="n">
        <v>18630.6</v>
      </c>
      <c r="J1475" s="38" t="n">
        <v>0</v>
      </c>
      <c r="K1475" s="38" t="n">
        <v>18630.6</v>
      </c>
      <c r="L1475" s="40" t="inlineStr">
        <is>
          <t>Borç</t>
        </is>
      </c>
    </row>
    <row r="1476" s="34">
      <c r="A1476" s="40" t="inlineStr">
        <is>
          <t>320.01.01.K110</t>
        </is>
      </c>
      <c r="B1476" s="40" t="inlineStr">
        <is>
          <t>Kamile Yaşar</t>
        </is>
      </c>
      <c r="C1476" s="40" t="inlineStr">
        <is>
          <t>TRY</t>
        </is>
      </c>
      <c r="D1476" s="40" t="inlineStr">
        <is>
          <t>GİTAŞ MERKEZ</t>
        </is>
      </c>
      <c r="E1476" s="38" t="n">
        <v>23400</v>
      </c>
      <c r="F1476" s="38" t="n">
        <v>0</v>
      </c>
      <c r="G1476" s="38" t="n">
        <v>23400</v>
      </c>
      <c r="H1476" s="40" t="inlineStr">
        <is>
          <t>Borç</t>
        </is>
      </c>
      <c r="I1476" s="38" t="n">
        <v>23400</v>
      </c>
      <c r="J1476" s="38" t="n">
        <v>0</v>
      </c>
      <c r="K1476" s="38" t="n">
        <v>23400</v>
      </c>
      <c r="L1476" s="40" t="inlineStr">
        <is>
          <t>Borç</t>
        </is>
      </c>
    </row>
    <row r="1477" s="34">
      <c r="A1477" s="40" t="inlineStr">
        <is>
          <t>320.01.01.K110</t>
        </is>
      </c>
      <c r="B1477" s="40" t="inlineStr">
        <is>
          <t>Kamile Yaşar</t>
        </is>
      </c>
      <c r="C1477" s="40" t="inlineStr">
        <is>
          <t>TRY</t>
        </is>
      </c>
      <c r="D1477" s="40" t="inlineStr">
        <is>
          <t>ROYAL ALHAMBRA</t>
        </is>
      </c>
      <c r="E1477" s="38" t="n">
        <v>0</v>
      </c>
      <c r="F1477" s="38" t="n">
        <v>23400</v>
      </c>
      <c r="G1477" s="38" t="n">
        <v>-23400</v>
      </c>
      <c r="H1477" s="40" t="inlineStr">
        <is>
          <t>Alacak</t>
        </is>
      </c>
      <c r="I1477" s="38" t="n">
        <v>0</v>
      </c>
      <c r="J1477" s="38" t="n">
        <v>23400</v>
      </c>
      <c r="K1477" s="38" t="n">
        <v>-23400</v>
      </c>
      <c r="L1477" s="40" t="inlineStr">
        <is>
          <t>Alacak</t>
        </is>
      </c>
    </row>
    <row r="1478" s="34">
      <c r="A1478" s="40" t="inlineStr">
        <is>
          <t>320.01.01.K111</t>
        </is>
      </c>
      <c r="B1478" s="40" t="inlineStr">
        <is>
          <t>Kenan Esen</t>
        </is>
      </c>
      <c r="C1478" s="40" t="inlineStr">
        <is>
          <t>TRY</t>
        </is>
      </c>
      <c r="D1478" s="40" t="inlineStr">
        <is>
          <t>GİTAŞ MERKEZ</t>
        </is>
      </c>
      <c r="E1478" s="38" t="n">
        <v>42000</v>
      </c>
      <c r="F1478" s="38" t="n">
        <v>0</v>
      </c>
      <c r="G1478" s="38" t="n">
        <v>42000</v>
      </c>
      <c r="H1478" s="40" t="inlineStr">
        <is>
          <t>Borç</t>
        </is>
      </c>
      <c r="I1478" s="38" t="n">
        <v>42000</v>
      </c>
      <c r="J1478" s="38" t="n">
        <v>0</v>
      </c>
      <c r="K1478" s="38" t="n">
        <v>42000</v>
      </c>
      <c r="L1478" s="40" t="inlineStr">
        <is>
          <t>Borç</t>
        </is>
      </c>
    </row>
    <row r="1479" s="34">
      <c r="A1479" s="40" t="inlineStr">
        <is>
          <t>320.01.01.K111</t>
        </is>
      </c>
      <c r="B1479" s="40" t="inlineStr">
        <is>
          <t>Kenan Esen</t>
        </is>
      </c>
      <c r="C1479" s="40" t="inlineStr">
        <is>
          <t>TRY</t>
        </is>
      </c>
      <c r="D1479" s="40" t="inlineStr">
        <is>
          <t>ROYAL ALHAMBRA</t>
        </is>
      </c>
      <c r="E1479" s="38" t="n">
        <v>0</v>
      </c>
      <c r="F1479" s="38" t="n">
        <v>42000</v>
      </c>
      <c r="G1479" s="38" t="n">
        <v>-42000</v>
      </c>
      <c r="H1479" s="40" t="inlineStr">
        <is>
          <t>Alacak</t>
        </is>
      </c>
      <c r="I1479" s="38" t="n">
        <v>0</v>
      </c>
      <c r="J1479" s="38" t="n">
        <v>42000</v>
      </c>
      <c r="K1479" s="38" t="n">
        <v>-42000</v>
      </c>
      <c r="L1479" s="40" t="inlineStr">
        <is>
          <t>Alacak</t>
        </is>
      </c>
    </row>
    <row r="1480" s="34">
      <c r="A1480" s="40" t="inlineStr">
        <is>
          <t>320.01.01.K112</t>
        </is>
      </c>
      <c r="B1480" s="40" t="inlineStr">
        <is>
          <t>Küresel İklemlendirme Tek.Dan.İnş.Tur.Tic.San.İth.İhr.Ltd.Şti.</t>
        </is>
      </c>
      <c r="C1480" s="40" t="inlineStr">
        <is>
          <t>TRY</t>
        </is>
      </c>
      <c r="D1480" s="40" t="inlineStr">
        <is>
          <t>GİTAŞ MERKEZ</t>
        </is>
      </c>
      <c r="E1480" s="38" t="n">
        <v>9549.01</v>
      </c>
      <c r="F1480" s="38" t="n">
        <v>0</v>
      </c>
      <c r="G1480" s="38" t="n">
        <v>9549.01</v>
      </c>
      <c r="H1480" s="40" t="inlineStr">
        <is>
          <t>Borç</t>
        </is>
      </c>
      <c r="I1480" s="38" t="n">
        <v>9549.01</v>
      </c>
      <c r="J1480" s="38" t="n">
        <v>0</v>
      </c>
      <c r="K1480" s="38" t="n">
        <v>9549.01</v>
      </c>
      <c r="L1480" s="40" t="inlineStr">
        <is>
          <t>Borç</t>
        </is>
      </c>
    </row>
    <row r="1481" s="34">
      <c r="A1481" s="40" t="inlineStr">
        <is>
          <t>320.01.01.L006</t>
        </is>
      </c>
      <c r="B1481" s="40" t="inlineStr">
        <is>
          <t>Lara Yatırım Turz.İnş.Tic. A.Ş./Latuyab</t>
        </is>
      </c>
      <c r="C1481" s="40" t="inlineStr">
        <is>
          <t>TRY</t>
        </is>
      </c>
      <c r="D1481" s="40" t="inlineStr">
        <is>
          <t>SERTAŞ MERKEZ</t>
        </is>
      </c>
      <c r="E1481" s="38" t="n">
        <v>818769.03</v>
      </c>
      <c r="F1481" s="38" t="n">
        <v>0</v>
      </c>
      <c r="G1481" s="38" t="n">
        <v>818769.03</v>
      </c>
      <c r="H1481" s="40" t="inlineStr">
        <is>
          <t>Borç</t>
        </is>
      </c>
      <c r="I1481" s="38" t="n">
        <v>818769.03</v>
      </c>
      <c r="J1481" s="38" t="n">
        <v>0</v>
      </c>
      <c r="K1481" s="38" t="n">
        <v>818769.03</v>
      </c>
      <c r="L1481" s="40" t="inlineStr">
        <is>
          <t>Borç</t>
        </is>
      </c>
    </row>
    <row r="1482" s="34">
      <c r="A1482" s="40" t="inlineStr">
        <is>
          <t>320.01.01.L007</t>
        </is>
      </c>
      <c r="B1482" s="40" t="inlineStr">
        <is>
          <t>Led ElekTRik Elekt.Otom.İnş.San.Tic.A.Ş.</t>
        </is>
      </c>
      <c r="C1482" s="40" t="inlineStr">
        <is>
          <t>TRY</t>
        </is>
      </c>
      <c r="D1482" s="40" t="inlineStr">
        <is>
          <t>ROYAL ADAM EVE</t>
        </is>
      </c>
      <c r="E1482" s="38" t="n">
        <v>0</v>
      </c>
      <c r="F1482" s="38" t="n">
        <v>4590</v>
      </c>
      <c r="G1482" s="38" t="n">
        <v>-4590</v>
      </c>
      <c r="H1482" s="40" t="inlineStr">
        <is>
          <t>Alacak</t>
        </is>
      </c>
      <c r="I1482" s="38" t="n">
        <v>0</v>
      </c>
      <c r="J1482" s="38" t="n">
        <v>4590</v>
      </c>
      <c r="K1482" s="38" t="n">
        <v>-4590</v>
      </c>
      <c r="L1482" s="40" t="inlineStr">
        <is>
          <t>Alacak</t>
        </is>
      </c>
    </row>
    <row r="1483" s="34">
      <c r="A1483" s="40" t="inlineStr">
        <is>
          <t>320.01.01.L007</t>
        </is>
      </c>
      <c r="B1483" s="40" t="inlineStr">
        <is>
          <t>Led ElekTRik Elekt.Otom.İnş.San.Tic.A.Ş.</t>
        </is>
      </c>
      <c r="C1483" s="40" t="inlineStr">
        <is>
          <t>TRY</t>
        </is>
      </c>
      <c r="D1483" s="40" t="inlineStr">
        <is>
          <t>SERTAŞ MERKEZ</t>
        </is>
      </c>
      <c r="E1483" s="38" t="n">
        <v>77316</v>
      </c>
      <c r="F1483" s="38" t="n">
        <v>0</v>
      </c>
      <c r="G1483" s="38" t="n">
        <v>77316</v>
      </c>
      <c r="H1483" s="40" t="inlineStr">
        <is>
          <t>Borç</t>
        </is>
      </c>
      <c r="I1483" s="38" t="n">
        <v>77316</v>
      </c>
      <c r="J1483" s="38" t="n">
        <v>0</v>
      </c>
      <c r="K1483" s="38" t="n">
        <v>77316</v>
      </c>
      <c r="L1483" s="40" t="inlineStr">
        <is>
          <t>Borç</t>
        </is>
      </c>
    </row>
    <row r="1484" s="34">
      <c r="A1484" s="40" t="inlineStr">
        <is>
          <t>320.01.01.L008</t>
        </is>
      </c>
      <c r="B1484" s="40" t="inlineStr">
        <is>
          <t>Led Antalya Aydınlatma Sistemleri İnşaat Sanayi ve Ticaret Limited Şirketi</t>
        </is>
      </c>
      <c r="C1484" s="40" t="inlineStr">
        <is>
          <t>TRY</t>
        </is>
      </c>
      <c r="D1484" s="40" t="inlineStr">
        <is>
          <t>GİTAŞ MERKEZ</t>
        </is>
      </c>
      <c r="E1484" s="38" t="n">
        <v>147000</v>
      </c>
      <c r="F1484" s="38" t="n">
        <v>0</v>
      </c>
      <c r="G1484" s="38" t="n">
        <v>147000</v>
      </c>
      <c r="H1484" s="40" t="inlineStr">
        <is>
          <t>Borç</t>
        </is>
      </c>
      <c r="I1484" s="38" t="n">
        <v>147000</v>
      </c>
      <c r="J1484" s="38" t="n">
        <v>0</v>
      </c>
      <c r="K1484" s="38" t="n">
        <v>147000</v>
      </c>
      <c r="L1484" s="40" t="inlineStr">
        <is>
          <t>Borç</t>
        </is>
      </c>
    </row>
    <row r="1485" s="34">
      <c r="A1485" s="40" t="inlineStr">
        <is>
          <t>320.01.01.L008</t>
        </is>
      </c>
      <c r="B1485" s="40" t="inlineStr">
        <is>
          <t>Led Antalya Aydınlatma Sistemleri İnşaat Sanayi ve Ticaret Limited Şirketi</t>
        </is>
      </c>
      <c r="C1485" s="40" t="inlineStr">
        <is>
          <t>TRY</t>
        </is>
      </c>
      <c r="D1485" s="40" t="inlineStr">
        <is>
          <t>ROYAL ADAM EVE</t>
        </is>
      </c>
      <c r="E1485" s="38" t="n">
        <v>172018.5</v>
      </c>
      <c r="F1485" s="38" t="n">
        <v>0</v>
      </c>
      <c r="G1485" s="38" t="n">
        <v>172018.5</v>
      </c>
      <c r="H1485" s="40" t="inlineStr">
        <is>
          <t>Borç</t>
        </is>
      </c>
      <c r="I1485" s="38" t="n">
        <v>172018.5</v>
      </c>
      <c r="J1485" s="38" t="n">
        <v>0</v>
      </c>
      <c r="K1485" s="38" t="n">
        <v>172018.5</v>
      </c>
      <c r="L1485" s="40" t="inlineStr">
        <is>
          <t>Borç</t>
        </is>
      </c>
    </row>
    <row r="1486" s="34">
      <c r="A1486" s="40" t="inlineStr">
        <is>
          <t>320.01.01.L008</t>
        </is>
      </c>
      <c r="B1486" s="40" t="inlineStr">
        <is>
          <t>Led Antalya Aydınlatma Sistemleri İnşaat Sanayi ve Ticaret Limited Şirketi</t>
        </is>
      </c>
      <c r="C1486" s="40" t="inlineStr">
        <is>
          <t>TRY</t>
        </is>
      </c>
      <c r="D1486" s="40" t="inlineStr">
        <is>
          <t>SERTAŞ MERKEZ</t>
        </is>
      </c>
      <c r="E1486" s="38" t="n">
        <v>3000</v>
      </c>
      <c r="F1486" s="38" t="n">
        <v>0</v>
      </c>
      <c r="G1486" s="38" t="n">
        <v>3000</v>
      </c>
      <c r="H1486" s="40" t="inlineStr">
        <is>
          <t>Borç</t>
        </is>
      </c>
      <c r="I1486" s="38" t="n">
        <v>3000</v>
      </c>
      <c r="J1486" s="38" t="n">
        <v>0</v>
      </c>
      <c r="K1486" s="38" t="n">
        <v>3000</v>
      </c>
      <c r="L1486" s="40" t="inlineStr">
        <is>
          <t>Borç</t>
        </is>
      </c>
    </row>
    <row r="1487" s="34">
      <c r="A1487" s="40" t="inlineStr">
        <is>
          <t>320.01.01.L010</t>
        </is>
      </c>
      <c r="B1487" s="40" t="inlineStr">
        <is>
          <t>Levent Aydınlatma Elekt.Malz.Tic.Ltd.Şti</t>
        </is>
      </c>
      <c r="C1487" s="40" t="inlineStr">
        <is>
          <t>TRY</t>
        </is>
      </c>
      <c r="D1487" s="40" t="inlineStr">
        <is>
          <t>ROYAL HOLIDAY</t>
        </is>
      </c>
      <c r="E1487" s="38" t="n">
        <v>0</v>
      </c>
      <c r="F1487" s="38" t="n">
        <v>6000</v>
      </c>
      <c r="G1487" s="38" t="n">
        <v>-6000</v>
      </c>
      <c r="H1487" s="40" t="inlineStr">
        <is>
          <t>Alacak</t>
        </is>
      </c>
      <c r="I1487" s="38" t="n">
        <v>0</v>
      </c>
      <c r="J1487" s="38" t="n">
        <v>6000</v>
      </c>
      <c r="K1487" s="38" t="n">
        <v>-6000</v>
      </c>
      <c r="L1487" s="40" t="inlineStr">
        <is>
          <t>Alacak</t>
        </is>
      </c>
    </row>
    <row r="1488" s="34">
      <c r="A1488" s="40" t="inlineStr">
        <is>
          <t>320.01.01.L010</t>
        </is>
      </c>
      <c r="B1488" s="40" t="inlineStr">
        <is>
          <t>Levent Aydınlatma Elekt.Malz.Tic.Ltd.Şti</t>
        </is>
      </c>
      <c r="C1488" s="40" t="inlineStr">
        <is>
          <t>TRY</t>
        </is>
      </c>
      <c r="D1488" s="40" t="inlineStr">
        <is>
          <t>ROYAL SEGINUS</t>
        </is>
      </c>
      <c r="E1488" s="38" t="n">
        <v>0</v>
      </c>
      <c r="F1488" s="38" t="n">
        <v>7733.28</v>
      </c>
      <c r="G1488" s="38" t="n">
        <v>-7733.28</v>
      </c>
      <c r="H1488" s="40" t="inlineStr">
        <is>
          <t>Alacak</t>
        </is>
      </c>
      <c r="I1488" s="38" t="n">
        <v>0</v>
      </c>
      <c r="J1488" s="38" t="n">
        <v>7733.28</v>
      </c>
      <c r="K1488" s="38" t="n">
        <v>-7733.28</v>
      </c>
      <c r="L1488" s="40" t="inlineStr">
        <is>
          <t>Alacak</t>
        </is>
      </c>
    </row>
    <row r="1489" s="34">
      <c r="A1489" s="40" t="inlineStr">
        <is>
          <t>320.01.01.L010</t>
        </is>
      </c>
      <c r="B1489" s="40" t="inlineStr">
        <is>
          <t>Levent Aydınlatma Elekt.Malz.Tic.Ltd.Şti</t>
        </is>
      </c>
      <c r="C1489" s="40" t="inlineStr">
        <is>
          <t>TRY</t>
        </is>
      </c>
      <c r="D1489" s="40" t="inlineStr">
        <is>
          <t>SERTAŞ MERKEZ</t>
        </is>
      </c>
      <c r="E1489" s="38" t="n">
        <v>20502</v>
      </c>
      <c r="F1489" s="38" t="n">
        <v>0</v>
      </c>
      <c r="G1489" s="38" t="n">
        <v>20502</v>
      </c>
      <c r="H1489" s="40" t="inlineStr">
        <is>
          <t>Borç</t>
        </is>
      </c>
      <c r="I1489" s="38" t="n">
        <v>20502</v>
      </c>
      <c r="J1489" s="38" t="n">
        <v>0</v>
      </c>
      <c r="K1489" s="38" t="n">
        <v>20502</v>
      </c>
      <c r="L1489" s="40" t="inlineStr">
        <is>
          <t>Borç</t>
        </is>
      </c>
    </row>
    <row r="1490" s="34">
      <c r="A1490" s="40" t="inlineStr">
        <is>
          <t>320.01.01.L015</t>
        </is>
      </c>
      <c r="B1490" s="40" t="inlineStr">
        <is>
          <t>Lider Mert Gıda Tarım Turizm Tic.Ltd.Şti</t>
        </is>
      </c>
      <c r="C1490" s="40" t="inlineStr">
        <is>
          <t>TRY</t>
        </is>
      </c>
      <c r="D1490" s="40" t="inlineStr">
        <is>
          <t>GİTAŞ MERKEZ</t>
        </is>
      </c>
      <c r="E1490" s="38" t="n">
        <v>790077.72</v>
      </c>
      <c r="F1490" s="38" t="n">
        <v>0</v>
      </c>
      <c r="G1490" s="38" t="n">
        <v>790077.72</v>
      </c>
      <c r="H1490" s="40" t="inlineStr">
        <is>
          <t>Borç</t>
        </is>
      </c>
      <c r="I1490" s="38" t="n">
        <v>790077.72</v>
      </c>
      <c r="J1490" s="38" t="n">
        <v>0</v>
      </c>
      <c r="K1490" s="38" t="n">
        <v>790077.72</v>
      </c>
      <c r="L1490" s="40" t="inlineStr">
        <is>
          <t>Borç</t>
        </is>
      </c>
    </row>
    <row r="1491" s="34">
      <c r="A1491" s="40" t="inlineStr">
        <is>
          <t>320.01.01.L015</t>
        </is>
      </c>
      <c r="B1491" s="40" t="inlineStr">
        <is>
          <t>Lider Mert Gıda Tarım Turizm Tic.Ltd.Şti</t>
        </is>
      </c>
      <c r="C1491" s="40" t="inlineStr">
        <is>
          <t>TRY</t>
        </is>
      </c>
      <c r="D1491" s="40" t="inlineStr">
        <is>
          <t>ROYAL ADAM EVE</t>
        </is>
      </c>
      <c r="E1491" s="38" t="n">
        <v>181668.23</v>
      </c>
      <c r="F1491" s="38" t="n">
        <v>0</v>
      </c>
      <c r="G1491" s="38" t="n">
        <v>181668.23</v>
      </c>
      <c r="H1491" s="40" t="inlineStr">
        <is>
          <t>Borç</t>
        </is>
      </c>
      <c r="I1491" s="38" t="n">
        <v>181668.23</v>
      </c>
      <c r="J1491" s="38" t="n">
        <v>0</v>
      </c>
      <c r="K1491" s="38" t="n">
        <v>181668.23</v>
      </c>
      <c r="L1491" s="40" t="inlineStr">
        <is>
          <t>Borç</t>
        </is>
      </c>
    </row>
    <row r="1492" s="34">
      <c r="A1492" s="40" t="inlineStr">
        <is>
          <t>320.01.01.L015</t>
        </is>
      </c>
      <c r="B1492" s="40" t="inlineStr">
        <is>
          <t>Lider Mert Gıda Tarım Turizm Tic.Ltd.Şti</t>
        </is>
      </c>
      <c r="C1492" s="40" t="inlineStr">
        <is>
          <t>TRY</t>
        </is>
      </c>
      <c r="D1492" s="40" t="inlineStr">
        <is>
          <t>ROYAL ALHAMBRA</t>
        </is>
      </c>
      <c r="E1492" s="38" t="n">
        <v>0</v>
      </c>
      <c r="F1492" s="38" t="n">
        <v>46092.66</v>
      </c>
      <c r="G1492" s="38" t="n">
        <v>-46092.66</v>
      </c>
      <c r="H1492" s="40" t="inlineStr">
        <is>
          <t>Alacak</t>
        </is>
      </c>
      <c r="I1492" s="38" t="n">
        <v>0</v>
      </c>
      <c r="J1492" s="38" t="n">
        <v>46092.66</v>
      </c>
      <c r="K1492" s="38" t="n">
        <v>-46092.66</v>
      </c>
      <c r="L1492" s="40" t="inlineStr">
        <is>
          <t>Alacak</t>
        </is>
      </c>
    </row>
    <row r="1493" s="34">
      <c r="A1493" s="40" t="inlineStr">
        <is>
          <t>320.01.01.L015</t>
        </is>
      </c>
      <c r="B1493" s="40" t="inlineStr">
        <is>
          <t>Lider Mert Gıda Tarım Turizm Tic.Ltd.Şti</t>
        </is>
      </c>
      <c r="C1493" s="40" t="inlineStr">
        <is>
          <t>TRY</t>
        </is>
      </c>
      <c r="D1493" s="40" t="inlineStr">
        <is>
          <t>ROYAL DRAGON</t>
        </is>
      </c>
      <c r="E1493" s="38" t="n">
        <v>0</v>
      </c>
      <c r="F1493" s="38" t="n">
        <v>21213.8</v>
      </c>
      <c r="G1493" s="38" t="n">
        <v>-21213.8</v>
      </c>
      <c r="H1493" s="40" t="inlineStr">
        <is>
          <t>Alacak</t>
        </is>
      </c>
      <c r="I1493" s="38" t="n">
        <v>0</v>
      </c>
      <c r="J1493" s="38" t="n">
        <v>21213.8</v>
      </c>
      <c r="K1493" s="38" t="n">
        <v>-21213.8</v>
      </c>
      <c r="L1493" s="40" t="inlineStr">
        <is>
          <t>Alacak</t>
        </is>
      </c>
    </row>
    <row r="1494" s="34">
      <c r="A1494" s="40" t="inlineStr">
        <is>
          <t>320.01.01.L015</t>
        </is>
      </c>
      <c r="B1494" s="40" t="inlineStr">
        <is>
          <t>Lider Mert Gıda Tarım Turizm Tic.Ltd.Şti</t>
        </is>
      </c>
      <c r="C1494" s="40" t="inlineStr">
        <is>
          <t>TRY</t>
        </is>
      </c>
      <c r="D1494" s="40" t="inlineStr">
        <is>
          <t>ROYAL HOLIDAY</t>
        </is>
      </c>
      <c r="E1494" s="38" t="n">
        <v>0</v>
      </c>
      <c r="F1494" s="38" t="n">
        <v>38870.67</v>
      </c>
      <c r="G1494" s="38" t="n">
        <v>-38870.67</v>
      </c>
      <c r="H1494" s="40" t="inlineStr">
        <is>
          <t>Alacak</t>
        </is>
      </c>
      <c r="I1494" s="38" t="n">
        <v>0</v>
      </c>
      <c r="J1494" s="38" t="n">
        <v>38870.67</v>
      </c>
      <c r="K1494" s="38" t="n">
        <v>-38870.67</v>
      </c>
      <c r="L1494" s="40" t="inlineStr">
        <is>
          <t>Alacak</t>
        </is>
      </c>
    </row>
    <row r="1495" s="34">
      <c r="A1495" s="40" t="inlineStr">
        <is>
          <t>320.01.01.L015</t>
        </is>
      </c>
      <c r="B1495" s="40" t="inlineStr">
        <is>
          <t>Lider Mert Gıda Tarım Turizm Tic.Ltd.Şti</t>
        </is>
      </c>
      <c r="C1495" s="40" t="inlineStr">
        <is>
          <t>TRY</t>
        </is>
      </c>
      <c r="D1495" s="40" t="inlineStr">
        <is>
          <t>ROYAL SEGINUS</t>
        </is>
      </c>
      <c r="E1495" s="38" t="n">
        <v>0</v>
      </c>
      <c r="F1495" s="38" t="n">
        <v>45500.12</v>
      </c>
      <c r="G1495" s="38" t="n">
        <v>-45500.12</v>
      </c>
      <c r="H1495" s="40" t="inlineStr">
        <is>
          <t>Alacak</t>
        </is>
      </c>
      <c r="I1495" s="38" t="n">
        <v>0</v>
      </c>
      <c r="J1495" s="38" t="n">
        <v>45500.12</v>
      </c>
      <c r="K1495" s="38" t="n">
        <v>-45500.12</v>
      </c>
      <c r="L1495" s="40" t="inlineStr">
        <is>
          <t>Alacak</t>
        </is>
      </c>
    </row>
    <row r="1496" s="34">
      <c r="A1496" s="40" t="inlineStr">
        <is>
          <t>320.01.01.L015</t>
        </is>
      </c>
      <c r="B1496" s="40" t="inlineStr">
        <is>
          <t>Lider Mert Gıda Tarım Turizm Tic.Ltd.Şti</t>
        </is>
      </c>
      <c r="C1496" s="40" t="inlineStr">
        <is>
          <t>TRY</t>
        </is>
      </c>
      <c r="D1496" s="40" t="inlineStr">
        <is>
          <t>SERTAŞ MERKEZ</t>
        </is>
      </c>
      <c r="E1496" s="38" t="n">
        <v>741966.9</v>
      </c>
      <c r="F1496" s="38" t="n">
        <v>0</v>
      </c>
      <c r="G1496" s="38" t="n">
        <v>741966.9</v>
      </c>
      <c r="H1496" s="40" t="inlineStr">
        <is>
          <t>Borç</t>
        </is>
      </c>
      <c r="I1496" s="38" t="n">
        <v>741966.9</v>
      </c>
      <c r="J1496" s="38" t="n">
        <v>0</v>
      </c>
      <c r="K1496" s="38" t="n">
        <v>741966.9</v>
      </c>
      <c r="L1496" s="40" t="inlineStr">
        <is>
          <t>Borç</t>
        </is>
      </c>
    </row>
    <row r="1497" s="34">
      <c r="A1497" s="40" t="inlineStr">
        <is>
          <t>320.01.01.L017</t>
        </is>
      </c>
      <c r="B1497" s="40" t="inlineStr">
        <is>
          <t>Likya PakeTLeme Ltd.Şti.</t>
        </is>
      </c>
      <c r="C1497" s="40" t="inlineStr">
        <is>
          <t>TRY</t>
        </is>
      </c>
      <c r="D1497" s="40" t="inlineStr">
        <is>
          <t>GİTAŞ MERKEZ</t>
        </is>
      </c>
      <c r="E1497" s="38" t="n">
        <v>74702.60000000001</v>
      </c>
      <c r="F1497" s="38" t="n">
        <v>0</v>
      </c>
      <c r="G1497" s="38" t="n">
        <v>74702.60000000001</v>
      </c>
      <c r="H1497" s="40" t="inlineStr">
        <is>
          <t>Borç</t>
        </is>
      </c>
      <c r="I1497" s="38" t="n">
        <v>74702.60000000001</v>
      </c>
      <c r="J1497" s="38" t="n">
        <v>0</v>
      </c>
      <c r="K1497" s="38" t="n">
        <v>74702.60000000001</v>
      </c>
      <c r="L1497" s="40" t="inlineStr">
        <is>
          <t>Borç</t>
        </is>
      </c>
    </row>
    <row r="1498" s="34">
      <c r="A1498" s="40" t="inlineStr">
        <is>
          <t>320.01.01.L017</t>
        </is>
      </c>
      <c r="B1498" s="40" t="inlineStr">
        <is>
          <t>Likya PakeTLeme Ltd.Şti.</t>
        </is>
      </c>
      <c r="C1498" s="40" t="inlineStr">
        <is>
          <t>TRY</t>
        </is>
      </c>
      <c r="D1498" s="40" t="inlineStr">
        <is>
          <t>ROYAL ALHAMBRA</t>
        </is>
      </c>
      <c r="E1498" s="38" t="n">
        <v>0</v>
      </c>
      <c r="F1498" s="38" t="n">
        <v>34042.5</v>
      </c>
      <c r="G1498" s="38" t="n">
        <v>-34042.5</v>
      </c>
      <c r="H1498" s="40" t="inlineStr">
        <is>
          <t>Alacak</t>
        </is>
      </c>
      <c r="I1498" s="38" t="n">
        <v>0</v>
      </c>
      <c r="J1498" s="38" t="n">
        <v>34042.5</v>
      </c>
      <c r="K1498" s="38" t="n">
        <v>-34042.5</v>
      </c>
      <c r="L1498" s="40" t="inlineStr">
        <is>
          <t>Alacak</t>
        </is>
      </c>
    </row>
    <row r="1499" s="34">
      <c r="A1499" s="40" t="inlineStr">
        <is>
          <t>320.01.01.L017</t>
        </is>
      </c>
      <c r="B1499" s="40" t="inlineStr">
        <is>
          <t>Likya PakeTLeme Ltd.Şti.</t>
        </is>
      </c>
      <c r="C1499" s="40" t="inlineStr">
        <is>
          <t>TRY</t>
        </is>
      </c>
      <c r="D1499" s="40" t="inlineStr">
        <is>
          <t>SERTAŞ MERKEZ</t>
        </is>
      </c>
      <c r="E1499" s="38" t="n">
        <v>74602.64</v>
      </c>
      <c r="F1499" s="38" t="n">
        <v>0</v>
      </c>
      <c r="G1499" s="38" t="n">
        <v>74602.64</v>
      </c>
      <c r="H1499" s="40" t="inlineStr">
        <is>
          <t>Borç</t>
        </is>
      </c>
      <c r="I1499" s="38" t="n">
        <v>74602.64</v>
      </c>
      <c r="J1499" s="38" t="n">
        <v>0</v>
      </c>
      <c r="K1499" s="38" t="n">
        <v>74602.64</v>
      </c>
      <c r="L1499" s="40" t="inlineStr">
        <is>
          <t>Borç</t>
        </is>
      </c>
    </row>
    <row r="1500" s="34">
      <c r="A1500" s="40" t="inlineStr">
        <is>
          <t>320.01.01.M005</t>
        </is>
      </c>
      <c r="B1500" s="40" t="inlineStr">
        <is>
          <t>Metin Özcan</t>
        </is>
      </c>
      <c r="C1500" s="40" t="inlineStr">
        <is>
          <t>TRY</t>
        </is>
      </c>
      <c r="D1500" s="40" t="inlineStr">
        <is>
          <t>ROYAL ADAM EVE</t>
        </is>
      </c>
      <c r="E1500" s="38" t="n">
        <v>0</v>
      </c>
      <c r="F1500" s="38" t="n">
        <v>3000</v>
      </c>
      <c r="G1500" s="38" t="n">
        <v>-3000</v>
      </c>
      <c r="H1500" s="40" t="inlineStr">
        <is>
          <t>Alacak</t>
        </is>
      </c>
      <c r="I1500" s="38" t="n">
        <v>0</v>
      </c>
      <c r="J1500" s="38" t="n">
        <v>3000</v>
      </c>
      <c r="K1500" s="38" t="n">
        <v>-3000</v>
      </c>
      <c r="L1500" s="40" t="inlineStr">
        <is>
          <t>Alacak</t>
        </is>
      </c>
    </row>
    <row r="1501" s="34">
      <c r="A1501" s="40" t="inlineStr">
        <is>
          <t>320.01.01.M007</t>
        </is>
      </c>
      <c r="B1501" s="40" t="inlineStr">
        <is>
          <t>Makfa Elektronik Makina İmalat Paz.Ltd.Şti.</t>
        </is>
      </c>
      <c r="C1501" s="40" t="inlineStr">
        <is>
          <t>TRY</t>
        </is>
      </c>
      <c r="D1501" s="40" t="inlineStr">
        <is>
          <t>ROYAL ADAM EVE</t>
        </is>
      </c>
      <c r="E1501" s="38" t="n">
        <v>617185.64</v>
      </c>
      <c r="F1501" s="38" t="n">
        <v>0</v>
      </c>
      <c r="G1501" s="38" t="n">
        <v>617185.64</v>
      </c>
      <c r="H1501" s="40" t="inlineStr">
        <is>
          <t>Borç</t>
        </is>
      </c>
      <c r="I1501" s="38" t="n">
        <v>617185.64</v>
      </c>
      <c r="J1501" s="38" t="n">
        <v>0</v>
      </c>
      <c r="K1501" s="38" t="n">
        <v>617185.64</v>
      </c>
      <c r="L1501" s="40" t="inlineStr">
        <is>
          <t>Borç</t>
        </is>
      </c>
    </row>
    <row r="1502" s="34">
      <c r="A1502" s="40" t="inlineStr">
        <is>
          <t>320.01.01.M018</t>
        </is>
      </c>
      <c r="B1502" s="40" t="inlineStr">
        <is>
          <t>Manavgat Gıda Ins.Kuy.Deri Teks.Tur.Tic.</t>
        </is>
      </c>
      <c r="C1502" s="40" t="inlineStr">
        <is>
          <t>TRY</t>
        </is>
      </c>
      <c r="D1502" s="40" t="inlineStr">
        <is>
          <t>GİTAŞ MERKEZ</t>
        </is>
      </c>
      <c r="E1502" s="38" t="n">
        <v>1203889.34</v>
      </c>
      <c r="F1502" s="38" t="n">
        <v>0</v>
      </c>
      <c r="G1502" s="38" t="n">
        <v>1203889.34</v>
      </c>
      <c r="H1502" s="40" t="inlineStr">
        <is>
          <t>Borç</t>
        </is>
      </c>
      <c r="I1502" s="38" t="n">
        <v>1203889.34</v>
      </c>
      <c r="J1502" s="38" t="n">
        <v>0</v>
      </c>
      <c r="K1502" s="38" t="n">
        <v>1203889.34</v>
      </c>
      <c r="L1502" s="40" t="inlineStr">
        <is>
          <t>Borç</t>
        </is>
      </c>
    </row>
    <row r="1503" s="34">
      <c r="A1503" s="40" t="inlineStr">
        <is>
          <t>320.01.01.M018</t>
        </is>
      </c>
      <c r="B1503" s="40" t="inlineStr">
        <is>
          <t>Manavgat Gıda Ins.Kuy.Deri Teks.Tur.Tic.</t>
        </is>
      </c>
      <c r="C1503" s="40" t="inlineStr">
        <is>
          <t>TRY</t>
        </is>
      </c>
      <c r="D1503" s="40" t="inlineStr">
        <is>
          <t>ROYAL ADAM EVE</t>
        </is>
      </c>
      <c r="E1503" s="38" t="n">
        <v>346087.85</v>
      </c>
      <c r="F1503" s="38" t="n">
        <v>2424001.94</v>
      </c>
      <c r="G1503" s="38" t="n">
        <v>-2077914.09</v>
      </c>
      <c r="H1503" s="40" t="inlineStr">
        <is>
          <t>Alacak</t>
        </is>
      </c>
      <c r="I1503" s="38" t="n">
        <v>346087.85</v>
      </c>
      <c r="J1503" s="38" t="n">
        <v>2424001.94</v>
      </c>
      <c r="K1503" s="38" t="n">
        <v>-2077914.09</v>
      </c>
      <c r="L1503" s="40" t="inlineStr">
        <is>
          <t>Alacak</t>
        </is>
      </c>
    </row>
    <row r="1504" s="34">
      <c r="A1504" s="40" t="inlineStr">
        <is>
          <t>320.01.01.M018</t>
        </is>
      </c>
      <c r="B1504" s="40" t="inlineStr">
        <is>
          <t>Manavgat Gıda Ins.Kuy.Deri Teks.Tur.Tic.</t>
        </is>
      </c>
      <c r="C1504" s="40" t="inlineStr">
        <is>
          <t>TRY</t>
        </is>
      </c>
      <c r="D1504" s="40" t="inlineStr">
        <is>
          <t>ROYAL ALHAMBRA</t>
        </is>
      </c>
      <c r="E1504" s="38" t="n">
        <v>0</v>
      </c>
      <c r="F1504" s="38" t="n">
        <v>1409861.89</v>
      </c>
      <c r="G1504" s="38" t="n">
        <v>-1409861.89</v>
      </c>
      <c r="H1504" s="40" t="inlineStr">
        <is>
          <t>Alacak</t>
        </is>
      </c>
      <c r="I1504" s="38" t="n">
        <v>0</v>
      </c>
      <c r="J1504" s="38" t="n">
        <v>1409861.89</v>
      </c>
      <c r="K1504" s="38" t="n">
        <v>-1409861.89</v>
      </c>
      <c r="L1504" s="40" t="inlineStr">
        <is>
          <t>Alacak</t>
        </is>
      </c>
    </row>
    <row r="1505" s="34">
      <c r="A1505" s="40" t="inlineStr">
        <is>
          <t>320.01.01.M018</t>
        </is>
      </c>
      <c r="B1505" s="40" t="inlineStr">
        <is>
          <t>Manavgat Gıda Ins.Kuy.Deri Teks.Tur.Tic.</t>
        </is>
      </c>
      <c r="C1505" s="40" t="inlineStr">
        <is>
          <t>TRY</t>
        </is>
      </c>
      <c r="D1505" s="40" t="inlineStr">
        <is>
          <t>ROYAL DRAGON</t>
        </is>
      </c>
      <c r="E1505" s="38" t="n">
        <v>0</v>
      </c>
      <c r="F1505" s="38" t="n">
        <v>519877.4</v>
      </c>
      <c r="G1505" s="38" t="n">
        <v>-519877.4</v>
      </c>
      <c r="H1505" s="40" t="inlineStr">
        <is>
          <t>Alacak</t>
        </is>
      </c>
      <c r="I1505" s="38" t="n">
        <v>0</v>
      </c>
      <c r="J1505" s="38" t="n">
        <v>519877.4</v>
      </c>
      <c r="K1505" s="38" t="n">
        <v>-519877.4</v>
      </c>
      <c r="L1505" s="40" t="inlineStr">
        <is>
          <t>Alacak</t>
        </is>
      </c>
    </row>
    <row r="1506" s="34">
      <c r="A1506" s="40" t="inlineStr">
        <is>
          <t>320.01.01.M022</t>
        </is>
      </c>
      <c r="B1506" s="40" t="inlineStr">
        <is>
          <t>Manavgat Saha İlaclama Tic.Ltd.Şti.</t>
        </is>
      </c>
      <c r="C1506" s="40" t="inlineStr">
        <is>
          <t>TRY</t>
        </is>
      </c>
      <c r="D1506" s="40" t="inlineStr">
        <is>
          <t>GİTAŞ MERKEZ</t>
        </is>
      </c>
      <c r="E1506" s="38" t="n">
        <v>90780</v>
      </c>
      <c r="F1506" s="38" t="n">
        <v>0</v>
      </c>
      <c r="G1506" s="38" t="n">
        <v>90780</v>
      </c>
      <c r="H1506" s="40" t="inlineStr">
        <is>
          <t>Borç</t>
        </is>
      </c>
      <c r="I1506" s="38" t="n">
        <v>90780</v>
      </c>
      <c r="J1506" s="38" t="n">
        <v>0</v>
      </c>
      <c r="K1506" s="38" t="n">
        <v>90780</v>
      </c>
      <c r="L1506" s="40" t="inlineStr">
        <is>
          <t>Borç</t>
        </is>
      </c>
    </row>
    <row r="1507" s="34">
      <c r="A1507" s="40" t="inlineStr">
        <is>
          <t>320.01.01.M025</t>
        </is>
      </c>
      <c r="B1507" s="40" t="inlineStr">
        <is>
          <t>Manser Beyaz Eşya İnş.EMl.Oto.Mim.Tar.Tur.San.Tic.Ltd.Şti.</t>
        </is>
      </c>
      <c r="C1507" s="40" t="inlineStr">
        <is>
          <t>TRY</t>
        </is>
      </c>
      <c r="D1507" s="40" t="inlineStr">
        <is>
          <t>GİTAŞ MERKEZ</t>
        </is>
      </c>
      <c r="E1507" s="38" t="n">
        <v>18540</v>
      </c>
      <c r="F1507" s="38" t="n">
        <v>0</v>
      </c>
      <c r="G1507" s="38" t="n">
        <v>18540</v>
      </c>
      <c r="H1507" s="40" t="inlineStr">
        <is>
          <t>Borç</t>
        </is>
      </c>
      <c r="I1507" s="38" t="n">
        <v>18540</v>
      </c>
      <c r="J1507" s="38" t="n">
        <v>0</v>
      </c>
      <c r="K1507" s="38" t="n">
        <v>18540</v>
      </c>
      <c r="L1507" s="40" t="inlineStr">
        <is>
          <t>Borç</t>
        </is>
      </c>
    </row>
    <row r="1508" s="34">
      <c r="A1508" s="40" t="inlineStr">
        <is>
          <t>320.01.01.M059</t>
        </is>
      </c>
      <c r="B1508" s="40" t="inlineStr">
        <is>
          <t>Mehmet Demir Ymm</t>
        </is>
      </c>
      <c r="C1508" s="40" t="inlineStr">
        <is>
          <t>TRY</t>
        </is>
      </c>
      <c r="D1508" s="40" t="inlineStr">
        <is>
          <t>GİTAŞ MERKEZ</t>
        </is>
      </c>
      <c r="E1508" s="38" t="n">
        <v>100000</v>
      </c>
      <c r="F1508" s="38" t="n">
        <v>100000</v>
      </c>
      <c r="G1508" s="38" t="n">
        <v>0</v>
      </c>
      <c r="I1508" s="38" t="n">
        <v>100000</v>
      </c>
      <c r="J1508" s="38" t="n">
        <v>100000</v>
      </c>
      <c r="K1508" s="38" t="n">
        <v>0</v>
      </c>
    </row>
    <row r="1509" s="34">
      <c r="A1509" s="40" t="inlineStr">
        <is>
          <t>320.01.01.M059</t>
        </is>
      </c>
      <c r="B1509" s="40" t="inlineStr">
        <is>
          <t>Mehmet Demir Ymm</t>
        </is>
      </c>
      <c r="C1509" s="40" t="inlineStr">
        <is>
          <t>TRY</t>
        </is>
      </c>
      <c r="D1509" s="40" t="inlineStr">
        <is>
          <t>ROYAL ADAM EVE</t>
        </is>
      </c>
      <c r="E1509" s="38" t="n">
        <v>81250</v>
      </c>
      <c r="F1509" s="38" t="n">
        <v>81250</v>
      </c>
      <c r="G1509" s="38" t="n">
        <v>0</v>
      </c>
      <c r="I1509" s="38" t="n">
        <v>81250</v>
      </c>
      <c r="J1509" s="38" t="n">
        <v>81250</v>
      </c>
      <c r="K1509" s="38" t="n">
        <v>0</v>
      </c>
    </row>
    <row r="1510" s="34">
      <c r="A1510" s="40" t="inlineStr">
        <is>
          <t>320.01.01.M059</t>
        </is>
      </c>
      <c r="B1510" s="40" t="inlineStr">
        <is>
          <t>Mehmet Demir Ymm</t>
        </is>
      </c>
      <c r="C1510" s="40" t="inlineStr">
        <is>
          <t>TRY</t>
        </is>
      </c>
      <c r="D1510" s="40" t="inlineStr">
        <is>
          <t>SERTAŞ MERKEZ</t>
        </is>
      </c>
      <c r="E1510" s="38" t="n">
        <v>100000</v>
      </c>
      <c r="F1510" s="38" t="n">
        <v>100000</v>
      </c>
      <c r="G1510" s="38" t="n">
        <v>0</v>
      </c>
      <c r="I1510" s="38" t="n">
        <v>100000</v>
      </c>
      <c r="J1510" s="38" t="n">
        <v>100000</v>
      </c>
      <c r="K1510" s="38" t="n">
        <v>0</v>
      </c>
    </row>
    <row r="1511" s="34">
      <c r="A1511" s="40" t="inlineStr">
        <is>
          <t>320.01.01.M061</t>
        </is>
      </c>
      <c r="B1511" s="40" t="inlineStr">
        <is>
          <t>Meltem Ozalit Kırtasiye Sanayi ve Ticaret Limited Şirketi</t>
        </is>
      </c>
      <c r="C1511" s="40" t="inlineStr">
        <is>
          <t>TRY</t>
        </is>
      </c>
      <c r="D1511" s="40" t="inlineStr">
        <is>
          <t>GİTAŞ MERKEZ</t>
        </is>
      </c>
      <c r="E1511" s="38" t="n">
        <v>140851.04</v>
      </c>
      <c r="F1511" s="38" t="n">
        <v>0</v>
      </c>
      <c r="G1511" s="38" t="n">
        <v>140851.04</v>
      </c>
      <c r="H1511" s="40" t="inlineStr">
        <is>
          <t>Borç</t>
        </is>
      </c>
      <c r="I1511" s="38" t="n">
        <v>140851.04</v>
      </c>
      <c r="J1511" s="38" t="n">
        <v>0</v>
      </c>
      <c r="K1511" s="38" t="n">
        <v>140851.04</v>
      </c>
      <c r="L1511" s="40" t="inlineStr">
        <is>
          <t>Borç</t>
        </is>
      </c>
    </row>
    <row r="1512" s="34">
      <c r="A1512" s="40" t="inlineStr">
        <is>
          <t>320.01.01.M061</t>
        </is>
      </c>
      <c r="B1512" s="40" t="inlineStr">
        <is>
          <t>Meltem Ozalit Kırtasiye Sanayi ve Ticaret Limited Şirketi</t>
        </is>
      </c>
      <c r="C1512" s="40" t="inlineStr">
        <is>
          <t>TRY</t>
        </is>
      </c>
      <c r="D1512" s="40" t="inlineStr">
        <is>
          <t>ROYAL ADAM EVE</t>
        </is>
      </c>
      <c r="E1512" s="38" t="n">
        <v>57845.12</v>
      </c>
      <c r="F1512" s="38" t="n">
        <v>0</v>
      </c>
      <c r="G1512" s="38" t="n">
        <v>57845.12</v>
      </c>
      <c r="H1512" s="40" t="inlineStr">
        <is>
          <t>Borç</t>
        </is>
      </c>
      <c r="I1512" s="38" t="n">
        <v>57845.12</v>
      </c>
      <c r="J1512" s="38" t="n">
        <v>0</v>
      </c>
      <c r="K1512" s="38" t="n">
        <v>57845.12</v>
      </c>
      <c r="L1512" s="40" t="inlineStr">
        <is>
          <t>Borç</t>
        </is>
      </c>
    </row>
    <row r="1513" s="34">
      <c r="A1513" s="40" t="inlineStr">
        <is>
          <t>320.01.01.M061</t>
        </is>
      </c>
      <c r="B1513" s="40" t="inlineStr">
        <is>
          <t>Meltem Ozalit Kırtasiye Sanayi ve Ticaret Limited Şirketi</t>
        </is>
      </c>
      <c r="C1513" s="40" t="inlineStr">
        <is>
          <t>TRY</t>
        </is>
      </c>
      <c r="D1513" s="40" t="inlineStr">
        <is>
          <t>SERTAŞ MERKEZ</t>
        </is>
      </c>
      <c r="E1513" s="38" t="n">
        <v>78474.10000000001</v>
      </c>
      <c r="F1513" s="38" t="n">
        <v>0</v>
      </c>
      <c r="G1513" s="38" t="n">
        <v>78474.10000000001</v>
      </c>
      <c r="H1513" s="40" t="inlineStr">
        <is>
          <t>Borç</t>
        </is>
      </c>
      <c r="I1513" s="38" t="n">
        <v>78474.10000000001</v>
      </c>
      <c r="J1513" s="38" t="n">
        <v>0</v>
      </c>
      <c r="K1513" s="38" t="n">
        <v>78474.10000000001</v>
      </c>
      <c r="L1513" s="40" t="inlineStr">
        <is>
          <t>Borç</t>
        </is>
      </c>
    </row>
    <row r="1514" s="34">
      <c r="A1514" s="40" t="inlineStr">
        <is>
          <t>320.01.01.M062</t>
        </is>
      </c>
      <c r="B1514" s="40" t="inlineStr">
        <is>
          <t>Mehmet Çalış</t>
        </is>
      </c>
      <c r="C1514" s="40" t="inlineStr">
        <is>
          <t>TRY</t>
        </is>
      </c>
      <c r="D1514" s="40" t="inlineStr">
        <is>
          <t>GİTAŞ MERKEZ</t>
        </is>
      </c>
      <c r="E1514" s="38" t="n">
        <v>7200</v>
      </c>
      <c r="F1514" s="38" t="n">
        <v>0</v>
      </c>
      <c r="G1514" s="38" t="n">
        <v>7200</v>
      </c>
      <c r="H1514" s="40" t="inlineStr">
        <is>
          <t>Borç</t>
        </is>
      </c>
      <c r="I1514" s="38" t="n">
        <v>7200</v>
      </c>
      <c r="J1514" s="38" t="n">
        <v>0</v>
      </c>
      <c r="K1514" s="38" t="n">
        <v>7200</v>
      </c>
      <c r="L1514" s="40" t="inlineStr">
        <is>
          <t>Borç</t>
        </is>
      </c>
    </row>
    <row r="1515" s="34">
      <c r="A1515" s="40" t="inlineStr">
        <is>
          <t>320.01.01.M063</t>
        </is>
      </c>
      <c r="B1515" s="40" t="inlineStr">
        <is>
          <t>Melco Turkey Asansör Anonim Şirketi</t>
        </is>
      </c>
      <c r="C1515" s="40" t="inlineStr">
        <is>
          <t>TRY</t>
        </is>
      </c>
      <c r="D1515" s="40" t="inlineStr">
        <is>
          <t>GİTAŞ MERKEZ</t>
        </is>
      </c>
      <c r="E1515" s="38" t="n">
        <v>258150</v>
      </c>
      <c r="F1515" s="38" t="n">
        <v>0</v>
      </c>
      <c r="G1515" s="38" t="n">
        <v>258150</v>
      </c>
      <c r="H1515" s="40" t="inlineStr">
        <is>
          <t>Borç</t>
        </is>
      </c>
      <c r="I1515" s="38" t="n">
        <v>258150</v>
      </c>
      <c r="J1515" s="38" t="n">
        <v>0</v>
      </c>
      <c r="K1515" s="38" t="n">
        <v>258150</v>
      </c>
      <c r="L1515" s="40" t="inlineStr">
        <is>
          <t>Borç</t>
        </is>
      </c>
    </row>
    <row r="1516" s="34">
      <c r="A1516" s="40" t="inlineStr">
        <is>
          <t>320.01.01.M063</t>
        </is>
      </c>
      <c r="B1516" s="40" t="inlineStr">
        <is>
          <t>Melco Turkey Asansör Anonim Şirketi</t>
        </is>
      </c>
      <c r="C1516" s="40" t="inlineStr">
        <is>
          <t>TRY</t>
        </is>
      </c>
      <c r="D1516" s="40" t="inlineStr">
        <is>
          <t>ROYAL ALHAMBRA</t>
        </is>
      </c>
      <c r="E1516" s="38" t="n">
        <v>0</v>
      </c>
      <c r="F1516" s="38" t="n">
        <v>331920</v>
      </c>
      <c r="G1516" s="38" t="n">
        <v>-331920</v>
      </c>
      <c r="H1516" s="40" t="inlineStr">
        <is>
          <t>Alacak</t>
        </is>
      </c>
      <c r="I1516" s="38" t="n">
        <v>0</v>
      </c>
      <c r="J1516" s="38" t="n">
        <v>331920</v>
      </c>
      <c r="K1516" s="38" t="n">
        <v>-331920</v>
      </c>
      <c r="L1516" s="40" t="inlineStr">
        <is>
          <t>Alacak</t>
        </is>
      </c>
    </row>
    <row r="1517" s="34">
      <c r="A1517" s="40" t="inlineStr">
        <is>
          <t>320.01.01.M063</t>
        </is>
      </c>
      <c r="B1517" s="40" t="inlineStr">
        <is>
          <t>Melco Turkey Asansör Anonim Şirketi</t>
        </is>
      </c>
      <c r="C1517" s="40" t="inlineStr">
        <is>
          <t>TRY</t>
        </is>
      </c>
      <c r="D1517" s="40" t="inlineStr">
        <is>
          <t>SERTAŞ MERKEZ</t>
        </is>
      </c>
      <c r="E1517" s="38" t="n">
        <v>460980</v>
      </c>
      <c r="F1517" s="38" t="n">
        <v>0</v>
      </c>
      <c r="G1517" s="38" t="n">
        <v>460980</v>
      </c>
      <c r="H1517" s="40" t="inlineStr">
        <is>
          <t>Borç</t>
        </is>
      </c>
      <c r="I1517" s="38" t="n">
        <v>460980</v>
      </c>
      <c r="J1517" s="38" t="n">
        <v>0</v>
      </c>
      <c r="K1517" s="38" t="n">
        <v>460980</v>
      </c>
      <c r="L1517" s="40" t="inlineStr">
        <is>
          <t>Borç</t>
        </is>
      </c>
    </row>
    <row r="1518" s="34">
      <c r="A1518" s="40" t="inlineStr">
        <is>
          <t>320.01.01.M075</t>
        </is>
      </c>
      <c r="B1518" s="40" t="inlineStr">
        <is>
          <t>Mer-Sa Soğutma Isıtma Malz.İnş.Tur. San. Ve Tic. Ltd. Şti</t>
        </is>
      </c>
      <c r="C1518" s="40" t="inlineStr">
        <is>
          <t>TRY</t>
        </is>
      </c>
      <c r="D1518" s="40" t="inlineStr">
        <is>
          <t>GİTAŞ MERKEZ</t>
        </is>
      </c>
      <c r="E1518" s="38" t="n">
        <v>14688</v>
      </c>
      <c r="F1518" s="38" t="n">
        <v>0</v>
      </c>
      <c r="G1518" s="38" t="n">
        <v>14688</v>
      </c>
      <c r="H1518" s="40" t="inlineStr">
        <is>
          <t>Borç</t>
        </is>
      </c>
      <c r="I1518" s="38" t="n">
        <v>14688</v>
      </c>
      <c r="J1518" s="38" t="n">
        <v>0</v>
      </c>
      <c r="K1518" s="38" t="n">
        <v>14688</v>
      </c>
      <c r="L1518" s="40" t="inlineStr">
        <is>
          <t>Borç</t>
        </is>
      </c>
    </row>
    <row r="1519" s="34">
      <c r="A1519" s="40" t="inlineStr">
        <is>
          <t>320.01.01.M075</t>
        </is>
      </c>
      <c r="B1519" s="40" t="inlineStr">
        <is>
          <t>Mer-Sa Soğutma Isıtma Malz.İnş.Tur. San. Ve Tic. Ltd. Şti</t>
        </is>
      </c>
      <c r="C1519" s="40" t="inlineStr">
        <is>
          <t>TRY</t>
        </is>
      </c>
      <c r="D1519" s="40" t="inlineStr">
        <is>
          <t>ROYAL ADAM EVE</t>
        </is>
      </c>
      <c r="E1519" s="38" t="n">
        <v>13522.21</v>
      </c>
      <c r="F1519" s="38" t="n">
        <v>3684</v>
      </c>
      <c r="G1519" s="38" t="n">
        <v>9838.209999999999</v>
      </c>
      <c r="H1519" s="40" t="inlineStr">
        <is>
          <t>Borç</t>
        </is>
      </c>
      <c r="I1519" s="38" t="n">
        <v>13522.21</v>
      </c>
      <c r="J1519" s="38" t="n">
        <v>3684</v>
      </c>
      <c r="K1519" s="38" t="n">
        <v>9838.209999999999</v>
      </c>
      <c r="L1519" s="40" t="inlineStr">
        <is>
          <t>Borç</t>
        </is>
      </c>
    </row>
    <row r="1520" s="34">
      <c r="A1520" s="40" t="inlineStr">
        <is>
          <t>320.01.01.M075</t>
        </is>
      </c>
      <c r="B1520" s="40" t="inlineStr">
        <is>
          <t>Mer-Sa Soğutma Isıtma Malz.İnş.Tur. San. Ve Tic. Ltd. Şti</t>
        </is>
      </c>
      <c r="C1520" s="40" t="inlineStr">
        <is>
          <t>TRY</t>
        </is>
      </c>
      <c r="D1520" s="40" t="inlineStr">
        <is>
          <t>ROYAL DRAGON</t>
        </is>
      </c>
      <c r="E1520" s="38" t="n">
        <v>0</v>
      </c>
      <c r="F1520" s="38" t="n">
        <v>3120</v>
      </c>
      <c r="G1520" s="38" t="n">
        <v>-3120</v>
      </c>
      <c r="H1520" s="40" t="inlineStr">
        <is>
          <t>Alacak</t>
        </is>
      </c>
      <c r="I1520" s="38" t="n">
        <v>0</v>
      </c>
      <c r="J1520" s="38" t="n">
        <v>3120</v>
      </c>
      <c r="K1520" s="38" t="n">
        <v>-3120</v>
      </c>
      <c r="L1520" s="40" t="inlineStr">
        <is>
          <t>Alacak</t>
        </is>
      </c>
    </row>
    <row r="1521" s="34">
      <c r="A1521" s="40" t="inlineStr">
        <is>
          <t>320.01.01.M075</t>
        </is>
      </c>
      <c r="B1521" s="40" t="inlineStr">
        <is>
          <t>Mer-Sa Soğutma Isıtma Malz.İnş.Tur. San. Ve Tic. Ltd. Şti</t>
        </is>
      </c>
      <c r="C1521" s="40" t="inlineStr">
        <is>
          <t>TRY</t>
        </is>
      </c>
      <c r="D1521" s="40" t="inlineStr">
        <is>
          <t>ROYAL HOLIDAY</t>
        </is>
      </c>
      <c r="E1521" s="38" t="n">
        <v>0</v>
      </c>
      <c r="F1521" s="38" t="n">
        <v>5424</v>
      </c>
      <c r="G1521" s="38" t="n">
        <v>-5424</v>
      </c>
      <c r="H1521" s="40" t="inlineStr">
        <is>
          <t>Alacak</t>
        </is>
      </c>
      <c r="I1521" s="38" t="n">
        <v>0</v>
      </c>
      <c r="J1521" s="38" t="n">
        <v>5424</v>
      </c>
      <c r="K1521" s="38" t="n">
        <v>-5424</v>
      </c>
      <c r="L1521" s="40" t="inlineStr">
        <is>
          <t>Alacak</t>
        </is>
      </c>
    </row>
    <row r="1522" s="34">
      <c r="A1522" s="40" t="inlineStr">
        <is>
          <t>320.01.01.M075</t>
        </is>
      </c>
      <c r="B1522" s="40" t="inlineStr">
        <is>
          <t>Mer-Sa Soğutma Isıtma Malz.İnş.Tur. San. Ve Tic. Ltd. Şti</t>
        </is>
      </c>
      <c r="C1522" s="40" t="inlineStr">
        <is>
          <t>TRY</t>
        </is>
      </c>
      <c r="D1522" s="40" t="inlineStr">
        <is>
          <t>ROYAL SEGINUS</t>
        </is>
      </c>
      <c r="E1522" s="38" t="n">
        <v>0</v>
      </c>
      <c r="F1522" s="38" t="n">
        <v>15120</v>
      </c>
      <c r="G1522" s="38" t="n">
        <v>-15120</v>
      </c>
      <c r="H1522" s="40" t="inlineStr">
        <is>
          <t>Alacak</t>
        </is>
      </c>
      <c r="I1522" s="38" t="n">
        <v>0</v>
      </c>
      <c r="J1522" s="38" t="n">
        <v>15120</v>
      </c>
      <c r="K1522" s="38" t="n">
        <v>-15120</v>
      </c>
      <c r="L1522" s="40" t="inlineStr">
        <is>
          <t>Alacak</t>
        </is>
      </c>
    </row>
    <row r="1523" s="34">
      <c r="A1523" s="40" t="inlineStr">
        <is>
          <t>320.01.01.M075</t>
        </is>
      </c>
      <c r="B1523" s="40" t="inlineStr">
        <is>
          <t>Mer-Sa Soğutma Isıtma Malz.İnş.Tur. San. Ve Tic. Ltd. Şti</t>
        </is>
      </c>
      <c r="C1523" s="40" t="inlineStr">
        <is>
          <t>TRY</t>
        </is>
      </c>
      <c r="D1523" s="40" t="inlineStr">
        <is>
          <t>SERTAŞ MERKEZ</t>
        </is>
      </c>
      <c r="E1523" s="38" t="n">
        <v>78494.39999999999</v>
      </c>
      <c r="F1523" s="38" t="n">
        <v>0</v>
      </c>
      <c r="G1523" s="38" t="n">
        <v>78494.39999999999</v>
      </c>
      <c r="H1523" s="40" t="inlineStr">
        <is>
          <t>Borç</t>
        </is>
      </c>
      <c r="I1523" s="38" t="n">
        <v>78494.39999999999</v>
      </c>
      <c r="J1523" s="38" t="n">
        <v>0</v>
      </c>
      <c r="K1523" s="38" t="n">
        <v>78494.39999999999</v>
      </c>
      <c r="L1523" s="40" t="inlineStr">
        <is>
          <t>Borç</t>
        </is>
      </c>
    </row>
    <row r="1524" s="34">
      <c r="A1524" s="40" t="inlineStr">
        <is>
          <t>320.01.01.M076</t>
        </is>
      </c>
      <c r="B1524" s="40" t="inlineStr">
        <is>
          <t>Mehmet Güngör Vinç Taş İnş. Taah. Tic. San. Ltd. Şti.</t>
        </is>
      </c>
      <c r="C1524" s="40" t="inlineStr">
        <is>
          <t>TRY</t>
        </is>
      </c>
      <c r="D1524" s="40" t="inlineStr">
        <is>
          <t>SERTAŞ MERKEZ</t>
        </is>
      </c>
      <c r="E1524" s="38" t="n">
        <v>20400</v>
      </c>
      <c r="F1524" s="38" t="n">
        <v>10200</v>
      </c>
      <c r="G1524" s="38" t="n">
        <v>10200</v>
      </c>
      <c r="H1524" s="40" t="inlineStr">
        <is>
          <t>Borç</t>
        </is>
      </c>
      <c r="I1524" s="38" t="n">
        <v>20400</v>
      </c>
      <c r="J1524" s="38" t="n">
        <v>10200</v>
      </c>
      <c r="K1524" s="38" t="n">
        <v>10200</v>
      </c>
      <c r="L1524" s="40" t="inlineStr">
        <is>
          <t>Borç</t>
        </is>
      </c>
    </row>
    <row r="1525" s="34">
      <c r="A1525" s="40" t="inlineStr">
        <is>
          <t>320.01.01.M077</t>
        </is>
      </c>
      <c r="B1525" s="40" t="inlineStr">
        <is>
          <t>Mert Paz.Tic.Ve San.Ltd.Sti.</t>
        </is>
      </c>
      <c r="C1525" s="40" t="inlineStr">
        <is>
          <t>TRY</t>
        </is>
      </c>
      <c r="D1525" s="40" t="inlineStr">
        <is>
          <t>GİTAŞ MERKEZ</t>
        </is>
      </c>
      <c r="E1525" s="38" t="n">
        <v>56622</v>
      </c>
      <c r="F1525" s="38" t="n">
        <v>0</v>
      </c>
      <c r="G1525" s="38" t="n">
        <v>56622</v>
      </c>
      <c r="H1525" s="40" t="inlineStr">
        <is>
          <t>Borç</t>
        </is>
      </c>
      <c r="I1525" s="38" t="n">
        <v>56622</v>
      </c>
      <c r="J1525" s="38" t="n">
        <v>0</v>
      </c>
      <c r="K1525" s="38" t="n">
        <v>56622</v>
      </c>
      <c r="L1525" s="40" t="inlineStr">
        <is>
          <t>Borç</t>
        </is>
      </c>
    </row>
    <row r="1526" s="34">
      <c r="A1526" s="40" t="inlineStr">
        <is>
          <t>320.01.01.M077</t>
        </is>
      </c>
      <c r="B1526" s="40" t="inlineStr">
        <is>
          <t>Mert Paz.Tic.Ve San.Ltd.Sti.</t>
        </is>
      </c>
      <c r="C1526" s="40" t="inlineStr">
        <is>
          <t>TRY</t>
        </is>
      </c>
      <c r="D1526" s="40" t="inlineStr">
        <is>
          <t>ROYAL ADAM EVE</t>
        </is>
      </c>
      <c r="E1526" s="38" t="n">
        <v>47746.5</v>
      </c>
      <c r="F1526" s="38" t="n">
        <v>142074</v>
      </c>
      <c r="G1526" s="38" t="n">
        <v>-94327.5</v>
      </c>
      <c r="H1526" s="40" t="inlineStr">
        <is>
          <t>Alacak</t>
        </is>
      </c>
      <c r="I1526" s="38" t="n">
        <v>47746.5</v>
      </c>
      <c r="J1526" s="38" t="n">
        <v>142074</v>
      </c>
      <c r="K1526" s="38" t="n">
        <v>-94327.5</v>
      </c>
      <c r="L1526" s="40" t="inlineStr">
        <is>
          <t>Alacak</t>
        </is>
      </c>
    </row>
    <row r="1527" s="34">
      <c r="A1527" s="40" t="inlineStr">
        <is>
          <t>320.01.01.M077</t>
        </is>
      </c>
      <c r="B1527" s="40" t="inlineStr">
        <is>
          <t>Mert Paz.Tic.Ve San.Ltd.Sti.</t>
        </is>
      </c>
      <c r="C1527" s="40" t="inlineStr">
        <is>
          <t>TRY</t>
        </is>
      </c>
      <c r="D1527" s="40" t="inlineStr">
        <is>
          <t>ROYAL ALHAMBRA</t>
        </is>
      </c>
      <c r="E1527" s="38" t="n">
        <v>0</v>
      </c>
      <c r="F1527" s="38" t="n">
        <v>244925</v>
      </c>
      <c r="G1527" s="38" t="n">
        <v>-244925</v>
      </c>
      <c r="H1527" s="40" t="inlineStr">
        <is>
          <t>Alacak</t>
        </is>
      </c>
      <c r="I1527" s="38" t="n">
        <v>0</v>
      </c>
      <c r="J1527" s="38" t="n">
        <v>244925</v>
      </c>
      <c r="K1527" s="38" t="n">
        <v>-244925</v>
      </c>
      <c r="L1527" s="40" t="inlineStr">
        <is>
          <t>Alacak</t>
        </is>
      </c>
    </row>
    <row r="1528" s="34">
      <c r="A1528" s="40" t="inlineStr">
        <is>
          <t>320.01.01.M077</t>
        </is>
      </c>
      <c r="B1528" s="40" t="inlineStr">
        <is>
          <t>Mert Paz.Tic.Ve San.Ltd.Sti.</t>
        </is>
      </c>
      <c r="C1528" s="40" t="inlineStr">
        <is>
          <t>TRY</t>
        </is>
      </c>
      <c r="D1528" s="40" t="inlineStr">
        <is>
          <t>ROYAL DRAGON</t>
        </is>
      </c>
      <c r="E1528" s="38" t="n">
        <v>0</v>
      </c>
      <c r="F1528" s="38" t="n">
        <v>183973</v>
      </c>
      <c r="G1528" s="38" t="n">
        <v>-183973</v>
      </c>
      <c r="H1528" s="40" t="inlineStr">
        <is>
          <t>Alacak</t>
        </is>
      </c>
      <c r="I1528" s="38" t="n">
        <v>0</v>
      </c>
      <c r="J1528" s="38" t="n">
        <v>183973</v>
      </c>
      <c r="K1528" s="38" t="n">
        <v>-183973</v>
      </c>
      <c r="L1528" s="40" t="inlineStr">
        <is>
          <t>Alacak</t>
        </is>
      </c>
    </row>
    <row r="1529" s="34">
      <c r="A1529" s="40" t="inlineStr">
        <is>
          <t>320.01.01.M077</t>
        </is>
      </c>
      <c r="B1529" s="40" t="inlineStr">
        <is>
          <t>Mert Paz.Tic.Ve San.Ltd.Sti.</t>
        </is>
      </c>
      <c r="C1529" s="40" t="inlineStr">
        <is>
          <t>TRY</t>
        </is>
      </c>
      <c r="D1529" s="40" t="inlineStr">
        <is>
          <t>ROYAL HOLIDAY</t>
        </is>
      </c>
      <c r="E1529" s="38" t="n">
        <v>0</v>
      </c>
      <c r="F1529" s="38" t="n">
        <v>98202</v>
      </c>
      <c r="G1529" s="38" t="n">
        <v>-98202</v>
      </c>
      <c r="H1529" s="40" t="inlineStr">
        <is>
          <t>Alacak</t>
        </is>
      </c>
      <c r="I1529" s="38" t="n">
        <v>0</v>
      </c>
      <c r="J1529" s="38" t="n">
        <v>98202</v>
      </c>
      <c r="K1529" s="38" t="n">
        <v>-98202</v>
      </c>
      <c r="L1529" s="40" t="inlineStr">
        <is>
          <t>Alacak</t>
        </is>
      </c>
    </row>
    <row r="1530" s="34">
      <c r="A1530" s="40" t="inlineStr">
        <is>
          <t>320.01.01.M077</t>
        </is>
      </c>
      <c r="B1530" s="40" t="inlineStr">
        <is>
          <t>Mert Paz.Tic.Ve San.Ltd.Sti.</t>
        </is>
      </c>
      <c r="C1530" s="40" t="inlineStr">
        <is>
          <t>TRY</t>
        </is>
      </c>
      <c r="D1530" s="40" t="inlineStr">
        <is>
          <t>ROYAL SEGINUS</t>
        </is>
      </c>
      <c r="E1530" s="38" t="n">
        <v>0</v>
      </c>
      <c r="F1530" s="38" t="n">
        <v>184692</v>
      </c>
      <c r="G1530" s="38" t="n">
        <v>-184692</v>
      </c>
      <c r="H1530" s="40" t="inlineStr">
        <is>
          <t>Alacak</t>
        </is>
      </c>
      <c r="I1530" s="38" t="n">
        <v>0</v>
      </c>
      <c r="J1530" s="38" t="n">
        <v>184692</v>
      </c>
      <c r="K1530" s="38" t="n">
        <v>-184692</v>
      </c>
      <c r="L1530" s="40" t="inlineStr">
        <is>
          <t>Alacak</t>
        </is>
      </c>
    </row>
    <row r="1531" s="34">
      <c r="A1531" s="40" t="inlineStr">
        <is>
          <t>320.01.01.M077</t>
        </is>
      </c>
      <c r="B1531" s="40" t="inlineStr">
        <is>
          <t>Mert Paz.Tic.Ve San.Ltd.Sti.</t>
        </is>
      </c>
      <c r="C1531" s="40" t="inlineStr">
        <is>
          <t>TRY</t>
        </is>
      </c>
      <c r="D1531" s="40" t="inlineStr">
        <is>
          <t>SERTAŞ MERKEZ</t>
        </is>
      </c>
      <c r="E1531" s="38" t="n">
        <v>36337.2</v>
      </c>
      <c r="F1531" s="38" t="n">
        <v>0</v>
      </c>
      <c r="G1531" s="38" t="n">
        <v>36337.2</v>
      </c>
      <c r="H1531" s="40" t="inlineStr">
        <is>
          <t>Borç</t>
        </is>
      </c>
      <c r="I1531" s="38" t="n">
        <v>36337.2</v>
      </c>
      <c r="J1531" s="38" t="n">
        <v>0</v>
      </c>
      <c r="K1531" s="38" t="n">
        <v>36337.2</v>
      </c>
      <c r="L1531" s="40" t="inlineStr">
        <is>
          <t>Borç</t>
        </is>
      </c>
    </row>
    <row r="1532" s="34">
      <c r="A1532" s="40" t="inlineStr">
        <is>
          <t>320.01.01.M085</t>
        </is>
      </c>
      <c r="B1532" s="40" t="inlineStr">
        <is>
          <t>Meti/M.E.T.İ. Gıda İhtiyaç Malz.Ltd.Şti.</t>
        </is>
      </c>
      <c r="C1532" s="40" t="inlineStr">
        <is>
          <t>TRY</t>
        </is>
      </c>
      <c r="D1532" s="40" t="inlineStr">
        <is>
          <t>GİTAŞ MERKEZ</t>
        </is>
      </c>
      <c r="E1532" s="38" t="n">
        <v>342645.37</v>
      </c>
      <c r="F1532" s="38" t="n">
        <v>0</v>
      </c>
      <c r="G1532" s="38" t="n">
        <v>342645.37</v>
      </c>
      <c r="H1532" s="40" t="inlineStr">
        <is>
          <t>Borç</t>
        </is>
      </c>
      <c r="I1532" s="38" t="n">
        <v>342645.37</v>
      </c>
      <c r="J1532" s="38" t="n">
        <v>0</v>
      </c>
      <c r="K1532" s="38" t="n">
        <v>342645.37</v>
      </c>
      <c r="L1532" s="40" t="inlineStr">
        <is>
          <t>Borç</t>
        </is>
      </c>
    </row>
    <row r="1533" s="34">
      <c r="A1533" s="40" t="inlineStr">
        <is>
          <t>320.01.01.M085</t>
        </is>
      </c>
      <c r="B1533" s="40" t="inlineStr">
        <is>
          <t>Meti/M.E.T.İ. Gıda İhtiyaç Malz.Ltd.Şti.</t>
        </is>
      </c>
      <c r="C1533" s="40" t="inlineStr">
        <is>
          <t>TRY</t>
        </is>
      </c>
      <c r="D1533" s="40" t="inlineStr">
        <is>
          <t>ROYAL ADAM EVE</t>
        </is>
      </c>
      <c r="E1533" s="38" t="n">
        <v>96733.7</v>
      </c>
      <c r="F1533" s="38" t="n">
        <v>55009.65</v>
      </c>
      <c r="G1533" s="38" t="n">
        <v>41724.05</v>
      </c>
      <c r="H1533" s="40" t="inlineStr">
        <is>
          <t>Borç</t>
        </is>
      </c>
      <c r="I1533" s="38" t="n">
        <v>96733.7</v>
      </c>
      <c r="J1533" s="38" t="n">
        <v>55009.65</v>
      </c>
      <c r="K1533" s="38" t="n">
        <v>41724.05</v>
      </c>
      <c r="L1533" s="40" t="inlineStr">
        <is>
          <t>Borç</t>
        </is>
      </c>
    </row>
    <row r="1534" s="34">
      <c r="A1534" s="40" t="inlineStr">
        <is>
          <t>320.01.01.M085</t>
        </is>
      </c>
      <c r="B1534" s="40" t="inlineStr">
        <is>
          <t>Meti/M.E.T.İ. Gıda İhtiyaç Malz.Ltd.Şti.</t>
        </is>
      </c>
      <c r="C1534" s="40" t="inlineStr">
        <is>
          <t>TRY</t>
        </is>
      </c>
      <c r="D1534" s="40" t="inlineStr">
        <is>
          <t>ROYAL ALHAMBRA</t>
        </is>
      </c>
      <c r="E1534" s="38" t="n">
        <v>0</v>
      </c>
      <c r="F1534" s="38" t="n">
        <v>194395.19</v>
      </c>
      <c r="G1534" s="38" t="n">
        <v>-194395.19</v>
      </c>
      <c r="H1534" s="40" t="inlineStr">
        <is>
          <t>Alacak</t>
        </is>
      </c>
      <c r="I1534" s="38" t="n">
        <v>0</v>
      </c>
      <c r="J1534" s="38" t="n">
        <v>194395.19</v>
      </c>
      <c r="K1534" s="38" t="n">
        <v>-194395.19</v>
      </c>
      <c r="L1534" s="40" t="inlineStr">
        <is>
          <t>Alacak</t>
        </is>
      </c>
    </row>
    <row r="1535" s="34">
      <c r="A1535" s="40" t="inlineStr">
        <is>
          <t>320.01.01.M085</t>
        </is>
      </c>
      <c r="B1535" s="40" t="inlineStr">
        <is>
          <t>Meti/M.E.T.İ. Gıda İhtiyaç Malz.Ltd.Şti.</t>
        </is>
      </c>
      <c r="C1535" s="40" t="inlineStr">
        <is>
          <t>TRY</t>
        </is>
      </c>
      <c r="D1535" s="40" t="inlineStr">
        <is>
          <t>ROYAL DRAGON</t>
        </is>
      </c>
      <c r="E1535" s="38" t="n">
        <v>0</v>
      </c>
      <c r="F1535" s="38" t="n">
        <v>156452.04</v>
      </c>
      <c r="G1535" s="38" t="n">
        <v>-156452.04</v>
      </c>
      <c r="H1535" s="40" t="inlineStr">
        <is>
          <t>Alacak</t>
        </is>
      </c>
      <c r="I1535" s="38" t="n">
        <v>0</v>
      </c>
      <c r="J1535" s="38" t="n">
        <v>156452.04</v>
      </c>
      <c r="K1535" s="38" t="n">
        <v>-156452.04</v>
      </c>
      <c r="L1535" s="40" t="inlineStr">
        <is>
          <t>Alacak</t>
        </is>
      </c>
    </row>
    <row r="1536" s="34">
      <c r="A1536" s="40" t="inlineStr">
        <is>
          <t>320.01.01.M085</t>
        </is>
      </c>
      <c r="B1536" s="40" t="inlineStr">
        <is>
          <t>Meti/M.E.T.İ. Gıda İhtiyaç Malz.Ltd.Şti.</t>
        </is>
      </c>
      <c r="C1536" s="40" t="inlineStr">
        <is>
          <t>TRY</t>
        </is>
      </c>
      <c r="D1536" s="40" t="inlineStr">
        <is>
          <t>ROYAL HOLIDAY</t>
        </is>
      </c>
      <c r="E1536" s="38" t="n">
        <v>0</v>
      </c>
      <c r="F1536" s="38" t="n">
        <v>238270.8</v>
      </c>
      <c r="G1536" s="38" t="n">
        <v>-238270.8</v>
      </c>
      <c r="H1536" s="40" t="inlineStr">
        <is>
          <t>Alacak</t>
        </is>
      </c>
      <c r="I1536" s="38" t="n">
        <v>0</v>
      </c>
      <c r="J1536" s="38" t="n">
        <v>238270.8</v>
      </c>
      <c r="K1536" s="38" t="n">
        <v>-238270.8</v>
      </c>
      <c r="L1536" s="40" t="inlineStr">
        <is>
          <t>Alacak</t>
        </is>
      </c>
    </row>
    <row r="1537" s="34">
      <c r="A1537" s="40" t="inlineStr">
        <is>
          <t>320.01.01.M085</t>
        </is>
      </c>
      <c r="B1537" s="40" t="inlineStr">
        <is>
          <t>Meti/M.E.T.İ. Gıda İhtiyaç Malz.Ltd.Şti.</t>
        </is>
      </c>
      <c r="C1537" s="40" t="inlineStr">
        <is>
          <t>TRY</t>
        </is>
      </c>
      <c r="D1537" s="40" t="inlineStr">
        <is>
          <t>ROYAL SEGINUS</t>
        </is>
      </c>
      <c r="E1537" s="38" t="n">
        <v>0</v>
      </c>
      <c r="F1537" s="38" t="n">
        <v>317173.7</v>
      </c>
      <c r="G1537" s="38" t="n">
        <v>-317173.7</v>
      </c>
      <c r="H1537" s="40" t="inlineStr">
        <is>
          <t>Alacak</t>
        </is>
      </c>
      <c r="I1537" s="38" t="n">
        <v>0</v>
      </c>
      <c r="J1537" s="38" t="n">
        <v>317173.7</v>
      </c>
      <c r="K1537" s="38" t="n">
        <v>-317173.7</v>
      </c>
      <c r="L1537" s="40" t="inlineStr">
        <is>
          <t>Alacak</t>
        </is>
      </c>
    </row>
    <row r="1538" s="34">
      <c r="A1538" s="40" t="inlineStr">
        <is>
          <t>320.01.01.M085</t>
        </is>
      </c>
      <c r="B1538" s="40" t="inlineStr">
        <is>
          <t>Meti/M.E.T.İ. Gıda İhtiyaç Malz.Ltd.Şti.</t>
        </is>
      </c>
      <c r="C1538" s="40" t="inlineStr">
        <is>
          <t>TRY</t>
        </is>
      </c>
      <c r="D1538" s="40" t="inlineStr">
        <is>
          <t>SERTAŞ MERKEZ</t>
        </is>
      </c>
      <c r="E1538" s="38" t="n">
        <v>390171.04</v>
      </c>
      <c r="F1538" s="38" t="n">
        <v>0</v>
      </c>
      <c r="G1538" s="38" t="n">
        <v>390171.04</v>
      </c>
      <c r="H1538" s="40" t="inlineStr">
        <is>
          <t>Borç</t>
        </is>
      </c>
      <c r="I1538" s="38" t="n">
        <v>390171.04</v>
      </c>
      <c r="J1538" s="38" t="n">
        <v>0</v>
      </c>
      <c r="K1538" s="38" t="n">
        <v>390171.04</v>
      </c>
      <c r="L1538" s="40" t="inlineStr">
        <is>
          <t>Borç</t>
        </is>
      </c>
    </row>
    <row r="1539" s="34">
      <c r="A1539" s="40" t="inlineStr">
        <is>
          <t>320.01.01.M088</t>
        </is>
      </c>
      <c r="B1539" s="40" t="inlineStr">
        <is>
          <t>MeTRo Grosmarket Alışveriş Merk. Ltd.Şti</t>
        </is>
      </c>
      <c r="C1539" s="40" t="inlineStr">
        <is>
          <t>TRY</t>
        </is>
      </c>
      <c r="D1539" s="40" t="inlineStr">
        <is>
          <t>ROYAL HOLIDAY</t>
        </is>
      </c>
      <c r="E1539" s="38" t="n">
        <v>0</v>
      </c>
      <c r="F1539" s="38" t="n">
        <v>2225.99</v>
      </c>
      <c r="G1539" s="38" t="n">
        <v>-2225.99</v>
      </c>
      <c r="H1539" s="40" t="inlineStr">
        <is>
          <t>Alacak</t>
        </is>
      </c>
      <c r="I1539" s="38" t="n">
        <v>0</v>
      </c>
      <c r="J1539" s="38" t="n">
        <v>2225.99</v>
      </c>
      <c r="K1539" s="38" t="n">
        <v>-2225.99</v>
      </c>
      <c r="L1539" s="40" t="inlineStr">
        <is>
          <t>Alacak</t>
        </is>
      </c>
    </row>
    <row r="1540" s="34">
      <c r="A1540" s="40" t="inlineStr">
        <is>
          <t>320.01.01.M088</t>
        </is>
      </c>
      <c r="B1540" s="40" t="inlineStr">
        <is>
          <t>MeTRo Grosmarket Alışveriş Merk. Ltd.Şti</t>
        </is>
      </c>
      <c r="C1540" s="40" t="inlineStr">
        <is>
          <t>TRY</t>
        </is>
      </c>
      <c r="D1540" s="40" t="inlineStr">
        <is>
          <t>ROYAL SEGINUS</t>
        </is>
      </c>
      <c r="E1540" s="38" t="n">
        <v>0</v>
      </c>
      <c r="F1540" s="38" t="n">
        <v>12827</v>
      </c>
      <c r="G1540" s="38" t="n">
        <v>-12827</v>
      </c>
      <c r="H1540" s="40" t="inlineStr">
        <is>
          <t>Alacak</t>
        </is>
      </c>
      <c r="I1540" s="38" t="n">
        <v>0</v>
      </c>
      <c r="J1540" s="38" t="n">
        <v>12827</v>
      </c>
      <c r="K1540" s="38" t="n">
        <v>-12827</v>
      </c>
      <c r="L1540" s="40" t="inlineStr">
        <is>
          <t>Alacak</t>
        </is>
      </c>
    </row>
    <row r="1541" s="34">
      <c r="A1541" s="40" t="inlineStr">
        <is>
          <t>320.01.01.M090</t>
        </is>
      </c>
      <c r="B1541" s="40" t="inlineStr">
        <is>
          <t>Meva Ambalaj Kimya Sanayi Ve Tic.Ltd.Şti</t>
        </is>
      </c>
      <c r="C1541" s="40" t="inlineStr">
        <is>
          <t>TRY</t>
        </is>
      </c>
      <c r="D1541" s="40" t="inlineStr">
        <is>
          <t>GİTAŞ MERKEZ</t>
        </is>
      </c>
      <c r="E1541" s="38" t="n">
        <v>45320.59</v>
      </c>
      <c r="F1541" s="38" t="n">
        <v>0</v>
      </c>
      <c r="G1541" s="38" t="n">
        <v>45320.59</v>
      </c>
      <c r="H1541" s="40" t="inlineStr">
        <is>
          <t>Borç</t>
        </is>
      </c>
      <c r="I1541" s="38" t="n">
        <v>45320.59</v>
      </c>
      <c r="J1541" s="38" t="n">
        <v>0</v>
      </c>
      <c r="K1541" s="38" t="n">
        <v>45320.59</v>
      </c>
      <c r="L1541" s="40" t="inlineStr">
        <is>
          <t>Borç</t>
        </is>
      </c>
    </row>
    <row r="1542" s="34">
      <c r="A1542" s="40" t="inlineStr">
        <is>
          <t>320.01.01.M090</t>
        </is>
      </c>
      <c r="B1542" s="40" t="inlineStr">
        <is>
          <t>Meva Ambalaj Kimya Sanayi Ve Tic.Ltd.Şti</t>
        </is>
      </c>
      <c r="C1542" s="40" t="inlineStr">
        <is>
          <t>TRY</t>
        </is>
      </c>
      <c r="D1542" s="40" t="inlineStr">
        <is>
          <t>ROYAL ADAM EVE</t>
        </is>
      </c>
      <c r="E1542" s="38" t="n">
        <v>95458.5</v>
      </c>
      <c r="F1542" s="38" t="n">
        <v>307.2</v>
      </c>
      <c r="G1542" s="38" t="n">
        <v>95151.3</v>
      </c>
      <c r="H1542" s="40" t="inlineStr">
        <is>
          <t>Borç</t>
        </is>
      </c>
      <c r="I1542" s="38" t="n">
        <v>95458.5</v>
      </c>
      <c r="J1542" s="38" t="n">
        <v>307.2</v>
      </c>
      <c r="K1542" s="38" t="n">
        <v>95151.3</v>
      </c>
      <c r="L1542" s="40" t="inlineStr">
        <is>
          <t>Borç</t>
        </is>
      </c>
    </row>
    <row r="1543" s="34">
      <c r="A1543" s="40" t="inlineStr">
        <is>
          <t>320.01.01.M090</t>
        </is>
      </c>
      <c r="B1543" s="40" t="inlineStr">
        <is>
          <t>Meva Ambalaj Kimya Sanayi Ve Tic.Ltd.Şti</t>
        </is>
      </c>
      <c r="C1543" s="40" t="inlineStr">
        <is>
          <t>TRY</t>
        </is>
      </c>
      <c r="D1543" s="40" t="inlineStr">
        <is>
          <t>ROYAL ALHAMBRA</t>
        </is>
      </c>
      <c r="E1543" s="38" t="n">
        <v>0</v>
      </c>
      <c r="F1543" s="38" t="n">
        <v>60018.3</v>
      </c>
      <c r="G1543" s="38" t="n">
        <v>-60018.3</v>
      </c>
      <c r="H1543" s="40" t="inlineStr">
        <is>
          <t>Alacak</t>
        </is>
      </c>
      <c r="I1543" s="38" t="n">
        <v>0</v>
      </c>
      <c r="J1543" s="38" t="n">
        <v>60018.3</v>
      </c>
      <c r="K1543" s="38" t="n">
        <v>-60018.3</v>
      </c>
      <c r="L1543" s="40" t="inlineStr">
        <is>
          <t>Alacak</t>
        </is>
      </c>
    </row>
    <row r="1544" s="34">
      <c r="A1544" s="40" t="inlineStr">
        <is>
          <t>320.01.01.M090</t>
        </is>
      </c>
      <c r="B1544" s="40" t="inlineStr">
        <is>
          <t>Meva Ambalaj Kimya Sanayi Ve Tic.Ltd.Şti</t>
        </is>
      </c>
      <c r="C1544" s="40" t="inlineStr">
        <is>
          <t>TRY</t>
        </is>
      </c>
      <c r="D1544" s="40" t="inlineStr">
        <is>
          <t>ROYAL DRAGON</t>
        </is>
      </c>
      <c r="E1544" s="38" t="n">
        <v>0</v>
      </c>
      <c r="F1544" s="38" t="n">
        <v>14988</v>
      </c>
      <c r="G1544" s="38" t="n">
        <v>-14988</v>
      </c>
      <c r="H1544" s="40" t="inlineStr">
        <is>
          <t>Alacak</t>
        </is>
      </c>
      <c r="I1544" s="38" t="n">
        <v>0</v>
      </c>
      <c r="J1544" s="38" t="n">
        <v>14988</v>
      </c>
      <c r="K1544" s="38" t="n">
        <v>-14988</v>
      </c>
      <c r="L1544" s="40" t="inlineStr">
        <is>
          <t>Alacak</t>
        </is>
      </c>
    </row>
    <row r="1545" s="34">
      <c r="A1545" s="40" t="inlineStr">
        <is>
          <t>320.01.01.M090</t>
        </is>
      </c>
      <c r="B1545" s="40" t="inlineStr">
        <is>
          <t>Meva Ambalaj Kimya Sanayi Ve Tic.Ltd.Şti</t>
        </is>
      </c>
      <c r="C1545" s="40" t="inlineStr">
        <is>
          <t>TRY</t>
        </is>
      </c>
      <c r="D1545" s="40" t="inlineStr">
        <is>
          <t>ROYAL HOLIDAY</t>
        </is>
      </c>
      <c r="E1545" s="38" t="n">
        <v>0</v>
      </c>
      <c r="F1545" s="38" t="n">
        <v>30674</v>
      </c>
      <c r="G1545" s="38" t="n">
        <v>-30674</v>
      </c>
      <c r="H1545" s="40" t="inlineStr">
        <is>
          <t>Alacak</t>
        </is>
      </c>
      <c r="I1545" s="38" t="n">
        <v>0</v>
      </c>
      <c r="J1545" s="38" t="n">
        <v>30674</v>
      </c>
      <c r="K1545" s="38" t="n">
        <v>-30674</v>
      </c>
      <c r="L1545" s="40" t="inlineStr">
        <is>
          <t>Alacak</t>
        </is>
      </c>
    </row>
    <row r="1546" s="34">
      <c r="A1546" s="40" t="inlineStr">
        <is>
          <t>320.01.01.M090</t>
        </is>
      </c>
      <c r="B1546" s="40" t="inlineStr">
        <is>
          <t>Meva Ambalaj Kimya Sanayi Ve Tic.Ltd.Şti</t>
        </is>
      </c>
      <c r="C1546" s="40" t="inlineStr">
        <is>
          <t>TRY</t>
        </is>
      </c>
      <c r="D1546" s="40" t="inlineStr">
        <is>
          <t>ROYAL SEGINUS</t>
        </is>
      </c>
      <c r="E1546" s="38" t="n">
        <v>0</v>
      </c>
      <c r="F1546" s="38" t="n">
        <v>2994</v>
      </c>
      <c r="G1546" s="38" t="n">
        <v>-2994</v>
      </c>
      <c r="H1546" s="40" t="inlineStr">
        <is>
          <t>Alacak</t>
        </is>
      </c>
      <c r="I1546" s="38" t="n">
        <v>0</v>
      </c>
      <c r="J1546" s="38" t="n">
        <v>2994</v>
      </c>
      <c r="K1546" s="38" t="n">
        <v>-2994</v>
      </c>
      <c r="L1546" s="40" t="inlineStr">
        <is>
          <t>Alacak</t>
        </is>
      </c>
    </row>
    <row r="1547" s="34">
      <c r="A1547" s="40" t="inlineStr">
        <is>
          <t>320.01.01.M090</t>
        </is>
      </c>
      <c r="B1547" s="40" t="inlineStr">
        <is>
          <t>Meva Ambalaj Kimya Sanayi Ve Tic.Ltd.Şti</t>
        </is>
      </c>
      <c r="C1547" s="40" t="inlineStr">
        <is>
          <t>TRY</t>
        </is>
      </c>
      <c r="D1547" s="40" t="inlineStr">
        <is>
          <t>SERTAŞ MERKEZ</t>
        </is>
      </c>
      <c r="E1547" s="38" t="n">
        <v>522577.36</v>
      </c>
      <c r="F1547" s="38" t="n">
        <v>0</v>
      </c>
      <c r="G1547" s="38" t="n">
        <v>522577.36</v>
      </c>
      <c r="H1547" s="40" t="inlineStr">
        <is>
          <t>Borç</t>
        </is>
      </c>
      <c r="I1547" s="38" t="n">
        <v>522577.36</v>
      </c>
      <c r="J1547" s="38" t="n">
        <v>0</v>
      </c>
      <c r="K1547" s="38" t="n">
        <v>522577.36</v>
      </c>
      <c r="L1547" s="40" t="inlineStr">
        <is>
          <t>Borç</t>
        </is>
      </c>
    </row>
    <row r="1548" s="34">
      <c r="A1548" s="40" t="inlineStr">
        <is>
          <t>320.01.01.M098</t>
        </is>
      </c>
      <c r="B1548" s="40" t="inlineStr">
        <is>
          <t>Migros Ticaret A.Ş.</t>
        </is>
      </c>
      <c r="C1548" s="40" t="inlineStr">
        <is>
          <t>TRY</t>
        </is>
      </c>
      <c r="D1548" s="40" t="inlineStr">
        <is>
          <t>GİTAŞ MERKEZ</t>
        </is>
      </c>
      <c r="E1548" s="38" t="n">
        <v>702204.5600000001</v>
      </c>
      <c r="F1548" s="38" t="n">
        <v>0</v>
      </c>
      <c r="G1548" s="38" t="n">
        <v>702204.5600000001</v>
      </c>
      <c r="H1548" s="40" t="inlineStr">
        <is>
          <t>Borç</t>
        </is>
      </c>
      <c r="I1548" s="38" t="n">
        <v>702204.5600000001</v>
      </c>
      <c r="J1548" s="38" t="n">
        <v>0</v>
      </c>
      <c r="K1548" s="38" t="n">
        <v>702204.5600000001</v>
      </c>
      <c r="L1548" s="40" t="inlineStr">
        <is>
          <t>Borç</t>
        </is>
      </c>
    </row>
    <row r="1549" s="34">
      <c r="A1549" s="40" t="inlineStr">
        <is>
          <t>320.01.01.M098</t>
        </is>
      </c>
      <c r="B1549" s="40" t="inlineStr">
        <is>
          <t>Migros Ticaret A.Ş.</t>
        </is>
      </c>
      <c r="C1549" s="40" t="inlineStr">
        <is>
          <t>TRY</t>
        </is>
      </c>
      <c r="D1549" s="40" t="inlineStr">
        <is>
          <t>ROYAL ADAM EVE</t>
        </is>
      </c>
      <c r="E1549" s="38" t="n">
        <v>638953.92</v>
      </c>
      <c r="F1549" s="38" t="n">
        <v>93400.11</v>
      </c>
      <c r="G1549" s="38" t="n">
        <v>545553.8100000001</v>
      </c>
      <c r="H1549" s="40" t="inlineStr">
        <is>
          <t>Borç</t>
        </is>
      </c>
      <c r="I1549" s="38" t="n">
        <v>638953.92</v>
      </c>
      <c r="J1549" s="38" t="n">
        <v>93400.11</v>
      </c>
      <c r="K1549" s="38" t="n">
        <v>545553.8100000001</v>
      </c>
      <c r="L1549" s="40" t="inlineStr">
        <is>
          <t>Borç</t>
        </is>
      </c>
    </row>
    <row r="1550" s="34">
      <c r="A1550" s="40" t="inlineStr">
        <is>
          <t>320.01.01.M098</t>
        </is>
      </c>
      <c r="B1550" s="40" t="inlineStr">
        <is>
          <t>Migros Ticaret A.Ş.</t>
        </is>
      </c>
      <c r="C1550" s="40" t="inlineStr">
        <is>
          <t>TRY</t>
        </is>
      </c>
      <c r="D1550" s="40" t="inlineStr">
        <is>
          <t>ROYAL ALHAMBRA</t>
        </is>
      </c>
      <c r="E1550" s="38" t="n">
        <v>427.8</v>
      </c>
      <c r="F1550" s="38" t="n">
        <v>278494.94</v>
      </c>
      <c r="G1550" s="38" t="n">
        <v>-278067.14</v>
      </c>
      <c r="H1550" s="40" t="inlineStr">
        <is>
          <t>Alacak</t>
        </is>
      </c>
      <c r="I1550" s="38" t="n">
        <v>427.8</v>
      </c>
      <c r="J1550" s="38" t="n">
        <v>278494.94</v>
      </c>
      <c r="K1550" s="38" t="n">
        <v>-278067.14</v>
      </c>
      <c r="L1550" s="40" t="inlineStr">
        <is>
          <t>Alacak</t>
        </is>
      </c>
    </row>
    <row r="1551" s="34">
      <c r="A1551" s="40" t="inlineStr">
        <is>
          <t>320.01.01.M098</t>
        </is>
      </c>
      <c r="B1551" s="40" t="inlineStr">
        <is>
          <t>Migros Ticaret A.Ş.</t>
        </is>
      </c>
      <c r="C1551" s="40" t="inlineStr">
        <is>
          <t>TRY</t>
        </is>
      </c>
      <c r="D1551" s="40" t="inlineStr">
        <is>
          <t>ROYAL DRAGON</t>
        </is>
      </c>
      <c r="E1551" s="38" t="n">
        <v>921.4</v>
      </c>
      <c r="F1551" s="38" t="n">
        <v>292281.44</v>
      </c>
      <c r="G1551" s="38" t="n">
        <v>-291360.04</v>
      </c>
      <c r="H1551" s="40" t="inlineStr">
        <is>
          <t>Alacak</t>
        </is>
      </c>
      <c r="I1551" s="38" t="n">
        <v>921.4</v>
      </c>
      <c r="J1551" s="38" t="n">
        <v>292281.44</v>
      </c>
      <c r="K1551" s="38" t="n">
        <v>-291360.04</v>
      </c>
      <c r="L1551" s="40" t="inlineStr">
        <is>
          <t>Alacak</t>
        </is>
      </c>
    </row>
    <row r="1552" s="34">
      <c r="A1552" s="40" t="inlineStr">
        <is>
          <t>320.01.01.M098</t>
        </is>
      </c>
      <c r="B1552" s="40" t="inlineStr">
        <is>
          <t>Migros Ticaret A.Ş.</t>
        </is>
      </c>
      <c r="C1552" s="40" t="inlineStr">
        <is>
          <t>TRY</t>
        </is>
      </c>
      <c r="D1552" s="40" t="inlineStr">
        <is>
          <t>ROYAL HOLIDAY</t>
        </is>
      </c>
      <c r="E1552" s="38" t="n">
        <v>0</v>
      </c>
      <c r="F1552" s="38" t="n">
        <v>537215.49</v>
      </c>
      <c r="G1552" s="38" t="n">
        <v>-537215.49</v>
      </c>
      <c r="H1552" s="40" t="inlineStr">
        <is>
          <t>Alacak</t>
        </is>
      </c>
      <c r="I1552" s="38" t="n">
        <v>0</v>
      </c>
      <c r="J1552" s="38" t="n">
        <v>537215.49</v>
      </c>
      <c r="K1552" s="38" t="n">
        <v>-537215.49</v>
      </c>
      <c r="L1552" s="40" t="inlineStr">
        <is>
          <t>Alacak</t>
        </is>
      </c>
    </row>
    <row r="1553" s="34">
      <c r="A1553" s="40" t="inlineStr">
        <is>
          <t>320.01.01.M098</t>
        </is>
      </c>
      <c r="B1553" s="40" t="inlineStr">
        <is>
          <t>Migros Ticaret A.Ş.</t>
        </is>
      </c>
      <c r="C1553" s="40" t="inlineStr">
        <is>
          <t>TRY</t>
        </is>
      </c>
      <c r="D1553" s="40" t="inlineStr">
        <is>
          <t>ROYAL SEGINUS</t>
        </is>
      </c>
      <c r="E1553" s="38" t="n">
        <v>449.75</v>
      </c>
      <c r="F1553" s="38" t="n">
        <v>261839.67</v>
      </c>
      <c r="G1553" s="38" t="n">
        <v>-261389.92</v>
      </c>
      <c r="H1553" s="40" t="inlineStr">
        <is>
          <t>Alacak</t>
        </is>
      </c>
      <c r="I1553" s="38" t="n">
        <v>449.75</v>
      </c>
      <c r="J1553" s="38" t="n">
        <v>261839.67</v>
      </c>
      <c r="K1553" s="38" t="n">
        <v>-261389.92</v>
      </c>
      <c r="L1553" s="40" t="inlineStr">
        <is>
          <t>Alacak</t>
        </is>
      </c>
    </row>
    <row r="1554" s="34">
      <c r="A1554" s="40" t="inlineStr">
        <is>
          <t>320.01.01.M098</t>
        </is>
      </c>
      <c r="B1554" s="40" t="inlineStr">
        <is>
          <t>Migros Ticaret A.Ş.</t>
        </is>
      </c>
      <c r="C1554" s="40" t="inlineStr">
        <is>
          <t>TRY</t>
        </is>
      </c>
      <c r="D1554" s="40" t="inlineStr">
        <is>
          <t>SERTAŞ MERKEZ</t>
        </is>
      </c>
      <c r="E1554" s="38" t="n">
        <v>1290018.85</v>
      </c>
      <c r="F1554" s="38" t="n">
        <v>0</v>
      </c>
      <c r="G1554" s="38" t="n">
        <v>1290018.85</v>
      </c>
      <c r="H1554" s="40" t="inlineStr">
        <is>
          <t>Borç</t>
        </is>
      </c>
      <c r="I1554" s="38" t="n">
        <v>1290018.85</v>
      </c>
      <c r="J1554" s="38" t="n">
        <v>0</v>
      </c>
      <c r="K1554" s="38" t="n">
        <v>1290018.85</v>
      </c>
      <c r="L1554" s="40" t="inlineStr">
        <is>
          <t>Borç</t>
        </is>
      </c>
    </row>
    <row r="1555" s="34">
      <c r="A1555" s="40" t="inlineStr">
        <is>
          <t>320.01.01.M102</t>
        </is>
      </c>
      <c r="B1555" s="40" t="inlineStr">
        <is>
          <t>Mina Tarım A.Ş.</t>
        </is>
      </c>
      <c r="C1555" s="40" t="inlineStr">
        <is>
          <t>TRY</t>
        </is>
      </c>
      <c r="D1555" s="40" t="inlineStr">
        <is>
          <t>GİTAŞ MERKEZ</t>
        </is>
      </c>
      <c r="E1555" s="38" t="n">
        <v>1465423.76</v>
      </c>
      <c r="F1555" s="38" t="n">
        <v>0</v>
      </c>
      <c r="G1555" s="38" t="n">
        <v>1465423.76</v>
      </c>
      <c r="H1555" s="40" t="inlineStr">
        <is>
          <t>Borç</t>
        </is>
      </c>
      <c r="I1555" s="38" t="n">
        <v>1465423.76</v>
      </c>
      <c r="J1555" s="38" t="n">
        <v>0</v>
      </c>
      <c r="K1555" s="38" t="n">
        <v>1465423.76</v>
      </c>
      <c r="L1555" s="40" t="inlineStr">
        <is>
          <t>Borç</t>
        </is>
      </c>
    </row>
    <row r="1556" s="34">
      <c r="A1556" s="40" t="inlineStr">
        <is>
          <t>320.01.01.M102</t>
        </is>
      </c>
      <c r="B1556" s="40" t="inlineStr">
        <is>
          <t>Mina Tarım A.Ş.</t>
        </is>
      </c>
      <c r="C1556" s="40" t="inlineStr">
        <is>
          <t>TRY</t>
        </is>
      </c>
      <c r="D1556" s="40" t="inlineStr">
        <is>
          <t>ROYAL ADAM EVE</t>
        </is>
      </c>
      <c r="E1556" s="38" t="n">
        <v>727648.75</v>
      </c>
      <c r="F1556" s="38" t="n">
        <v>1016298.78</v>
      </c>
      <c r="G1556" s="38" t="n">
        <v>-288650.03</v>
      </c>
      <c r="H1556" s="40" t="inlineStr">
        <is>
          <t>Alacak</t>
        </is>
      </c>
      <c r="I1556" s="38" t="n">
        <v>727648.75</v>
      </c>
      <c r="J1556" s="38" t="n">
        <v>1016298.78</v>
      </c>
      <c r="K1556" s="38" t="n">
        <v>-288650.03</v>
      </c>
      <c r="L1556" s="40" t="inlineStr">
        <is>
          <t>Alacak</t>
        </is>
      </c>
    </row>
    <row r="1557" s="34">
      <c r="A1557" s="40" t="inlineStr">
        <is>
          <t>320.01.01.M102</t>
        </is>
      </c>
      <c r="B1557" s="40" t="inlineStr">
        <is>
          <t>Mina Tarım A.Ş.</t>
        </is>
      </c>
      <c r="C1557" s="40" t="inlineStr">
        <is>
          <t>TRY</t>
        </is>
      </c>
      <c r="D1557" s="40" t="inlineStr">
        <is>
          <t>ROYAL ALHAMBRA</t>
        </is>
      </c>
      <c r="E1557" s="38" t="n">
        <v>0</v>
      </c>
      <c r="F1557" s="38" t="n">
        <v>796097.46</v>
      </c>
      <c r="G1557" s="38" t="n">
        <v>-796097.46</v>
      </c>
      <c r="H1557" s="40" t="inlineStr">
        <is>
          <t>Alacak</t>
        </is>
      </c>
      <c r="I1557" s="38" t="n">
        <v>0</v>
      </c>
      <c r="J1557" s="38" t="n">
        <v>796097.46</v>
      </c>
      <c r="K1557" s="38" t="n">
        <v>-796097.46</v>
      </c>
      <c r="L1557" s="40" t="inlineStr">
        <is>
          <t>Alacak</t>
        </is>
      </c>
    </row>
    <row r="1558" s="34">
      <c r="A1558" s="40" t="inlineStr">
        <is>
          <t>320.01.01.M102</t>
        </is>
      </c>
      <c r="B1558" s="40" t="inlineStr">
        <is>
          <t>Mina Tarım A.Ş.</t>
        </is>
      </c>
      <c r="C1558" s="40" t="inlineStr">
        <is>
          <t>TRY</t>
        </is>
      </c>
      <c r="D1558" s="40" t="inlineStr">
        <is>
          <t>ROYAL DRAGON</t>
        </is>
      </c>
      <c r="E1558" s="38" t="n">
        <v>0</v>
      </c>
      <c r="F1558" s="38" t="n">
        <v>683546.79</v>
      </c>
      <c r="G1558" s="38" t="n">
        <v>-683546.79</v>
      </c>
      <c r="H1558" s="40" t="inlineStr">
        <is>
          <t>Alacak</t>
        </is>
      </c>
      <c r="I1558" s="38" t="n">
        <v>0</v>
      </c>
      <c r="J1558" s="38" t="n">
        <v>683546.79</v>
      </c>
      <c r="K1558" s="38" t="n">
        <v>-683546.79</v>
      </c>
      <c r="L1558" s="40" t="inlineStr">
        <is>
          <t>Alacak</t>
        </is>
      </c>
    </row>
    <row r="1559" s="34">
      <c r="A1559" s="40" t="inlineStr">
        <is>
          <t>320.01.01.M102</t>
        </is>
      </c>
      <c r="B1559" s="40" t="inlineStr">
        <is>
          <t>Mina Tarım A.Ş.</t>
        </is>
      </c>
      <c r="C1559" s="40" t="inlineStr">
        <is>
          <t>TRY</t>
        </is>
      </c>
      <c r="D1559" s="40" t="inlineStr">
        <is>
          <t>ROYAL HOLIDAY</t>
        </is>
      </c>
      <c r="E1559" s="38" t="n">
        <v>0</v>
      </c>
      <c r="F1559" s="38" t="n">
        <v>1461640.91</v>
      </c>
      <c r="G1559" s="38" t="n">
        <v>-1461640.91</v>
      </c>
      <c r="H1559" s="40" t="inlineStr">
        <is>
          <t>Alacak</t>
        </is>
      </c>
      <c r="I1559" s="38" t="n">
        <v>0</v>
      </c>
      <c r="J1559" s="38" t="n">
        <v>1461640.91</v>
      </c>
      <c r="K1559" s="38" t="n">
        <v>-1461640.91</v>
      </c>
      <c r="L1559" s="40" t="inlineStr">
        <is>
          <t>Alacak</t>
        </is>
      </c>
    </row>
    <row r="1560" s="34">
      <c r="A1560" s="40" t="inlineStr">
        <is>
          <t>320.01.01.M102</t>
        </is>
      </c>
      <c r="B1560" s="40" t="inlineStr">
        <is>
          <t>Mina Tarım A.Ş.</t>
        </is>
      </c>
      <c r="C1560" s="40" t="inlineStr">
        <is>
          <t>TRY</t>
        </is>
      </c>
      <c r="D1560" s="40" t="inlineStr">
        <is>
          <t>ROYAL SEGINUS</t>
        </is>
      </c>
      <c r="E1560" s="38" t="n">
        <v>0</v>
      </c>
      <c r="F1560" s="38" t="n">
        <v>1190662.13</v>
      </c>
      <c r="G1560" s="38" t="n">
        <v>-1190662.13</v>
      </c>
      <c r="H1560" s="40" t="inlineStr">
        <is>
          <t>Alacak</t>
        </is>
      </c>
      <c r="I1560" s="38" t="n">
        <v>0</v>
      </c>
      <c r="J1560" s="38" t="n">
        <v>1190662.13</v>
      </c>
      <c r="K1560" s="38" t="n">
        <v>-1190662.13</v>
      </c>
      <c r="L1560" s="40" t="inlineStr">
        <is>
          <t>Alacak</t>
        </is>
      </c>
    </row>
    <row r="1561" s="34">
      <c r="A1561" s="40" t="inlineStr">
        <is>
          <t>320.01.01.M102</t>
        </is>
      </c>
      <c r="B1561" s="40" t="inlineStr">
        <is>
          <t>Mina Tarım A.Ş.</t>
        </is>
      </c>
      <c r="C1561" s="40" t="inlineStr">
        <is>
          <t>TRY</t>
        </is>
      </c>
      <c r="D1561" s="40" t="inlineStr">
        <is>
          <t>SERTAŞ MERKEZ</t>
        </is>
      </c>
      <c r="E1561" s="38" t="n">
        <v>3629279.71</v>
      </c>
      <c r="F1561" s="38" t="n">
        <v>0</v>
      </c>
      <c r="G1561" s="38" t="n">
        <v>3629279.71</v>
      </c>
      <c r="H1561" s="40" t="inlineStr">
        <is>
          <t>Borç</t>
        </is>
      </c>
      <c r="I1561" s="38" t="n">
        <v>3629279.71</v>
      </c>
      <c r="J1561" s="38" t="n">
        <v>0</v>
      </c>
      <c r="K1561" s="38" t="n">
        <v>3629279.71</v>
      </c>
      <c r="L1561" s="40" t="inlineStr">
        <is>
          <t>Borç</t>
        </is>
      </c>
    </row>
    <row r="1562" s="34">
      <c r="A1562" s="40" t="inlineStr">
        <is>
          <t>320.01.01.M106</t>
        </is>
      </c>
      <c r="B1562" s="40" t="inlineStr">
        <is>
          <t>Minta Elektrik Enerji Tarım San. ve Tic. Ltd. Şti</t>
        </is>
      </c>
      <c r="C1562" s="40" t="inlineStr">
        <is>
          <t>TRY</t>
        </is>
      </c>
      <c r="D1562" s="40" t="inlineStr">
        <is>
          <t>ROYAL ADAM EVE</t>
        </is>
      </c>
      <c r="E1562" s="38" t="n">
        <v>0</v>
      </c>
      <c r="F1562" s="38" t="n">
        <v>10535.76</v>
      </c>
      <c r="G1562" s="38" t="n">
        <v>-10535.76</v>
      </c>
      <c r="H1562" s="40" t="inlineStr">
        <is>
          <t>Alacak</t>
        </is>
      </c>
      <c r="I1562" s="38" t="n">
        <v>0</v>
      </c>
      <c r="J1562" s="38" t="n">
        <v>10535.76</v>
      </c>
      <c r="K1562" s="38" t="n">
        <v>-10535.76</v>
      </c>
      <c r="L1562" s="40" t="inlineStr">
        <is>
          <t>Alacak</t>
        </is>
      </c>
    </row>
    <row r="1563" s="34">
      <c r="A1563" s="40" t="inlineStr">
        <is>
          <t>320.01.01.M113</t>
        </is>
      </c>
      <c r="B1563" s="40" t="inlineStr">
        <is>
          <t>MNG Kargo Yurtiçi ve Yurtdışı Taşımacılık A.Ş</t>
        </is>
      </c>
      <c r="C1563" s="40" t="inlineStr">
        <is>
          <t>TRY</t>
        </is>
      </c>
      <c r="D1563" s="40" t="inlineStr">
        <is>
          <t>ROYAL ADAM EVE</t>
        </is>
      </c>
      <c r="E1563" s="38" t="n">
        <v>509.65</v>
      </c>
      <c r="F1563" s="38" t="n">
        <v>0</v>
      </c>
      <c r="G1563" s="38" t="n">
        <v>509.65</v>
      </c>
      <c r="H1563" s="40" t="inlineStr">
        <is>
          <t>Borç</t>
        </is>
      </c>
      <c r="I1563" s="38" t="n">
        <v>509.65</v>
      </c>
      <c r="J1563" s="38" t="n">
        <v>0</v>
      </c>
      <c r="K1563" s="38" t="n">
        <v>509.65</v>
      </c>
      <c r="L1563" s="40" t="inlineStr">
        <is>
          <t>Borç</t>
        </is>
      </c>
    </row>
    <row r="1564" s="34">
      <c r="A1564" s="40" t="inlineStr">
        <is>
          <t>320.01.01.M113</t>
        </is>
      </c>
      <c r="B1564" s="40" t="inlineStr">
        <is>
          <t>MNG Kargo Yurtiçi ve Yurtdışı Taşımacılık A.Ş</t>
        </is>
      </c>
      <c r="C1564" s="40" t="inlineStr">
        <is>
          <t>TRY</t>
        </is>
      </c>
      <c r="D1564" s="40" t="inlineStr">
        <is>
          <t>ROYAL SEGINUS</t>
        </is>
      </c>
      <c r="E1564" s="38" t="n">
        <v>0</v>
      </c>
      <c r="F1564" s="38" t="n">
        <v>37310.6</v>
      </c>
      <c r="G1564" s="38" t="n">
        <v>-37310.6</v>
      </c>
      <c r="H1564" s="40" t="inlineStr">
        <is>
          <t>Alacak</t>
        </is>
      </c>
      <c r="I1564" s="38" t="n">
        <v>0</v>
      </c>
      <c r="J1564" s="38" t="n">
        <v>37310.6</v>
      </c>
      <c r="K1564" s="38" t="n">
        <v>-37310.6</v>
      </c>
      <c r="L1564" s="40" t="inlineStr">
        <is>
          <t>Alacak</t>
        </is>
      </c>
    </row>
    <row r="1565" s="34">
      <c r="A1565" s="40" t="inlineStr">
        <is>
          <t>320.01.01.M113</t>
        </is>
      </c>
      <c r="B1565" s="40" t="inlineStr">
        <is>
          <t>MNG Kargo Yurtiçi ve Yurtdışı Taşımacılık A.Ş</t>
        </is>
      </c>
      <c r="C1565" s="40" t="inlineStr">
        <is>
          <t>TRY</t>
        </is>
      </c>
      <c r="D1565" s="40" t="inlineStr">
        <is>
          <t>SERTAŞ MERKEZ</t>
        </is>
      </c>
      <c r="E1565" s="38" t="n">
        <v>56835.4</v>
      </c>
      <c r="F1565" s="38" t="n">
        <v>0</v>
      </c>
      <c r="G1565" s="38" t="n">
        <v>56835.4</v>
      </c>
      <c r="H1565" s="40" t="inlineStr">
        <is>
          <t>Borç</t>
        </is>
      </c>
      <c r="I1565" s="38" t="n">
        <v>56835.4</v>
      </c>
      <c r="J1565" s="38" t="n">
        <v>0</v>
      </c>
      <c r="K1565" s="38" t="n">
        <v>56835.4</v>
      </c>
      <c r="L1565" s="40" t="inlineStr">
        <is>
          <t>Borç</t>
        </is>
      </c>
    </row>
    <row r="1566" s="34">
      <c r="A1566" s="40" t="inlineStr">
        <is>
          <t>320.01.01.M116</t>
        </is>
      </c>
      <c r="B1566" s="40" t="inlineStr">
        <is>
          <t>Monotech Endüs.Ekip.Tic.A.Ş.</t>
        </is>
      </c>
      <c r="C1566" s="40" t="inlineStr">
        <is>
          <t>TRY</t>
        </is>
      </c>
      <c r="D1566" s="40" t="inlineStr">
        <is>
          <t>SERTAŞ MERKEZ</t>
        </is>
      </c>
      <c r="E1566" s="38" t="n">
        <v>42700.92</v>
      </c>
      <c r="F1566" s="38" t="n">
        <v>772.51</v>
      </c>
      <c r="G1566" s="38" t="n">
        <v>41928.41</v>
      </c>
      <c r="H1566" s="40" t="inlineStr">
        <is>
          <t>Borç</t>
        </is>
      </c>
      <c r="I1566" s="38" t="n">
        <v>806.76</v>
      </c>
      <c r="J1566" s="38" t="n">
        <v>0</v>
      </c>
      <c r="K1566" s="38" t="n">
        <v>806.76</v>
      </c>
      <c r="L1566" s="40" t="inlineStr">
        <is>
          <t>Borç</t>
        </is>
      </c>
    </row>
    <row r="1567" s="34">
      <c r="A1567" s="40" t="inlineStr">
        <is>
          <t>320.01.01.M117</t>
        </is>
      </c>
      <c r="B1567" s="40" t="inlineStr">
        <is>
          <t>Mordus İnş.San.ve Tic.Ltd.Şti</t>
        </is>
      </c>
      <c r="C1567" s="40" t="inlineStr">
        <is>
          <t>TRY</t>
        </is>
      </c>
      <c r="D1567" s="40" t="inlineStr">
        <is>
          <t>GİTAŞ MERKEZ</t>
        </is>
      </c>
      <c r="E1567" s="38" t="n">
        <v>71300.2</v>
      </c>
      <c r="F1567" s="38" t="n">
        <v>0</v>
      </c>
      <c r="G1567" s="38" t="n">
        <v>71300.2</v>
      </c>
      <c r="H1567" s="40" t="inlineStr">
        <is>
          <t>Borç</t>
        </is>
      </c>
      <c r="I1567" s="38" t="n">
        <v>71300.2</v>
      </c>
      <c r="J1567" s="38" t="n">
        <v>0</v>
      </c>
      <c r="K1567" s="38" t="n">
        <v>71300.2</v>
      </c>
      <c r="L1567" s="40" t="inlineStr">
        <is>
          <t>Borç</t>
        </is>
      </c>
    </row>
    <row r="1568" s="34">
      <c r="A1568" s="40" t="inlineStr">
        <is>
          <t>320.01.01.M117</t>
        </is>
      </c>
      <c r="B1568" s="40" t="inlineStr">
        <is>
          <t>Mordus İnş.San.ve Tic.Ltd.Şti</t>
        </is>
      </c>
      <c r="C1568" s="40" t="inlineStr">
        <is>
          <t>TRY</t>
        </is>
      </c>
      <c r="D1568" s="40" t="inlineStr">
        <is>
          <t>ROYAL ADAM EVE</t>
        </is>
      </c>
      <c r="E1568" s="38" t="n">
        <v>104834.4</v>
      </c>
      <c r="F1568" s="38" t="n">
        <v>11040</v>
      </c>
      <c r="G1568" s="38" t="n">
        <v>93794.39999999999</v>
      </c>
      <c r="H1568" s="40" t="inlineStr">
        <is>
          <t>Borç</t>
        </is>
      </c>
      <c r="I1568" s="38" t="n">
        <v>104834.4</v>
      </c>
      <c r="J1568" s="38" t="n">
        <v>11040</v>
      </c>
      <c r="K1568" s="38" t="n">
        <v>93794.39999999999</v>
      </c>
      <c r="L1568" s="40" t="inlineStr">
        <is>
          <t>Borç</t>
        </is>
      </c>
    </row>
    <row r="1569" s="34">
      <c r="A1569" s="40" t="inlineStr">
        <is>
          <t>320.01.01.M117</t>
        </is>
      </c>
      <c r="B1569" s="40" t="inlineStr">
        <is>
          <t>Mordus İnş.San.ve Tic.Ltd.Şti</t>
        </is>
      </c>
      <c r="C1569" s="40" t="inlineStr">
        <is>
          <t>TRY</t>
        </is>
      </c>
      <c r="D1569" s="40" t="inlineStr">
        <is>
          <t>ROYAL ALHAMBRA</t>
        </is>
      </c>
      <c r="E1569" s="38" t="n">
        <v>0</v>
      </c>
      <c r="F1569" s="38" t="n">
        <v>50406</v>
      </c>
      <c r="G1569" s="38" t="n">
        <v>-50406</v>
      </c>
      <c r="H1569" s="40" t="inlineStr">
        <is>
          <t>Alacak</t>
        </is>
      </c>
      <c r="I1569" s="38" t="n">
        <v>0</v>
      </c>
      <c r="J1569" s="38" t="n">
        <v>50406</v>
      </c>
      <c r="K1569" s="38" t="n">
        <v>-50406</v>
      </c>
      <c r="L1569" s="40" t="inlineStr">
        <is>
          <t>Alacak</t>
        </is>
      </c>
    </row>
    <row r="1570" s="34">
      <c r="A1570" s="40" t="inlineStr">
        <is>
          <t>320.01.01.M117</t>
        </is>
      </c>
      <c r="B1570" s="40" t="inlineStr">
        <is>
          <t>Mordus İnş.San.ve Tic.Ltd.Şti</t>
        </is>
      </c>
      <c r="C1570" s="40" t="inlineStr">
        <is>
          <t>TRY</t>
        </is>
      </c>
      <c r="D1570" s="40" t="inlineStr">
        <is>
          <t>ROYAL SEGINUS</t>
        </is>
      </c>
      <c r="E1570" s="38" t="n">
        <v>0</v>
      </c>
      <c r="F1570" s="38" t="n">
        <v>15344.04</v>
      </c>
      <c r="G1570" s="38" t="n">
        <v>-15344.04</v>
      </c>
      <c r="H1570" s="40" t="inlineStr">
        <is>
          <t>Alacak</t>
        </is>
      </c>
      <c r="I1570" s="38" t="n">
        <v>0</v>
      </c>
      <c r="J1570" s="38" t="n">
        <v>15344.04</v>
      </c>
      <c r="K1570" s="38" t="n">
        <v>-15344.04</v>
      </c>
      <c r="L1570" s="40" t="inlineStr">
        <is>
          <t>Alacak</t>
        </is>
      </c>
    </row>
    <row r="1571" s="34">
      <c r="A1571" s="40" t="inlineStr">
        <is>
          <t>320.01.01.M117</t>
        </is>
      </c>
      <c r="B1571" s="40" t="inlineStr">
        <is>
          <t>Mordus İnş.San.ve Tic.Ltd.Şti</t>
        </is>
      </c>
      <c r="C1571" s="40" t="inlineStr">
        <is>
          <t>TRY</t>
        </is>
      </c>
      <c r="D1571" s="40" t="inlineStr">
        <is>
          <t>SERTAŞ MERKEZ</t>
        </is>
      </c>
      <c r="E1571" s="38" t="n">
        <v>47392.16</v>
      </c>
      <c r="F1571" s="38" t="n">
        <v>0</v>
      </c>
      <c r="G1571" s="38" t="n">
        <v>47392.16</v>
      </c>
      <c r="H1571" s="40" t="inlineStr">
        <is>
          <t>Borç</t>
        </is>
      </c>
      <c r="I1571" s="38" t="n">
        <v>47392.16</v>
      </c>
      <c r="J1571" s="38" t="n">
        <v>0</v>
      </c>
      <c r="K1571" s="38" t="n">
        <v>47392.16</v>
      </c>
      <c r="L1571" s="40" t="inlineStr">
        <is>
          <t>Borç</t>
        </is>
      </c>
    </row>
    <row r="1572" s="34">
      <c r="A1572" s="40" t="inlineStr">
        <is>
          <t>320.01.01.M148</t>
        </is>
      </c>
      <c r="B1572" s="40" t="inlineStr">
        <is>
          <t>Mustafa Bahadır Mühendislik Isıt.Soğ.Mek.Tes.Taah.İhr.ve İth. Tic.Ltd.Şti.</t>
        </is>
      </c>
      <c r="C1572" s="40" t="inlineStr">
        <is>
          <t>TRY</t>
        </is>
      </c>
      <c r="D1572" s="40" t="inlineStr">
        <is>
          <t>ROYAL ADAM EVE</t>
        </is>
      </c>
      <c r="E1572" s="38" t="n">
        <v>242985.25</v>
      </c>
      <c r="F1572" s="38" t="n">
        <v>82926.47</v>
      </c>
      <c r="G1572" s="38" t="n">
        <v>160058.78</v>
      </c>
      <c r="H1572" s="40" t="inlineStr">
        <is>
          <t>Borç</t>
        </is>
      </c>
      <c r="I1572" s="38" t="n">
        <v>242985.25</v>
      </c>
      <c r="J1572" s="38" t="n">
        <v>82926.47</v>
      </c>
      <c r="K1572" s="38" t="n">
        <v>160058.78</v>
      </c>
      <c r="L1572" s="40" t="inlineStr">
        <is>
          <t>Borç</t>
        </is>
      </c>
    </row>
    <row r="1573" s="34">
      <c r="A1573" s="40" t="inlineStr">
        <is>
          <t>320.01.01.M150</t>
        </is>
      </c>
      <c r="B1573" s="40" t="inlineStr">
        <is>
          <t>Mustafa Tas Boya Yapı Malz. Ltd.Şti.</t>
        </is>
      </c>
      <c r="C1573" s="40" t="inlineStr">
        <is>
          <t>TRY</t>
        </is>
      </c>
      <c r="D1573" s="40" t="inlineStr">
        <is>
          <t>GİTAŞ MERKEZ</t>
        </is>
      </c>
      <c r="E1573" s="38" t="n">
        <v>83512.39999999999</v>
      </c>
      <c r="F1573" s="38" t="n">
        <v>0</v>
      </c>
      <c r="G1573" s="38" t="n">
        <v>83512.39999999999</v>
      </c>
      <c r="H1573" s="40" t="inlineStr">
        <is>
          <t>Borç</t>
        </is>
      </c>
      <c r="I1573" s="38" t="n">
        <v>83512.39999999999</v>
      </c>
      <c r="J1573" s="38" t="n">
        <v>0</v>
      </c>
      <c r="K1573" s="38" t="n">
        <v>83512.39999999999</v>
      </c>
      <c r="L1573" s="40" t="inlineStr">
        <is>
          <t>Borç</t>
        </is>
      </c>
    </row>
    <row r="1574" s="34">
      <c r="A1574" s="40" t="inlineStr">
        <is>
          <t>320.01.01.M150</t>
        </is>
      </c>
      <c r="B1574" s="40" t="inlineStr">
        <is>
          <t>Mustafa Tas Boya Yapı Malz. Ltd.Şti.</t>
        </is>
      </c>
      <c r="C1574" s="40" t="inlineStr">
        <is>
          <t>TRY</t>
        </is>
      </c>
      <c r="D1574" s="40" t="inlineStr">
        <is>
          <t>ROYAL ADAM EVE</t>
        </is>
      </c>
      <c r="E1574" s="38" t="n">
        <v>283964.84</v>
      </c>
      <c r="F1574" s="38" t="n">
        <v>0</v>
      </c>
      <c r="G1574" s="38" t="n">
        <v>283964.84</v>
      </c>
      <c r="H1574" s="40" t="inlineStr">
        <is>
          <t>Borç</t>
        </is>
      </c>
      <c r="I1574" s="38" t="n">
        <v>283964.84</v>
      </c>
      <c r="J1574" s="38" t="n">
        <v>0</v>
      </c>
      <c r="K1574" s="38" t="n">
        <v>283964.84</v>
      </c>
      <c r="L1574" s="40" t="inlineStr">
        <is>
          <t>Borç</t>
        </is>
      </c>
    </row>
    <row r="1575" s="34">
      <c r="A1575" s="40" t="inlineStr">
        <is>
          <t>320.01.01.M150</t>
        </is>
      </c>
      <c r="B1575" s="40" t="inlineStr">
        <is>
          <t>Mustafa Tas Boya Yapı Malz. Ltd.Şti.</t>
        </is>
      </c>
      <c r="C1575" s="40" t="inlineStr">
        <is>
          <t>TRY</t>
        </is>
      </c>
      <c r="D1575" s="40" t="inlineStr">
        <is>
          <t>ROYAL DRAGON</t>
        </is>
      </c>
      <c r="E1575" s="38" t="n">
        <v>0</v>
      </c>
      <c r="F1575" s="38" t="n">
        <v>11826.6</v>
      </c>
      <c r="G1575" s="38" t="n">
        <v>-11826.6</v>
      </c>
      <c r="H1575" s="40" t="inlineStr">
        <is>
          <t>Alacak</t>
        </is>
      </c>
      <c r="I1575" s="38" t="n">
        <v>0</v>
      </c>
      <c r="J1575" s="38" t="n">
        <v>11826.6</v>
      </c>
      <c r="K1575" s="38" t="n">
        <v>-11826.6</v>
      </c>
      <c r="L1575" s="40" t="inlineStr">
        <is>
          <t>Alacak</t>
        </is>
      </c>
    </row>
    <row r="1576" s="34">
      <c r="A1576" s="40" t="inlineStr">
        <is>
          <t>320.01.01.M150</t>
        </is>
      </c>
      <c r="B1576" s="40" t="inlineStr">
        <is>
          <t>Mustafa Tas Boya Yapı Malz. Ltd.Şti.</t>
        </is>
      </c>
      <c r="C1576" s="40" t="inlineStr">
        <is>
          <t>TRY</t>
        </is>
      </c>
      <c r="D1576" s="40" t="inlineStr">
        <is>
          <t>ROYAL HOLIDAY</t>
        </is>
      </c>
      <c r="E1576" s="38" t="n">
        <v>0</v>
      </c>
      <c r="F1576" s="38" t="n">
        <v>27860.52</v>
      </c>
      <c r="G1576" s="38" t="n">
        <v>-27860.52</v>
      </c>
      <c r="H1576" s="40" t="inlineStr">
        <is>
          <t>Alacak</t>
        </is>
      </c>
      <c r="I1576" s="38" t="n">
        <v>0</v>
      </c>
      <c r="J1576" s="38" t="n">
        <v>27860.52</v>
      </c>
      <c r="K1576" s="38" t="n">
        <v>-27860.52</v>
      </c>
      <c r="L1576" s="40" t="inlineStr">
        <is>
          <t>Alacak</t>
        </is>
      </c>
    </row>
    <row r="1577" s="34">
      <c r="A1577" s="40" t="inlineStr">
        <is>
          <t>320.01.01.M150</t>
        </is>
      </c>
      <c r="B1577" s="40" t="inlineStr">
        <is>
          <t>Mustafa Tas Boya Yapı Malz. Ltd.Şti.</t>
        </is>
      </c>
      <c r="C1577" s="40" t="inlineStr">
        <is>
          <t>TRY</t>
        </is>
      </c>
      <c r="D1577" s="40" t="inlineStr">
        <is>
          <t>ROYAL SEGINUS</t>
        </is>
      </c>
      <c r="E1577" s="38" t="n">
        <v>0</v>
      </c>
      <c r="F1577" s="38" t="n">
        <v>33354</v>
      </c>
      <c r="G1577" s="38" t="n">
        <v>-33354</v>
      </c>
      <c r="H1577" s="40" t="inlineStr">
        <is>
          <t>Alacak</t>
        </is>
      </c>
      <c r="I1577" s="38" t="n">
        <v>0</v>
      </c>
      <c r="J1577" s="38" t="n">
        <v>33354</v>
      </c>
      <c r="K1577" s="38" t="n">
        <v>-33354</v>
      </c>
      <c r="L1577" s="40" t="inlineStr">
        <is>
          <t>Alacak</t>
        </is>
      </c>
    </row>
    <row r="1578" s="34">
      <c r="A1578" s="40" t="inlineStr">
        <is>
          <t>320.01.01.M150</t>
        </is>
      </c>
      <c r="B1578" s="40" t="inlineStr">
        <is>
          <t>Mustafa Tas Boya Yapı Malz. Ltd.Şti.</t>
        </is>
      </c>
      <c r="C1578" s="40" t="inlineStr">
        <is>
          <t>TRY</t>
        </is>
      </c>
      <c r="D1578" s="40" t="inlineStr">
        <is>
          <t>SERTAŞ MERKEZ</t>
        </is>
      </c>
      <c r="E1578" s="38" t="n">
        <v>260906.04</v>
      </c>
      <c r="F1578" s="38" t="n">
        <v>0</v>
      </c>
      <c r="G1578" s="38" t="n">
        <v>260906.04</v>
      </c>
      <c r="H1578" s="40" t="inlineStr">
        <is>
          <t>Borç</t>
        </is>
      </c>
      <c r="I1578" s="38" t="n">
        <v>260906.04</v>
      </c>
      <c r="J1578" s="38" t="n">
        <v>0</v>
      </c>
      <c r="K1578" s="38" t="n">
        <v>260906.04</v>
      </c>
      <c r="L1578" s="40" t="inlineStr">
        <is>
          <t>Borç</t>
        </is>
      </c>
    </row>
    <row r="1579" s="34">
      <c r="A1579" s="40" t="inlineStr">
        <is>
          <t>320.01.01.M156</t>
        </is>
      </c>
      <c r="B1579" s="40" t="inlineStr">
        <is>
          <t>Muti Gıda Sanayi Pazarlama Ve Ticaret A.</t>
        </is>
      </c>
      <c r="C1579" s="40" t="inlineStr">
        <is>
          <t>TRY</t>
        </is>
      </c>
      <c r="D1579" s="40" t="inlineStr">
        <is>
          <t>GİTAŞ MERKEZ</t>
        </is>
      </c>
      <c r="E1579" s="38" t="n">
        <v>118241.21</v>
      </c>
      <c r="F1579" s="38" t="n">
        <v>0</v>
      </c>
      <c r="G1579" s="38" t="n">
        <v>118241.21</v>
      </c>
      <c r="H1579" s="40" t="inlineStr">
        <is>
          <t>Borç</t>
        </is>
      </c>
      <c r="I1579" s="38" t="n">
        <v>118241.21</v>
      </c>
      <c r="J1579" s="38" t="n">
        <v>0</v>
      </c>
      <c r="K1579" s="38" t="n">
        <v>118241.21</v>
      </c>
      <c r="L1579" s="40" t="inlineStr">
        <is>
          <t>Borç</t>
        </is>
      </c>
    </row>
    <row r="1580" s="34">
      <c r="A1580" s="40" t="inlineStr">
        <is>
          <t>320.01.01.M156</t>
        </is>
      </c>
      <c r="B1580" s="40" t="inlineStr">
        <is>
          <t>Muti Gıda Sanayi Pazarlama Ve Ticaret A.</t>
        </is>
      </c>
      <c r="C1580" s="40" t="inlineStr">
        <is>
          <t>TRY</t>
        </is>
      </c>
      <c r="D1580" s="40" t="inlineStr">
        <is>
          <t>ROYAL ADAM EVE</t>
        </is>
      </c>
      <c r="E1580" s="38" t="n">
        <v>11691.26</v>
      </c>
      <c r="F1580" s="38" t="n">
        <v>0</v>
      </c>
      <c r="G1580" s="38" t="n">
        <v>11691.26</v>
      </c>
      <c r="H1580" s="40" t="inlineStr">
        <is>
          <t>Borç</t>
        </is>
      </c>
      <c r="I1580" s="38" t="n">
        <v>11691.26</v>
      </c>
      <c r="J1580" s="38" t="n">
        <v>0</v>
      </c>
      <c r="K1580" s="38" t="n">
        <v>11691.26</v>
      </c>
      <c r="L1580" s="40" t="inlineStr">
        <is>
          <t>Borç</t>
        </is>
      </c>
    </row>
    <row r="1581" s="34">
      <c r="A1581" s="40" t="inlineStr">
        <is>
          <t>320.01.01.M156</t>
        </is>
      </c>
      <c r="B1581" s="40" t="inlineStr">
        <is>
          <t>Muti Gıda Sanayi Pazarlama Ve Ticaret A.</t>
        </is>
      </c>
      <c r="C1581" s="40" t="inlineStr">
        <is>
          <t>TRY</t>
        </is>
      </c>
      <c r="D1581" s="40" t="inlineStr">
        <is>
          <t>SERTAŞ MERKEZ</t>
        </is>
      </c>
      <c r="E1581" s="38" t="n">
        <v>40418.69</v>
      </c>
      <c r="F1581" s="38" t="n">
        <v>0</v>
      </c>
      <c r="G1581" s="38" t="n">
        <v>40418.69</v>
      </c>
      <c r="H1581" s="40" t="inlineStr">
        <is>
          <t>Borç</t>
        </is>
      </c>
      <c r="I1581" s="38" t="n">
        <v>40418.69</v>
      </c>
      <c r="J1581" s="38" t="n">
        <v>0</v>
      </c>
      <c r="K1581" s="38" t="n">
        <v>40418.69</v>
      </c>
      <c r="L1581" s="40" t="inlineStr">
        <is>
          <t>Borç</t>
        </is>
      </c>
    </row>
    <row r="1582" s="34">
      <c r="A1582" s="40" t="inlineStr">
        <is>
          <t>320.01.01.M160</t>
        </is>
      </c>
      <c r="B1582" s="40" t="inlineStr">
        <is>
          <t>Mütevellioğlu Mühendislik Bilişim İnşaat Sanayi Ticaret Limited Şirketi</t>
        </is>
      </c>
      <c r="C1582" s="40" t="inlineStr">
        <is>
          <t>TRY</t>
        </is>
      </c>
      <c r="D1582" s="40" t="inlineStr">
        <is>
          <t>GİTAŞ MERKEZ</t>
        </is>
      </c>
      <c r="E1582" s="38" t="n">
        <v>228002.4</v>
      </c>
      <c r="F1582" s="38" t="n">
        <v>0</v>
      </c>
      <c r="G1582" s="38" t="n">
        <v>228002.4</v>
      </c>
      <c r="H1582" s="40" t="inlineStr">
        <is>
          <t>Borç</t>
        </is>
      </c>
      <c r="I1582" s="38" t="n">
        <v>228002.4</v>
      </c>
      <c r="J1582" s="38" t="n">
        <v>0</v>
      </c>
      <c r="K1582" s="38" t="n">
        <v>228002.4</v>
      </c>
      <c r="L1582" s="40" t="inlineStr">
        <is>
          <t>Borç</t>
        </is>
      </c>
    </row>
    <row r="1583" s="34">
      <c r="A1583" s="40" t="inlineStr">
        <is>
          <t>320.01.01.M165</t>
        </is>
      </c>
      <c r="B1583" s="40" t="inlineStr">
        <is>
          <t>Mzc Canevi İçecek Taşımacılık San. Ve Ti</t>
        </is>
      </c>
      <c r="C1583" s="40" t="inlineStr">
        <is>
          <t>TRY</t>
        </is>
      </c>
      <c r="D1583" s="40" t="inlineStr">
        <is>
          <t>GİTAŞ MERKEZ</t>
        </is>
      </c>
      <c r="E1583" s="38" t="n">
        <v>299094.05</v>
      </c>
      <c r="F1583" s="38" t="n">
        <v>0</v>
      </c>
      <c r="G1583" s="38" t="n">
        <v>299094.05</v>
      </c>
      <c r="H1583" s="40" t="inlineStr">
        <is>
          <t>Borç</t>
        </is>
      </c>
      <c r="I1583" s="38" t="n">
        <v>299094.05</v>
      </c>
      <c r="J1583" s="38" t="n">
        <v>0</v>
      </c>
      <c r="K1583" s="38" t="n">
        <v>299094.05</v>
      </c>
      <c r="L1583" s="40" t="inlineStr">
        <is>
          <t>Borç</t>
        </is>
      </c>
    </row>
    <row r="1584" s="34">
      <c r="A1584" s="40" t="inlineStr">
        <is>
          <t>320.01.01.M165</t>
        </is>
      </c>
      <c r="B1584" s="40" t="inlineStr">
        <is>
          <t>Mzc Canevi İçecek Taşımacılık San. Ve Ti</t>
        </is>
      </c>
      <c r="C1584" s="40" t="inlineStr">
        <is>
          <t>TRY</t>
        </is>
      </c>
      <c r="D1584" s="40" t="inlineStr">
        <is>
          <t>ROYAL ADAM EVE</t>
        </is>
      </c>
      <c r="E1584" s="38" t="n">
        <v>156253.77</v>
      </c>
      <c r="F1584" s="38" t="n">
        <v>186526.8</v>
      </c>
      <c r="G1584" s="38" t="n">
        <v>-30273.03</v>
      </c>
      <c r="H1584" s="40" t="inlineStr">
        <is>
          <t>Alacak</t>
        </is>
      </c>
      <c r="I1584" s="38" t="n">
        <v>156253.77</v>
      </c>
      <c r="J1584" s="38" t="n">
        <v>186526.8</v>
      </c>
      <c r="K1584" s="38" t="n">
        <v>-30273.03</v>
      </c>
      <c r="L1584" s="40" t="inlineStr">
        <is>
          <t>Alacak</t>
        </is>
      </c>
    </row>
    <row r="1585" s="34">
      <c r="A1585" s="40" t="inlineStr">
        <is>
          <t>320.01.01.M165</t>
        </is>
      </c>
      <c r="B1585" s="40" t="inlineStr">
        <is>
          <t>Mzc Canevi İçecek Taşımacılık San. Ve Ti</t>
        </is>
      </c>
      <c r="C1585" s="40" t="inlineStr">
        <is>
          <t>TRY</t>
        </is>
      </c>
      <c r="D1585" s="40" t="inlineStr">
        <is>
          <t>ROYAL ALHAMBRA</t>
        </is>
      </c>
      <c r="E1585" s="38" t="n">
        <v>0</v>
      </c>
      <c r="F1585" s="38" t="n">
        <v>222271.43</v>
      </c>
      <c r="G1585" s="38" t="n">
        <v>-222271.43</v>
      </c>
      <c r="H1585" s="40" t="inlineStr">
        <is>
          <t>Alacak</t>
        </is>
      </c>
      <c r="I1585" s="38" t="n">
        <v>0</v>
      </c>
      <c r="J1585" s="38" t="n">
        <v>222271.43</v>
      </c>
      <c r="K1585" s="38" t="n">
        <v>-222271.43</v>
      </c>
      <c r="L1585" s="40" t="inlineStr">
        <is>
          <t>Alacak</t>
        </is>
      </c>
    </row>
    <row r="1586" s="34">
      <c r="A1586" s="40" t="inlineStr">
        <is>
          <t>320.01.01.M165</t>
        </is>
      </c>
      <c r="B1586" s="40" t="inlineStr">
        <is>
          <t>Mzc Canevi İçecek Taşımacılık San. Ve Ti</t>
        </is>
      </c>
      <c r="C1586" s="40" t="inlineStr">
        <is>
          <t>TRY</t>
        </is>
      </c>
      <c r="D1586" s="40" t="inlineStr">
        <is>
          <t>ROYAL DRAGON</t>
        </is>
      </c>
      <c r="E1586" s="38" t="n">
        <v>0</v>
      </c>
      <c r="F1586" s="38" t="n">
        <v>121151.52</v>
      </c>
      <c r="G1586" s="38" t="n">
        <v>-121151.52</v>
      </c>
      <c r="H1586" s="40" t="inlineStr">
        <is>
          <t>Alacak</t>
        </is>
      </c>
      <c r="I1586" s="38" t="n">
        <v>0</v>
      </c>
      <c r="J1586" s="38" t="n">
        <v>121151.52</v>
      </c>
      <c r="K1586" s="38" t="n">
        <v>-121151.52</v>
      </c>
      <c r="L1586" s="40" t="inlineStr">
        <is>
          <t>Alacak</t>
        </is>
      </c>
    </row>
    <row r="1587" s="34">
      <c r="A1587" s="40" t="inlineStr">
        <is>
          <t>320.01.01.M165</t>
        </is>
      </c>
      <c r="B1587" s="40" t="inlineStr">
        <is>
          <t>Mzc Canevi İçecek Taşımacılık San. Ve Ti</t>
        </is>
      </c>
      <c r="C1587" s="40" t="inlineStr">
        <is>
          <t>TRY</t>
        </is>
      </c>
      <c r="D1587" s="40" t="inlineStr">
        <is>
          <t>ROYAL HOLIDAY</t>
        </is>
      </c>
      <c r="E1587" s="38" t="n">
        <v>0</v>
      </c>
      <c r="F1587" s="38" t="n">
        <v>320826.09</v>
      </c>
      <c r="G1587" s="38" t="n">
        <v>-320826.09</v>
      </c>
      <c r="H1587" s="40" t="inlineStr">
        <is>
          <t>Alacak</t>
        </is>
      </c>
      <c r="I1587" s="38" t="n">
        <v>0</v>
      </c>
      <c r="J1587" s="38" t="n">
        <v>320826.09</v>
      </c>
      <c r="K1587" s="38" t="n">
        <v>-320826.09</v>
      </c>
      <c r="L1587" s="40" t="inlineStr">
        <is>
          <t>Alacak</t>
        </is>
      </c>
    </row>
    <row r="1588" s="34">
      <c r="A1588" s="40" t="inlineStr">
        <is>
          <t>320.01.01.M165</t>
        </is>
      </c>
      <c r="B1588" s="40" t="inlineStr">
        <is>
          <t>Mzc Canevi İçecek Taşımacılık San. Ve Ti</t>
        </is>
      </c>
      <c r="C1588" s="40" t="inlineStr">
        <is>
          <t>TRY</t>
        </is>
      </c>
      <c r="D1588" s="40" t="inlineStr">
        <is>
          <t>ROYAL SEGINUS</t>
        </is>
      </c>
      <c r="E1588" s="38" t="n">
        <v>0</v>
      </c>
      <c r="F1588" s="38" t="n">
        <v>386921.31</v>
      </c>
      <c r="G1588" s="38" t="n">
        <v>-386921.31</v>
      </c>
      <c r="H1588" s="40" t="inlineStr">
        <is>
          <t>Alacak</t>
        </is>
      </c>
      <c r="I1588" s="38" t="n">
        <v>0</v>
      </c>
      <c r="J1588" s="38" t="n">
        <v>386921.31</v>
      </c>
      <c r="K1588" s="38" t="n">
        <v>-386921.31</v>
      </c>
      <c r="L1588" s="40" t="inlineStr">
        <is>
          <t>Alacak</t>
        </is>
      </c>
    </row>
    <row r="1589" s="34">
      <c r="A1589" s="40" t="inlineStr">
        <is>
          <t>320.01.01.M165</t>
        </is>
      </c>
      <c r="B1589" s="40" t="inlineStr">
        <is>
          <t>Mzc Canevi İçecek Taşımacılık San. Ve Ti</t>
        </is>
      </c>
      <c r="C1589" s="40" t="inlineStr">
        <is>
          <t>TRY</t>
        </is>
      </c>
      <c r="D1589" s="40" t="inlineStr">
        <is>
          <t>SERTAŞ MERKEZ</t>
        </is>
      </c>
      <c r="E1589" s="38" t="n">
        <v>840751.8100000001</v>
      </c>
      <c r="F1589" s="38" t="n">
        <v>0</v>
      </c>
      <c r="G1589" s="38" t="n">
        <v>840751.8100000001</v>
      </c>
      <c r="H1589" s="40" t="inlineStr">
        <is>
          <t>Borç</t>
        </is>
      </c>
      <c r="I1589" s="38" t="n">
        <v>840751.8100000001</v>
      </c>
      <c r="J1589" s="38" t="n">
        <v>0</v>
      </c>
      <c r="K1589" s="38" t="n">
        <v>840751.8100000001</v>
      </c>
      <c r="L1589" s="40" t="inlineStr">
        <is>
          <t>Borç</t>
        </is>
      </c>
    </row>
    <row r="1590" s="34">
      <c r="A1590" s="40" t="inlineStr">
        <is>
          <t>320.01.01.M169</t>
        </is>
      </c>
      <c r="B1590" s="40" t="inlineStr">
        <is>
          <t>Messe Berlin Gmbh</t>
        </is>
      </c>
      <c r="C1590" s="40" t="inlineStr">
        <is>
          <t>TRY</t>
        </is>
      </c>
      <c r="D1590" s="40" t="inlineStr">
        <is>
          <t>SERTAŞ MERKEZ</t>
        </is>
      </c>
      <c r="E1590" s="38" t="n">
        <v>0</v>
      </c>
      <c r="F1590" s="38" t="n">
        <v>19867.78</v>
      </c>
      <c r="G1590" s="38" t="n">
        <v>-19867.78</v>
      </c>
      <c r="H1590" s="40" t="inlineStr">
        <is>
          <t>Alacak</t>
        </is>
      </c>
      <c r="I1590" s="38" t="n">
        <v>0</v>
      </c>
      <c r="J1590" s="38" t="n">
        <v>374</v>
      </c>
      <c r="K1590" s="38" t="n">
        <v>-374</v>
      </c>
      <c r="L1590" s="40" t="inlineStr">
        <is>
          <t>Alacak</t>
        </is>
      </c>
    </row>
    <row r="1591" s="34">
      <c r="A1591" s="40" t="inlineStr">
        <is>
          <t>320.01.01.M181</t>
        </is>
      </c>
      <c r="B1591" s="40" t="inlineStr">
        <is>
          <t>Manavgat Belediye Başkanlığı</t>
        </is>
      </c>
      <c r="C1591" s="40" t="inlineStr">
        <is>
          <t>TRY</t>
        </is>
      </c>
      <c r="D1591" s="40" t="inlineStr">
        <is>
          <t>GİTAŞ MERKEZ</t>
        </is>
      </c>
      <c r="E1591" s="38" t="n">
        <v>236355.76</v>
      </c>
      <c r="F1591" s="38" t="n">
        <v>0</v>
      </c>
      <c r="G1591" s="38" t="n">
        <v>236355.76</v>
      </c>
      <c r="H1591" s="40" t="inlineStr">
        <is>
          <t>Borç</t>
        </is>
      </c>
      <c r="I1591" s="38" t="n">
        <v>236355.76</v>
      </c>
      <c r="J1591" s="38" t="n">
        <v>0</v>
      </c>
      <c r="K1591" s="38" t="n">
        <v>236355.76</v>
      </c>
      <c r="L1591" s="40" t="inlineStr">
        <is>
          <t>Borç</t>
        </is>
      </c>
    </row>
    <row r="1592" s="34">
      <c r="A1592" s="40" t="inlineStr">
        <is>
          <t>320.01.01.M184</t>
        </is>
      </c>
      <c r="B1592" s="40" t="inlineStr">
        <is>
          <t>Muhsin Yiğit - Yiğit Ticaret</t>
        </is>
      </c>
      <c r="C1592" s="40" t="inlineStr">
        <is>
          <t>TRY</t>
        </is>
      </c>
      <c r="D1592" s="40" t="inlineStr">
        <is>
          <t>GİTAŞ MERKEZ</t>
        </is>
      </c>
      <c r="E1592" s="38" t="n">
        <v>3066</v>
      </c>
      <c r="F1592" s="38" t="n">
        <v>0</v>
      </c>
      <c r="G1592" s="38" t="n">
        <v>3066</v>
      </c>
      <c r="H1592" s="40" t="inlineStr">
        <is>
          <t>Borç</t>
        </is>
      </c>
      <c r="I1592" s="38" t="n">
        <v>3066</v>
      </c>
      <c r="J1592" s="38" t="n">
        <v>0</v>
      </c>
      <c r="K1592" s="38" t="n">
        <v>3066</v>
      </c>
      <c r="L1592" s="40" t="inlineStr">
        <is>
          <t>Borç</t>
        </is>
      </c>
    </row>
    <row r="1593" s="34">
      <c r="A1593" s="40" t="inlineStr">
        <is>
          <t>320.01.01.M185</t>
        </is>
      </c>
      <c r="B1593" s="40" t="inlineStr">
        <is>
          <t>Mehmet Eylem Kurt</t>
        </is>
      </c>
      <c r="C1593" s="40" t="inlineStr">
        <is>
          <t>TRY</t>
        </is>
      </c>
      <c r="D1593" s="40" t="inlineStr">
        <is>
          <t>SERTAŞ MERKEZ</t>
        </is>
      </c>
      <c r="E1593" s="38" t="n">
        <v>47760</v>
      </c>
      <c r="F1593" s="38" t="n">
        <v>0</v>
      </c>
      <c r="G1593" s="38" t="n">
        <v>47760</v>
      </c>
      <c r="H1593" s="40" t="inlineStr">
        <is>
          <t>Borç</t>
        </is>
      </c>
      <c r="I1593" s="38" t="n">
        <v>47760</v>
      </c>
      <c r="J1593" s="38" t="n">
        <v>0</v>
      </c>
      <c r="K1593" s="38" t="n">
        <v>47760</v>
      </c>
      <c r="L1593" s="40" t="inlineStr">
        <is>
          <t>Borç</t>
        </is>
      </c>
    </row>
    <row r="1594" s="34">
      <c r="A1594" s="40" t="inlineStr">
        <is>
          <t>320.01.01.N003</t>
        </is>
      </c>
      <c r="B1594" s="40" t="inlineStr">
        <is>
          <t>Nevzat Şahin Şahin Kundura</t>
        </is>
      </c>
      <c r="C1594" s="40" t="inlineStr">
        <is>
          <t>TRY</t>
        </is>
      </c>
      <c r="D1594" s="40" t="inlineStr">
        <is>
          <t>GİTAŞ MERKEZ</t>
        </is>
      </c>
      <c r="E1594" s="38" t="n">
        <v>223938</v>
      </c>
      <c r="F1594" s="38" t="n">
        <v>0</v>
      </c>
      <c r="G1594" s="38" t="n">
        <v>223938</v>
      </c>
      <c r="H1594" s="40" t="inlineStr">
        <is>
          <t>Borç</t>
        </is>
      </c>
      <c r="I1594" s="38" t="n">
        <v>223938</v>
      </c>
      <c r="J1594" s="38" t="n">
        <v>0</v>
      </c>
      <c r="K1594" s="38" t="n">
        <v>223938</v>
      </c>
      <c r="L1594" s="40" t="inlineStr">
        <is>
          <t>Borç</t>
        </is>
      </c>
    </row>
    <row r="1595" s="34">
      <c r="A1595" s="40" t="inlineStr">
        <is>
          <t>320.01.01.N003</t>
        </is>
      </c>
      <c r="B1595" s="40" t="inlineStr">
        <is>
          <t>Nevzat Şahin Şahin Kundura</t>
        </is>
      </c>
      <c r="C1595" s="40" t="inlineStr">
        <is>
          <t>TRY</t>
        </is>
      </c>
      <c r="D1595" s="40" t="inlineStr">
        <is>
          <t>ROYAL ADAM EVE</t>
        </is>
      </c>
      <c r="E1595" s="38" t="n">
        <v>107184</v>
      </c>
      <c r="F1595" s="38" t="n">
        <v>0</v>
      </c>
      <c r="G1595" s="38" t="n">
        <v>107184</v>
      </c>
      <c r="H1595" s="40" t="inlineStr">
        <is>
          <t>Borç</t>
        </is>
      </c>
      <c r="I1595" s="38" t="n">
        <v>107184</v>
      </c>
      <c r="J1595" s="38" t="n">
        <v>0</v>
      </c>
      <c r="K1595" s="38" t="n">
        <v>107184</v>
      </c>
      <c r="L1595" s="40" t="inlineStr">
        <is>
          <t>Borç</t>
        </is>
      </c>
    </row>
    <row r="1596" s="34">
      <c r="A1596" s="40" t="inlineStr">
        <is>
          <t>320.01.01.N003</t>
        </is>
      </c>
      <c r="B1596" s="40" t="inlineStr">
        <is>
          <t>Nevzat Şahin Şahin Kundura</t>
        </is>
      </c>
      <c r="C1596" s="40" t="inlineStr">
        <is>
          <t>TRY</t>
        </is>
      </c>
      <c r="D1596" s="40" t="inlineStr">
        <is>
          <t>SERTAŞ MERKEZ</t>
        </is>
      </c>
      <c r="E1596" s="38" t="n">
        <v>229680</v>
      </c>
      <c r="F1596" s="38" t="n">
        <v>0</v>
      </c>
      <c r="G1596" s="38" t="n">
        <v>229680</v>
      </c>
      <c r="H1596" s="40" t="inlineStr">
        <is>
          <t>Borç</t>
        </is>
      </c>
      <c r="I1596" s="38" t="n">
        <v>229680</v>
      </c>
      <c r="J1596" s="38" t="n">
        <v>0</v>
      </c>
      <c r="K1596" s="38" t="n">
        <v>229680</v>
      </c>
      <c r="L1596" s="40" t="inlineStr">
        <is>
          <t>Borç</t>
        </is>
      </c>
    </row>
    <row r="1597" s="34">
      <c r="A1597" s="40" t="inlineStr">
        <is>
          <t>320.01.01.N004</t>
        </is>
      </c>
      <c r="B1597" s="40" t="inlineStr">
        <is>
          <t>Namet Gıda San.Ve Tic.A.Ş.</t>
        </is>
      </c>
      <c r="C1597" s="40" t="inlineStr">
        <is>
          <t>TRY</t>
        </is>
      </c>
      <c r="D1597" s="40" t="inlineStr">
        <is>
          <t>GİTAŞ MERKEZ</t>
        </is>
      </c>
      <c r="E1597" s="38" t="n">
        <v>210252.33</v>
      </c>
      <c r="F1597" s="38" t="n">
        <v>0</v>
      </c>
      <c r="G1597" s="38" t="n">
        <v>210252.33</v>
      </c>
      <c r="H1597" s="40" t="inlineStr">
        <is>
          <t>Borç</t>
        </is>
      </c>
      <c r="I1597" s="38" t="n">
        <v>210252.33</v>
      </c>
      <c r="J1597" s="38" t="n">
        <v>0</v>
      </c>
      <c r="K1597" s="38" t="n">
        <v>210252.33</v>
      </c>
      <c r="L1597" s="40" t="inlineStr">
        <is>
          <t>Borç</t>
        </is>
      </c>
    </row>
    <row r="1598" s="34">
      <c r="A1598" s="40" t="inlineStr">
        <is>
          <t>320.01.01.N004</t>
        </is>
      </c>
      <c r="B1598" s="40" t="inlineStr">
        <is>
          <t>Namet Gıda San.Ve Tic.A.Ş.</t>
        </is>
      </c>
      <c r="C1598" s="40" t="inlineStr">
        <is>
          <t>TRY</t>
        </is>
      </c>
      <c r="D1598" s="40" t="inlineStr">
        <is>
          <t>ROYAL ADAM EVE</t>
        </is>
      </c>
      <c r="E1598" s="38" t="n">
        <v>18822.84</v>
      </c>
      <c r="F1598" s="38" t="n">
        <v>12548.56</v>
      </c>
      <c r="G1598" s="38" t="n">
        <v>6274.28</v>
      </c>
      <c r="H1598" s="40" t="inlineStr">
        <is>
          <t>Borç</t>
        </is>
      </c>
      <c r="I1598" s="38" t="n">
        <v>18822.84</v>
      </c>
      <c r="J1598" s="38" t="n">
        <v>12548.56</v>
      </c>
      <c r="K1598" s="38" t="n">
        <v>6274.28</v>
      </c>
      <c r="L1598" s="40" t="inlineStr">
        <is>
          <t>Borç</t>
        </is>
      </c>
    </row>
    <row r="1599" s="34">
      <c r="A1599" s="40" t="inlineStr">
        <is>
          <t>320.01.01.N004</t>
        </is>
      </c>
      <c r="B1599" s="40" t="inlineStr">
        <is>
          <t>Namet Gıda San.Ve Tic.A.Ş.</t>
        </is>
      </c>
      <c r="C1599" s="40" t="inlineStr">
        <is>
          <t>TRY</t>
        </is>
      </c>
      <c r="D1599" s="40" t="inlineStr">
        <is>
          <t>ROYAL ALHAMBRA</t>
        </is>
      </c>
      <c r="E1599" s="38" t="n">
        <v>0</v>
      </c>
      <c r="F1599" s="38" t="n">
        <v>31371.41</v>
      </c>
      <c r="G1599" s="38" t="n">
        <v>-31371.41</v>
      </c>
      <c r="H1599" s="40" t="inlineStr">
        <is>
          <t>Alacak</t>
        </is>
      </c>
      <c r="I1599" s="38" t="n">
        <v>0</v>
      </c>
      <c r="J1599" s="38" t="n">
        <v>31371.41</v>
      </c>
      <c r="K1599" s="38" t="n">
        <v>-31371.41</v>
      </c>
      <c r="L1599" s="40" t="inlineStr">
        <is>
          <t>Alacak</t>
        </is>
      </c>
    </row>
    <row r="1600" s="34">
      <c r="A1600" s="40" t="inlineStr">
        <is>
          <t>320.01.01.N004</t>
        </is>
      </c>
      <c r="B1600" s="40" t="inlineStr">
        <is>
          <t>Namet Gıda San.Ve Tic.A.Ş.</t>
        </is>
      </c>
      <c r="C1600" s="40" t="inlineStr">
        <is>
          <t>TRY</t>
        </is>
      </c>
      <c r="D1600" s="40" t="inlineStr">
        <is>
          <t>ROYAL DRAGON</t>
        </is>
      </c>
      <c r="E1600" s="38" t="n">
        <v>0</v>
      </c>
      <c r="F1600" s="38" t="n">
        <v>18822.84</v>
      </c>
      <c r="G1600" s="38" t="n">
        <v>-18822.84</v>
      </c>
      <c r="H1600" s="40" t="inlineStr">
        <is>
          <t>Alacak</t>
        </is>
      </c>
      <c r="I1600" s="38" t="n">
        <v>0</v>
      </c>
      <c r="J1600" s="38" t="n">
        <v>18822.84</v>
      </c>
      <c r="K1600" s="38" t="n">
        <v>-18822.84</v>
      </c>
      <c r="L1600" s="40" t="inlineStr">
        <is>
          <t>Alacak</t>
        </is>
      </c>
    </row>
    <row r="1601" s="34">
      <c r="A1601" s="40" t="inlineStr">
        <is>
          <t>320.01.01.N004</t>
        </is>
      </c>
      <c r="B1601" s="40" t="inlineStr">
        <is>
          <t>Namet Gıda San.Ve Tic.A.Ş.</t>
        </is>
      </c>
      <c r="C1601" s="40" t="inlineStr">
        <is>
          <t>TRY</t>
        </is>
      </c>
      <c r="D1601" s="40" t="inlineStr">
        <is>
          <t>ROYAL HOLIDAY</t>
        </is>
      </c>
      <c r="E1601" s="38" t="n">
        <v>0</v>
      </c>
      <c r="F1601" s="38" t="n">
        <v>43919.96</v>
      </c>
      <c r="G1601" s="38" t="n">
        <v>-43919.96</v>
      </c>
      <c r="H1601" s="40" t="inlineStr">
        <is>
          <t>Alacak</t>
        </is>
      </c>
      <c r="I1601" s="38" t="n">
        <v>0</v>
      </c>
      <c r="J1601" s="38" t="n">
        <v>43919.96</v>
      </c>
      <c r="K1601" s="38" t="n">
        <v>-43919.96</v>
      </c>
      <c r="L1601" s="40" t="inlineStr">
        <is>
          <t>Alacak</t>
        </is>
      </c>
    </row>
    <row r="1602" s="34">
      <c r="A1602" s="40" t="inlineStr">
        <is>
          <t>320.01.01.N004</t>
        </is>
      </c>
      <c r="B1602" s="40" t="inlineStr">
        <is>
          <t>Namet Gıda San.Ve Tic.A.Ş.</t>
        </is>
      </c>
      <c r="C1602" s="40" t="inlineStr">
        <is>
          <t>TRY</t>
        </is>
      </c>
      <c r="D1602" s="40" t="inlineStr">
        <is>
          <t>ROYAL SEGINUS</t>
        </is>
      </c>
      <c r="E1602" s="38" t="n">
        <v>0</v>
      </c>
      <c r="F1602" s="38" t="n">
        <v>37645.69</v>
      </c>
      <c r="G1602" s="38" t="n">
        <v>-37645.69</v>
      </c>
      <c r="H1602" s="40" t="inlineStr">
        <is>
          <t>Alacak</t>
        </is>
      </c>
      <c r="I1602" s="38" t="n">
        <v>0</v>
      </c>
      <c r="J1602" s="38" t="n">
        <v>37645.69</v>
      </c>
      <c r="K1602" s="38" t="n">
        <v>-37645.69</v>
      </c>
      <c r="L1602" s="40" t="inlineStr">
        <is>
          <t>Alacak</t>
        </is>
      </c>
    </row>
    <row r="1603" s="34">
      <c r="A1603" s="40" t="inlineStr">
        <is>
          <t>320.01.01.N004</t>
        </is>
      </c>
      <c r="B1603" s="40" t="inlineStr">
        <is>
          <t>Namet Gıda San.Ve Tic.A.Ş.</t>
        </is>
      </c>
      <c r="C1603" s="40" t="inlineStr">
        <is>
          <t>TRY</t>
        </is>
      </c>
      <c r="D1603" s="40" t="inlineStr">
        <is>
          <t>SERTAŞ MERKEZ</t>
        </is>
      </c>
      <c r="E1603" s="38" t="n">
        <v>458545.2</v>
      </c>
      <c r="F1603" s="38" t="n">
        <v>0</v>
      </c>
      <c r="G1603" s="38" t="n">
        <v>458545.2</v>
      </c>
      <c r="H1603" s="40" t="inlineStr">
        <is>
          <t>Borç</t>
        </is>
      </c>
      <c r="I1603" s="38" t="n">
        <v>458545.2</v>
      </c>
      <c r="J1603" s="38" t="n">
        <v>0</v>
      </c>
      <c r="K1603" s="38" t="n">
        <v>458545.2</v>
      </c>
      <c r="L1603" s="40" t="inlineStr">
        <is>
          <t>Borç</t>
        </is>
      </c>
    </row>
    <row r="1604" s="34">
      <c r="A1604" s="40" t="inlineStr">
        <is>
          <t>320.01.01.N005</t>
        </is>
      </c>
      <c r="B1604" s="40" t="inlineStr">
        <is>
          <t>Namsal Gıda San.Ve Tic.A.Ş.</t>
        </is>
      </c>
      <c r="C1604" s="40" t="inlineStr">
        <is>
          <t>TRY</t>
        </is>
      </c>
      <c r="D1604" s="40" t="inlineStr">
        <is>
          <t>GİTAŞ MERKEZ</t>
        </is>
      </c>
      <c r="E1604" s="38" t="n">
        <v>13301.5</v>
      </c>
      <c r="F1604" s="38" t="n">
        <v>0</v>
      </c>
      <c r="G1604" s="38" t="n">
        <v>13301.5</v>
      </c>
      <c r="H1604" s="40" t="inlineStr">
        <is>
          <t>Borç</t>
        </is>
      </c>
      <c r="I1604" s="38" t="n">
        <v>13301.5</v>
      </c>
      <c r="J1604" s="38" t="n">
        <v>0</v>
      </c>
      <c r="K1604" s="38" t="n">
        <v>13301.5</v>
      </c>
      <c r="L1604" s="40" t="inlineStr">
        <is>
          <t>Borç</t>
        </is>
      </c>
    </row>
    <row r="1605" s="34">
      <c r="A1605" s="40" t="inlineStr">
        <is>
          <t>320.01.01.N005</t>
        </is>
      </c>
      <c r="B1605" s="40" t="inlineStr">
        <is>
          <t>Namsal Gıda San.Ve Tic.A.Ş.</t>
        </is>
      </c>
      <c r="C1605" s="40" t="inlineStr">
        <is>
          <t>TRY</t>
        </is>
      </c>
      <c r="D1605" s="40" t="inlineStr">
        <is>
          <t>ROYAL ADAM EVE</t>
        </is>
      </c>
      <c r="E1605" s="38" t="n">
        <v>7024.12</v>
      </c>
      <c r="F1605" s="38" t="n">
        <v>25005.79</v>
      </c>
      <c r="G1605" s="38" t="n">
        <v>-17981.67</v>
      </c>
      <c r="H1605" s="40" t="inlineStr">
        <is>
          <t>Alacak</t>
        </is>
      </c>
      <c r="I1605" s="38" t="n">
        <v>7024.12</v>
      </c>
      <c r="J1605" s="38" t="n">
        <v>25005.79</v>
      </c>
      <c r="K1605" s="38" t="n">
        <v>-17981.67</v>
      </c>
      <c r="L1605" s="40" t="inlineStr">
        <is>
          <t>Alacak</t>
        </is>
      </c>
    </row>
    <row r="1606" s="34">
      <c r="A1606" s="40" t="inlineStr">
        <is>
          <t>320.01.01.N005</t>
        </is>
      </c>
      <c r="B1606" s="40" t="inlineStr">
        <is>
          <t>Namsal Gıda San.Ve Tic.A.Ş.</t>
        </is>
      </c>
      <c r="C1606" s="40" t="inlineStr">
        <is>
          <t>TRY</t>
        </is>
      </c>
      <c r="D1606" s="40" t="inlineStr">
        <is>
          <t>ROYAL ALHAMBRA</t>
        </is>
      </c>
      <c r="E1606" s="38" t="n">
        <v>0</v>
      </c>
      <c r="F1606" s="38" t="n">
        <v>27220.21</v>
      </c>
      <c r="G1606" s="38" t="n">
        <v>-27220.21</v>
      </c>
      <c r="H1606" s="40" t="inlineStr">
        <is>
          <t>Alacak</t>
        </is>
      </c>
      <c r="I1606" s="38" t="n">
        <v>0</v>
      </c>
      <c r="J1606" s="38" t="n">
        <v>27220.21</v>
      </c>
      <c r="K1606" s="38" t="n">
        <v>-27220.21</v>
      </c>
      <c r="L1606" s="40" t="inlineStr">
        <is>
          <t>Alacak</t>
        </is>
      </c>
    </row>
    <row r="1607" s="34">
      <c r="A1607" s="40" t="inlineStr">
        <is>
          <t>320.01.01.N005</t>
        </is>
      </c>
      <c r="B1607" s="40" t="inlineStr">
        <is>
          <t>Namsal Gıda San.Ve Tic.A.Ş.</t>
        </is>
      </c>
      <c r="C1607" s="40" t="inlineStr">
        <is>
          <t>TRY</t>
        </is>
      </c>
      <c r="D1607" s="40" t="inlineStr">
        <is>
          <t>ROYAL DRAGON</t>
        </is>
      </c>
      <c r="E1607" s="38" t="n">
        <v>0</v>
      </c>
      <c r="F1607" s="38" t="n">
        <v>19914.78</v>
      </c>
      <c r="G1607" s="38" t="n">
        <v>-19914.78</v>
      </c>
      <c r="H1607" s="40" t="inlineStr">
        <is>
          <t>Alacak</t>
        </is>
      </c>
      <c r="I1607" s="38" t="n">
        <v>0</v>
      </c>
      <c r="J1607" s="38" t="n">
        <v>19914.78</v>
      </c>
      <c r="K1607" s="38" t="n">
        <v>-19914.78</v>
      </c>
      <c r="L1607" s="40" t="inlineStr">
        <is>
          <t>Alacak</t>
        </is>
      </c>
    </row>
    <row r="1608" s="34">
      <c r="A1608" s="40" t="inlineStr">
        <is>
          <t>320.01.01.N005</t>
        </is>
      </c>
      <c r="B1608" s="40" t="inlineStr">
        <is>
          <t>Namsal Gıda San.Ve Tic.A.Ş.</t>
        </is>
      </c>
      <c r="C1608" s="40" t="inlineStr">
        <is>
          <t>TRY</t>
        </is>
      </c>
      <c r="D1608" s="40" t="inlineStr">
        <is>
          <t>ROYAL HOLIDAY</t>
        </is>
      </c>
      <c r="E1608" s="38" t="n">
        <v>0</v>
      </c>
      <c r="F1608" s="38" t="n">
        <v>6961.07</v>
      </c>
      <c r="G1608" s="38" t="n">
        <v>-6961.07</v>
      </c>
      <c r="H1608" s="40" t="inlineStr">
        <is>
          <t>Alacak</t>
        </is>
      </c>
      <c r="I1608" s="38" t="n">
        <v>0</v>
      </c>
      <c r="J1608" s="38" t="n">
        <v>6961.07</v>
      </c>
      <c r="K1608" s="38" t="n">
        <v>-6961.07</v>
      </c>
      <c r="L1608" s="40" t="inlineStr">
        <is>
          <t>Alacak</t>
        </is>
      </c>
    </row>
    <row r="1609" s="34">
      <c r="A1609" s="40" t="inlineStr">
        <is>
          <t>320.01.01.N005</t>
        </is>
      </c>
      <c r="B1609" s="40" t="inlineStr">
        <is>
          <t>Namsal Gıda San.Ve Tic.A.Ş.</t>
        </is>
      </c>
      <c r="C1609" s="40" t="inlineStr">
        <is>
          <t>TRY</t>
        </is>
      </c>
      <c r="D1609" s="40" t="inlineStr">
        <is>
          <t>ROYAL SEGINUS</t>
        </is>
      </c>
      <c r="E1609" s="38" t="n">
        <v>0</v>
      </c>
      <c r="F1609" s="38" t="n">
        <v>35502.71</v>
      </c>
      <c r="G1609" s="38" t="n">
        <v>-35502.71</v>
      </c>
      <c r="H1609" s="40" t="inlineStr">
        <is>
          <t>Alacak</t>
        </is>
      </c>
      <c r="I1609" s="38" t="n">
        <v>0</v>
      </c>
      <c r="J1609" s="38" t="n">
        <v>35502.71</v>
      </c>
      <c r="K1609" s="38" t="n">
        <v>-35502.71</v>
      </c>
      <c r="L1609" s="40" t="inlineStr">
        <is>
          <t>Alacak</t>
        </is>
      </c>
    </row>
    <row r="1610" s="34">
      <c r="A1610" s="40" t="inlineStr">
        <is>
          <t>320.01.01.N005</t>
        </is>
      </c>
      <c r="B1610" s="40" t="inlineStr">
        <is>
          <t>Namsal Gıda San.Ve Tic.A.Ş.</t>
        </is>
      </c>
      <c r="C1610" s="40" t="inlineStr">
        <is>
          <t>TRY</t>
        </is>
      </c>
      <c r="D1610" s="40" t="inlineStr">
        <is>
          <t>SERTAŞ MERKEZ</t>
        </is>
      </c>
      <c r="E1610" s="38" t="n">
        <v>820.63</v>
      </c>
      <c r="F1610" s="38" t="n">
        <v>0</v>
      </c>
      <c r="G1610" s="38" t="n">
        <v>820.63</v>
      </c>
      <c r="H1610" s="40" t="inlineStr">
        <is>
          <t>Borç</t>
        </is>
      </c>
      <c r="I1610" s="38" t="n">
        <v>820.63</v>
      </c>
      <c r="J1610" s="38" t="n">
        <v>0</v>
      </c>
      <c r="K1610" s="38" t="n">
        <v>820.63</v>
      </c>
      <c r="L1610" s="40" t="inlineStr">
        <is>
          <t>Borç</t>
        </is>
      </c>
    </row>
    <row r="1611" s="34">
      <c r="A1611" s="40" t="inlineStr">
        <is>
          <t>320.01.01.N034</t>
        </is>
      </c>
      <c r="B1611" s="40" t="inlineStr">
        <is>
          <t>Nutova Gıda San.Tic.Ltd.Şti.</t>
        </is>
      </c>
      <c r="C1611" s="40" t="inlineStr">
        <is>
          <t>TRY</t>
        </is>
      </c>
      <c r="D1611" s="40" t="inlineStr">
        <is>
          <t>GİTAŞ MERKEZ</t>
        </is>
      </c>
      <c r="E1611" s="38" t="n">
        <v>130290</v>
      </c>
      <c r="F1611" s="38" t="n">
        <v>0</v>
      </c>
      <c r="G1611" s="38" t="n">
        <v>130290</v>
      </c>
      <c r="H1611" s="40" t="inlineStr">
        <is>
          <t>Borç</t>
        </is>
      </c>
      <c r="I1611" s="38" t="n">
        <v>130290</v>
      </c>
      <c r="J1611" s="38" t="n">
        <v>0</v>
      </c>
      <c r="K1611" s="38" t="n">
        <v>130290</v>
      </c>
      <c r="L1611" s="40" t="inlineStr">
        <is>
          <t>Borç</t>
        </is>
      </c>
    </row>
    <row r="1612" s="34">
      <c r="A1612" s="40" t="inlineStr">
        <is>
          <t>320.01.01.N034</t>
        </is>
      </c>
      <c r="B1612" s="40" t="inlineStr">
        <is>
          <t>Nutova Gıda San.Tic.Ltd.Şti.</t>
        </is>
      </c>
      <c r="C1612" s="40" t="inlineStr">
        <is>
          <t>TRY</t>
        </is>
      </c>
      <c r="D1612" s="40" t="inlineStr">
        <is>
          <t>ROYAL ADAM EVE</t>
        </is>
      </c>
      <c r="E1612" s="38" t="n">
        <v>126381.3</v>
      </c>
      <c r="F1612" s="38" t="n">
        <v>42016</v>
      </c>
      <c r="G1612" s="38" t="n">
        <v>84365.3</v>
      </c>
      <c r="H1612" s="40" t="inlineStr">
        <is>
          <t>Borç</t>
        </is>
      </c>
      <c r="I1612" s="38" t="n">
        <v>126381.3</v>
      </c>
      <c r="J1612" s="38" t="n">
        <v>42016</v>
      </c>
      <c r="K1612" s="38" t="n">
        <v>84365.3</v>
      </c>
      <c r="L1612" s="40" t="inlineStr">
        <is>
          <t>Borç</t>
        </is>
      </c>
    </row>
    <row r="1613" s="34">
      <c r="A1613" s="40" t="inlineStr">
        <is>
          <t>320.01.01.N034</t>
        </is>
      </c>
      <c r="B1613" s="40" t="inlineStr">
        <is>
          <t>Nutova Gıda San.Tic.Ltd.Şti.</t>
        </is>
      </c>
      <c r="C1613" s="40" t="inlineStr">
        <is>
          <t>TRY</t>
        </is>
      </c>
      <c r="D1613" s="40" t="inlineStr">
        <is>
          <t>ROYAL ALHAMBRA</t>
        </is>
      </c>
      <c r="E1613" s="38" t="n">
        <v>0</v>
      </c>
      <c r="F1613" s="38" t="n">
        <v>12120</v>
      </c>
      <c r="G1613" s="38" t="n">
        <v>-12120</v>
      </c>
      <c r="H1613" s="40" t="inlineStr">
        <is>
          <t>Alacak</t>
        </is>
      </c>
      <c r="I1613" s="38" t="n">
        <v>0</v>
      </c>
      <c r="J1613" s="38" t="n">
        <v>12120</v>
      </c>
      <c r="K1613" s="38" t="n">
        <v>-12120</v>
      </c>
      <c r="L1613" s="40" t="inlineStr">
        <is>
          <t>Alacak</t>
        </is>
      </c>
    </row>
    <row r="1614" s="34">
      <c r="A1614" s="40" t="inlineStr">
        <is>
          <t>320.01.01.N034</t>
        </is>
      </c>
      <c r="B1614" s="40" t="inlineStr">
        <is>
          <t>Nutova Gıda San.Tic.Ltd.Şti.</t>
        </is>
      </c>
      <c r="C1614" s="40" t="inlineStr">
        <is>
          <t>TRY</t>
        </is>
      </c>
      <c r="D1614" s="40" t="inlineStr">
        <is>
          <t>ROYAL HOLIDAY</t>
        </is>
      </c>
      <c r="E1614" s="38" t="n">
        <v>0</v>
      </c>
      <c r="F1614" s="38" t="n">
        <v>37168</v>
      </c>
      <c r="G1614" s="38" t="n">
        <v>-37168</v>
      </c>
      <c r="H1614" s="40" t="inlineStr">
        <is>
          <t>Alacak</t>
        </is>
      </c>
      <c r="I1614" s="38" t="n">
        <v>0</v>
      </c>
      <c r="J1614" s="38" t="n">
        <v>37168</v>
      </c>
      <c r="K1614" s="38" t="n">
        <v>-37168</v>
      </c>
      <c r="L1614" s="40" t="inlineStr">
        <is>
          <t>Alacak</t>
        </is>
      </c>
    </row>
    <row r="1615" s="34">
      <c r="A1615" s="40" t="inlineStr">
        <is>
          <t>320.01.01.N034</t>
        </is>
      </c>
      <c r="B1615" s="40" t="inlineStr">
        <is>
          <t>Nutova Gıda San.Tic.Ltd.Şti.</t>
        </is>
      </c>
      <c r="C1615" s="40" t="inlineStr">
        <is>
          <t>TRY</t>
        </is>
      </c>
      <c r="D1615" s="40" t="inlineStr">
        <is>
          <t>ROYAL SEGINUS</t>
        </is>
      </c>
      <c r="E1615" s="38" t="n">
        <v>0</v>
      </c>
      <c r="F1615" s="38" t="n">
        <v>26260</v>
      </c>
      <c r="G1615" s="38" t="n">
        <v>-26260</v>
      </c>
      <c r="H1615" s="40" t="inlineStr">
        <is>
          <t>Alacak</t>
        </is>
      </c>
      <c r="I1615" s="38" t="n">
        <v>0</v>
      </c>
      <c r="J1615" s="38" t="n">
        <v>26260</v>
      </c>
      <c r="K1615" s="38" t="n">
        <v>-26260</v>
      </c>
      <c r="L1615" s="40" t="inlineStr">
        <is>
          <t>Alacak</t>
        </is>
      </c>
    </row>
    <row r="1616" s="34">
      <c r="A1616" s="40" t="inlineStr">
        <is>
          <t>320.01.01.N034</t>
        </is>
      </c>
      <c r="B1616" s="40" t="inlineStr">
        <is>
          <t>Nutova Gıda San.Tic.Ltd.Şti.</t>
        </is>
      </c>
      <c r="C1616" s="40" t="inlineStr">
        <is>
          <t>TRY</t>
        </is>
      </c>
      <c r="D1616" s="40" t="inlineStr">
        <is>
          <t>SERTAŞ MERKEZ</t>
        </is>
      </c>
      <c r="E1616" s="38" t="n">
        <v>290476</v>
      </c>
      <c r="F1616" s="38" t="n">
        <v>0</v>
      </c>
      <c r="G1616" s="38" t="n">
        <v>290476</v>
      </c>
      <c r="H1616" s="40" t="inlineStr">
        <is>
          <t>Borç</t>
        </is>
      </c>
      <c r="I1616" s="38" t="n">
        <v>290476</v>
      </c>
      <c r="J1616" s="38" t="n">
        <v>0</v>
      </c>
      <c r="K1616" s="38" t="n">
        <v>290476</v>
      </c>
      <c r="L1616" s="40" t="inlineStr">
        <is>
          <t>Borç</t>
        </is>
      </c>
    </row>
    <row r="1617" s="34">
      <c r="A1617" s="40" t="inlineStr">
        <is>
          <t>320.01.01.N038</t>
        </is>
      </c>
      <c r="B1617" s="40" t="inlineStr">
        <is>
          <t>Nafi Işık</t>
        </is>
      </c>
      <c r="C1617" s="40" t="inlineStr">
        <is>
          <t>TRY</t>
        </is>
      </c>
      <c r="D1617" s="40" t="inlineStr">
        <is>
          <t>GİTAŞ MERKEZ</t>
        </is>
      </c>
      <c r="E1617" s="38" t="n">
        <v>7000</v>
      </c>
      <c r="F1617" s="38" t="n">
        <v>0</v>
      </c>
      <c r="G1617" s="38" t="n">
        <v>7000</v>
      </c>
      <c r="H1617" s="40" t="inlineStr">
        <is>
          <t>Borç</t>
        </is>
      </c>
      <c r="I1617" s="38" t="n">
        <v>7000</v>
      </c>
      <c r="J1617" s="38" t="n">
        <v>0</v>
      </c>
      <c r="K1617" s="38" t="n">
        <v>7000</v>
      </c>
      <c r="L1617" s="40" t="inlineStr">
        <is>
          <t>Borç</t>
        </is>
      </c>
    </row>
    <row r="1618" s="34">
      <c r="A1618" s="40" t="inlineStr">
        <is>
          <t>320.01.01.N039</t>
        </is>
      </c>
      <c r="B1618" s="40" t="inlineStr">
        <is>
          <t>Nursena Keklik</t>
        </is>
      </c>
      <c r="C1618" s="40" t="inlineStr">
        <is>
          <t>TRY</t>
        </is>
      </c>
      <c r="D1618" s="40" t="inlineStr">
        <is>
          <t>GİTAŞ MERKEZ</t>
        </is>
      </c>
      <c r="E1618" s="38" t="n">
        <v>272424</v>
      </c>
      <c r="F1618" s="38" t="n">
        <v>0</v>
      </c>
      <c r="G1618" s="38" t="n">
        <v>272424</v>
      </c>
      <c r="H1618" s="40" t="inlineStr">
        <is>
          <t>Borç</t>
        </is>
      </c>
      <c r="I1618" s="38" t="n">
        <v>272424</v>
      </c>
      <c r="J1618" s="38" t="n">
        <v>0</v>
      </c>
      <c r="K1618" s="38" t="n">
        <v>272424</v>
      </c>
      <c r="L1618" s="40" t="inlineStr">
        <is>
          <t>Borç</t>
        </is>
      </c>
    </row>
    <row r="1619" s="34">
      <c r="A1619" s="40" t="inlineStr">
        <is>
          <t>320.01.01.N039</t>
        </is>
      </c>
      <c r="B1619" s="40" t="inlineStr">
        <is>
          <t>Nursena Keklik</t>
        </is>
      </c>
      <c r="C1619" s="40" t="inlineStr">
        <is>
          <t>TRY</t>
        </is>
      </c>
      <c r="D1619" s="40" t="inlineStr">
        <is>
          <t>ROYAL ADAM EVE</t>
        </is>
      </c>
      <c r="E1619" s="38" t="n">
        <v>54000</v>
      </c>
      <c r="F1619" s="38" t="n">
        <v>54000</v>
      </c>
      <c r="G1619" s="38" t="n">
        <v>0</v>
      </c>
      <c r="I1619" s="38" t="n">
        <v>54000</v>
      </c>
      <c r="J1619" s="38" t="n">
        <v>54000</v>
      </c>
      <c r="K1619" s="38" t="n">
        <v>0</v>
      </c>
    </row>
    <row r="1620" s="34">
      <c r="A1620" s="40" t="inlineStr">
        <is>
          <t>320.01.01.N039</t>
        </is>
      </c>
      <c r="B1620" s="40" t="inlineStr">
        <is>
          <t>Nursena Keklik</t>
        </is>
      </c>
      <c r="C1620" s="40" t="inlineStr">
        <is>
          <t>TRY</t>
        </is>
      </c>
      <c r="D1620" s="40" t="inlineStr">
        <is>
          <t>ROYAL ALHAMBRA</t>
        </is>
      </c>
      <c r="E1620" s="38" t="n">
        <v>0</v>
      </c>
      <c r="F1620" s="38" t="n">
        <v>174024</v>
      </c>
      <c r="G1620" s="38" t="n">
        <v>-174024</v>
      </c>
      <c r="H1620" s="40" t="inlineStr">
        <is>
          <t>Alacak</t>
        </is>
      </c>
      <c r="I1620" s="38" t="n">
        <v>0</v>
      </c>
      <c r="J1620" s="38" t="n">
        <v>174024</v>
      </c>
      <c r="K1620" s="38" t="n">
        <v>-174024</v>
      </c>
      <c r="L1620" s="40" t="inlineStr">
        <is>
          <t>Alacak</t>
        </is>
      </c>
    </row>
    <row r="1621" s="34">
      <c r="A1621" s="40" t="inlineStr">
        <is>
          <t>320.01.01.N039</t>
        </is>
      </c>
      <c r="B1621" s="40" t="inlineStr">
        <is>
          <t>Nursena Keklik</t>
        </is>
      </c>
      <c r="C1621" s="40" t="inlineStr">
        <is>
          <t>TRY</t>
        </is>
      </c>
      <c r="D1621" s="40" t="inlineStr">
        <is>
          <t>ROYAL HOLIDAY</t>
        </is>
      </c>
      <c r="E1621" s="38" t="n">
        <v>0</v>
      </c>
      <c r="F1621" s="38" t="n">
        <v>21660</v>
      </c>
      <c r="G1621" s="38" t="n">
        <v>-21660</v>
      </c>
      <c r="H1621" s="40" t="inlineStr">
        <is>
          <t>Alacak</t>
        </is>
      </c>
      <c r="I1621" s="38" t="n">
        <v>0</v>
      </c>
      <c r="J1621" s="38" t="n">
        <v>21660</v>
      </c>
      <c r="K1621" s="38" t="n">
        <v>-21660</v>
      </c>
      <c r="L1621" s="40" t="inlineStr">
        <is>
          <t>Alacak</t>
        </is>
      </c>
    </row>
    <row r="1622" s="34">
      <c r="A1622" s="40" t="inlineStr">
        <is>
          <t>320.01.01.N039</t>
        </is>
      </c>
      <c r="B1622" s="40" t="inlineStr">
        <is>
          <t>Nursena Keklik</t>
        </is>
      </c>
      <c r="C1622" s="40" t="inlineStr">
        <is>
          <t>TRY</t>
        </is>
      </c>
      <c r="D1622" s="40" t="inlineStr">
        <is>
          <t>ROYAL SEGINUS</t>
        </is>
      </c>
      <c r="E1622" s="38" t="n">
        <v>0</v>
      </c>
      <c r="F1622" s="38" t="n">
        <v>30000</v>
      </c>
      <c r="G1622" s="38" t="n">
        <v>-30000</v>
      </c>
      <c r="H1622" s="40" t="inlineStr">
        <is>
          <t>Alacak</t>
        </is>
      </c>
      <c r="I1622" s="38" t="n">
        <v>0</v>
      </c>
      <c r="J1622" s="38" t="n">
        <v>30000</v>
      </c>
      <c r="K1622" s="38" t="n">
        <v>-30000</v>
      </c>
      <c r="L1622" s="40" t="inlineStr">
        <is>
          <t>Alacak</t>
        </is>
      </c>
    </row>
    <row r="1623" s="34">
      <c r="A1623" s="40" t="inlineStr">
        <is>
          <t>320.01.01.N039</t>
        </is>
      </c>
      <c r="B1623" s="40" t="inlineStr">
        <is>
          <t>Nursena Keklik</t>
        </is>
      </c>
      <c r="C1623" s="40" t="inlineStr">
        <is>
          <t>TRY</t>
        </is>
      </c>
      <c r="D1623" s="40" t="inlineStr">
        <is>
          <t>SERTAŞ MERKEZ</t>
        </is>
      </c>
      <c r="E1623" s="38" t="n">
        <v>51660</v>
      </c>
      <c r="F1623" s="38" t="n">
        <v>0</v>
      </c>
      <c r="G1623" s="38" t="n">
        <v>51660</v>
      </c>
      <c r="H1623" s="40" t="inlineStr">
        <is>
          <t>Borç</t>
        </is>
      </c>
      <c r="I1623" s="38" t="n">
        <v>51660</v>
      </c>
      <c r="J1623" s="38" t="n">
        <v>0</v>
      </c>
      <c r="K1623" s="38" t="n">
        <v>51660</v>
      </c>
      <c r="L1623" s="40" t="inlineStr">
        <is>
          <t>Borç</t>
        </is>
      </c>
    </row>
    <row r="1624" s="34">
      <c r="A1624" s="40" t="inlineStr">
        <is>
          <t>320.01.01.Ö003</t>
        </is>
      </c>
      <c r="B1624" s="40" t="inlineStr">
        <is>
          <t>Öncü Cankurtaran Malz. İş.Güv.Dnz.ve Kır. Mlz.Top.Paz.ve.Tic.Ltd.Şti.</t>
        </is>
      </c>
      <c r="C1624" s="40" t="inlineStr">
        <is>
          <t>TRY</t>
        </is>
      </c>
      <c r="D1624" s="40" t="inlineStr">
        <is>
          <t>GİTAŞ MERKEZ</t>
        </is>
      </c>
      <c r="E1624" s="38" t="n">
        <v>132628</v>
      </c>
      <c r="F1624" s="38" t="n">
        <v>0</v>
      </c>
      <c r="G1624" s="38" t="n">
        <v>132628</v>
      </c>
      <c r="H1624" s="40" t="inlineStr">
        <is>
          <t>Borç</t>
        </is>
      </c>
      <c r="I1624" s="38" t="n">
        <v>132628</v>
      </c>
      <c r="J1624" s="38" t="n">
        <v>0</v>
      </c>
      <c r="K1624" s="38" t="n">
        <v>132628</v>
      </c>
      <c r="L1624" s="40" t="inlineStr">
        <is>
          <t>Borç</t>
        </is>
      </c>
    </row>
    <row r="1625" s="34">
      <c r="A1625" s="40" t="inlineStr">
        <is>
          <t>320.01.01.Ö003</t>
        </is>
      </c>
      <c r="B1625" s="40" t="inlineStr">
        <is>
          <t>Öncü Cankurtaran Malz. İş.Güv.Dnz.ve Kır. Mlz.Top.Paz.ve.Tic.Ltd.Şti.</t>
        </is>
      </c>
      <c r="C1625" s="40" t="inlineStr">
        <is>
          <t>TRY</t>
        </is>
      </c>
      <c r="D1625" s="40" t="inlineStr">
        <is>
          <t>ROYAL ADAM EVE</t>
        </is>
      </c>
      <c r="E1625" s="38" t="n">
        <v>35123</v>
      </c>
      <c r="F1625" s="38" t="n">
        <v>0</v>
      </c>
      <c r="G1625" s="38" t="n">
        <v>35123</v>
      </c>
      <c r="H1625" s="40" t="inlineStr">
        <is>
          <t>Borç</t>
        </is>
      </c>
      <c r="I1625" s="38" t="n">
        <v>35123</v>
      </c>
      <c r="J1625" s="38" t="n">
        <v>0</v>
      </c>
      <c r="K1625" s="38" t="n">
        <v>35123</v>
      </c>
      <c r="L1625" s="40" t="inlineStr">
        <is>
          <t>Borç</t>
        </is>
      </c>
    </row>
    <row r="1626" s="34">
      <c r="A1626" s="40" t="inlineStr">
        <is>
          <t>320.01.01.Ö003</t>
        </is>
      </c>
      <c r="B1626" s="40" t="inlineStr">
        <is>
          <t>Öncü Cankurtaran Malz. İş.Güv.Dnz.ve Kır. Mlz.Top.Paz.ve.Tic.Ltd.Şti.</t>
        </is>
      </c>
      <c r="C1626" s="40" t="inlineStr">
        <is>
          <t>TRY</t>
        </is>
      </c>
      <c r="D1626" s="40" t="inlineStr">
        <is>
          <t>SERTAŞ MERKEZ</t>
        </is>
      </c>
      <c r="E1626" s="38" t="n">
        <v>3287</v>
      </c>
      <c r="F1626" s="38" t="n">
        <v>0</v>
      </c>
      <c r="G1626" s="38" t="n">
        <v>3287</v>
      </c>
      <c r="H1626" s="40" t="inlineStr">
        <is>
          <t>Borç</t>
        </is>
      </c>
      <c r="I1626" s="38" t="n">
        <v>3287</v>
      </c>
      <c r="J1626" s="38" t="n">
        <v>0</v>
      </c>
      <c r="K1626" s="38" t="n">
        <v>3287</v>
      </c>
      <c r="L1626" s="40" t="inlineStr">
        <is>
          <t>Borç</t>
        </is>
      </c>
    </row>
    <row r="1627" s="34">
      <c r="A1627" s="40" t="inlineStr">
        <is>
          <t>320.01.01.O011</t>
        </is>
      </c>
      <c r="B1627" s="40" t="inlineStr">
        <is>
          <t>Omat Gıda Dağt.Paz.Ve Tic.A.Ş.</t>
        </is>
      </c>
      <c r="C1627" s="40" t="inlineStr">
        <is>
          <t>TRY</t>
        </is>
      </c>
      <c r="D1627" s="40" t="inlineStr">
        <is>
          <t>GİTAŞ MERKEZ</t>
        </is>
      </c>
      <c r="E1627" s="38" t="n">
        <v>407129.39</v>
      </c>
      <c r="F1627" s="38" t="n">
        <v>0</v>
      </c>
      <c r="G1627" s="38" t="n">
        <v>407129.39</v>
      </c>
      <c r="H1627" s="40" t="inlineStr">
        <is>
          <t>Borç</t>
        </is>
      </c>
      <c r="I1627" s="38" t="n">
        <v>407129.39</v>
      </c>
      <c r="J1627" s="38" t="n">
        <v>0</v>
      </c>
      <c r="K1627" s="38" t="n">
        <v>407129.39</v>
      </c>
      <c r="L1627" s="40" t="inlineStr">
        <is>
          <t>Borç</t>
        </is>
      </c>
    </row>
    <row r="1628" s="34">
      <c r="A1628" s="40" t="inlineStr">
        <is>
          <t>320.01.01.O011</t>
        </is>
      </c>
      <c r="B1628" s="40" t="inlineStr">
        <is>
          <t>Omat Gıda Dağt.Paz.Ve Tic.A.Ş.</t>
        </is>
      </c>
      <c r="C1628" s="40" t="inlineStr">
        <is>
          <t>TRY</t>
        </is>
      </c>
      <c r="D1628" s="40" t="inlineStr">
        <is>
          <t>ROYAL ADAM EVE</t>
        </is>
      </c>
      <c r="E1628" s="38" t="n">
        <v>248718.72</v>
      </c>
      <c r="F1628" s="38" t="n">
        <v>124466.07</v>
      </c>
      <c r="G1628" s="38" t="n">
        <v>124252.65</v>
      </c>
      <c r="H1628" s="40" t="inlineStr">
        <is>
          <t>Borç</t>
        </is>
      </c>
      <c r="I1628" s="38" t="n">
        <v>248718.72</v>
      </c>
      <c r="J1628" s="38" t="n">
        <v>124466.07</v>
      </c>
      <c r="K1628" s="38" t="n">
        <v>124252.65</v>
      </c>
      <c r="L1628" s="40" t="inlineStr">
        <is>
          <t>Borç</t>
        </is>
      </c>
    </row>
    <row r="1629" s="34">
      <c r="A1629" s="40" t="inlineStr">
        <is>
          <t>320.01.01.O011</t>
        </is>
      </c>
      <c r="B1629" s="40" t="inlineStr">
        <is>
          <t>Omat Gıda Dağt.Paz.Ve Tic.A.Ş.</t>
        </is>
      </c>
      <c r="C1629" s="40" t="inlineStr">
        <is>
          <t>TRY</t>
        </is>
      </c>
      <c r="D1629" s="40" t="inlineStr">
        <is>
          <t>ROYAL ALHAMBRA</t>
        </is>
      </c>
      <c r="E1629" s="38" t="n">
        <v>0</v>
      </c>
      <c r="F1629" s="38" t="n">
        <v>157518.59</v>
      </c>
      <c r="G1629" s="38" t="n">
        <v>-157518.59</v>
      </c>
      <c r="H1629" s="40" t="inlineStr">
        <is>
          <t>Alacak</t>
        </is>
      </c>
      <c r="I1629" s="38" t="n">
        <v>0</v>
      </c>
      <c r="J1629" s="38" t="n">
        <v>157518.59</v>
      </c>
      <c r="K1629" s="38" t="n">
        <v>-157518.59</v>
      </c>
      <c r="L1629" s="40" t="inlineStr">
        <is>
          <t>Alacak</t>
        </is>
      </c>
    </row>
    <row r="1630" s="34">
      <c r="A1630" s="40" t="inlineStr">
        <is>
          <t>320.01.01.O011</t>
        </is>
      </c>
      <c r="B1630" s="40" t="inlineStr">
        <is>
          <t>Omat Gıda Dağt.Paz.Ve Tic.A.Ş.</t>
        </is>
      </c>
      <c r="C1630" s="40" t="inlineStr">
        <is>
          <t>TRY</t>
        </is>
      </c>
      <c r="D1630" s="40" t="inlineStr">
        <is>
          <t>ROYAL DRAGON</t>
        </is>
      </c>
      <c r="E1630" s="38" t="n">
        <v>0</v>
      </c>
      <c r="F1630" s="38" t="n">
        <v>90327.82000000001</v>
      </c>
      <c r="G1630" s="38" t="n">
        <v>-90327.82000000001</v>
      </c>
      <c r="H1630" s="40" t="inlineStr">
        <is>
          <t>Alacak</t>
        </is>
      </c>
      <c r="I1630" s="38" t="n">
        <v>0</v>
      </c>
      <c r="J1630" s="38" t="n">
        <v>90327.82000000001</v>
      </c>
      <c r="K1630" s="38" t="n">
        <v>-90327.82000000001</v>
      </c>
      <c r="L1630" s="40" t="inlineStr">
        <is>
          <t>Alacak</t>
        </is>
      </c>
    </row>
    <row r="1631" s="34">
      <c r="A1631" s="40" t="inlineStr">
        <is>
          <t>320.01.01.O011</t>
        </is>
      </c>
      <c r="B1631" s="40" t="inlineStr">
        <is>
          <t>Omat Gıda Dağt.Paz.Ve Tic.A.Ş.</t>
        </is>
      </c>
      <c r="C1631" s="40" t="inlineStr">
        <is>
          <t>TRY</t>
        </is>
      </c>
      <c r="D1631" s="40" t="inlineStr">
        <is>
          <t>ROYAL HOLIDAY</t>
        </is>
      </c>
      <c r="E1631" s="38" t="n">
        <v>0</v>
      </c>
      <c r="F1631" s="38" t="n">
        <v>88570.94</v>
      </c>
      <c r="G1631" s="38" t="n">
        <v>-88570.94</v>
      </c>
      <c r="H1631" s="40" t="inlineStr">
        <is>
          <t>Alacak</t>
        </is>
      </c>
      <c r="I1631" s="38" t="n">
        <v>0</v>
      </c>
      <c r="J1631" s="38" t="n">
        <v>88570.94</v>
      </c>
      <c r="K1631" s="38" t="n">
        <v>-88570.94</v>
      </c>
      <c r="L1631" s="40" t="inlineStr">
        <is>
          <t>Alacak</t>
        </is>
      </c>
    </row>
    <row r="1632" s="34">
      <c r="A1632" s="40" t="inlineStr">
        <is>
          <t>320.01.01.O011</t>
        </is>
      </c>
      <c r="B1632" s="40" t="inlineStr">
        <is>
          <t>Omat Gıda Dağt.Paz.Ve Tic.A.Ş.</t>
        </is>
      </c>
      <c r="C1632" s="40" t="inlineStr">
        <is>
          <t>TRY</t>
        </is>
      </c>
      <c r="D1632" s="40" t="inlineStr">
        <is>
          <t>ROYAL SEGINUS</t>
        </is>
      </c>
      <c r="E1632" s="38" t="n">
        <v>0</v>
      </c>
      <c r="F1632" s="38" t="n">
        <v>195419.41</v>
      </c>
      <c r="G1632" s="38" t="n">
        <v>-195419.41</v>
      </c>
      <c r="H1632" s="40" t="inlineStr">
        <is>
          <t>Alacak</t>
        </is>
      </c>
      <c r="I1632" s="38" t="n">
        <v>0</v>
      </c>
      <c r="J1632" s="38" t="n">
        <v>195419.41</v>
      </c>
      <c r="K1632" s="38" t="n">
        <v>-195419.41</v>
      </c>
      <c r="L1632" s="40" t="inlineStr">
        <is>
          <t>Alacak</t>
        </is>
      </c>
    </row>
    <row r="1633" s="34">
      <c r="A1633" s="40" t="inlineStr">
        <is>
          <t>320.01.01.O011</t>
        </is>
      </c>
      <c r="B1633" s="40" t="inlineStr">
        <is>
          <t>Omat Gıda Dağt.Paz.Ve Tic.A.Ş.</t>
        </is>
      </c>
      <c r="C1633" s="40" t="inlineStr">
        <is>
          <t>TRY</t>
        </is>
      </c>
      <c r="D1633" s="40" t="inlineStr">
        <is>
          <t>SERTAŞ MERKEZ</t>
        </is>
      </c>
      <c r="E1633" s="38" t="n">
        <v>640842.74</v>
      </c>
      <c r="F1633" s="38" t="n">
        <v>0</v>
      </c>
      <c r="G1633" s="38" t="n">
        <v>640842.74</v>
      </c>
      <c r="H1633" s="40" t="inlineStr">
        <is>
          <t>Borç</t>
        </is>
      </c>
      <c r="I1633" s="38" t="n">
        <v>640842.74</v>
      </c>
      <c r="J1633" s="38" t="n">
        <v>0</v>
      </c>
      <c r="K1633" s="38" t="n">
        <v>640842.74</v>
      </c>
      <c r="L1633" s="40" t="inlineStr">
        <is>
          <t>Borç</t>
        </is>
      </c>
    </row>
    <row r="1634" s="34">
      <c r="A1634" s="40" t="inlineStr">
        <is>
          <t>320.01.01.Ö012</t>
        </is>
      </c>
      <c r="B1634" s="40" t="inlineStr">
        <is>
          <t>Ömer Günan</t>
        </is>
      </c>
      <c r="C1634" s="40" t="inlineStr">
        <is>
          <t>TRY</t>
        </is>
      </c>
      <c r="D1634" s="40" t="inlineStr">
        <is>
          <t>GİTAŞ MERKEZ</t>
        </is>
      </c>
      <c r="E1634" s="38" t="n">
        <v>13200</v>
      </c>
      <c r="F1634" s="38" t="n">
        <v>0</v>
      </c>
      <c r="G1634" s="38" t="n">
        <v>13200</v>
      </c>
      <c r="H1634" s="40" t="inlineStr">
        <is>
          <t>Borç</t>
        </is>
      </c>
      <c r="I1634" s="38" t="n">
        <v>13200</v>
      </c>
      <c r="J1634" s="38" t="n">
        <v>0</v>
      </c>
      <c r="K1634" s="38" t="n">
        <v>13200</v>
      </c>
      <c r="L1634" s="40" t="inlineStr">
        <is>
          <t>Borç</t>
        </is>
      </c>
    </row>
    <row r="1635" s="34">
      <c r="A1635" s="40" t="inlineStr">
        <is>
          <t>320.01.01.Ö012</t>
        </is>
      </c>
      <c r="B1635" s="40" t="inlineStr">
        <is>
          <t>Ömer Günan</t>
        </is>
      </c>
      <c r="C1635" s="40" t="inlineStr">
        <is>
          <t>TRY</t>
        </is>
      </c>
      <c r="D1635" s="40" t="inlineStr">
        <is>
          <t>ROYAL DRAGON</t>
        </is>
      </c>
      <c r="E1635" s="38" t="n">
        <v>0</v>
      </c>
      <c r="F1635" s="38" t="n">
        <v>13200</v>
      </c>
      <c r="G1635" s="38" t="n">
        <v>-13200</v>
      </c>
      <c r="H1635" s="40" t="inlineStr">
        <is>
          <t>Alacak</t>
        </is>
      </c>
      <c r="I1635" s="38" t="n">
        <v>0</v>
      </c>
      <c r="J1635" s="38" t="n">
        <v>13200</v>
      </c>
      <c r="K1635" s="38" t="n">
        <v>-13200</v>
      </c>
      <c r="L1635" s="40" t="inlineStr">
        <is>
          <t>Alacak</t>
        </is>
      </c>
    </row>
    <row r="1636" s="34">
      <c r="A1636" s="40" t="inlineStr">
        <is>
          <t>320.01.01.O013</t>
        </is>
      </c>
      <c r="B1636" s="40" t="inlineStr">
        <is>
          <t>Oted Gıda Dağ. Paz. San ve Tic.A.ş.</t>
        </is>
      </c>
      <c r="C1636" s="40" t="inlineStr">
        <is>
          <t>TRY</t>
        </is>
      </c>
      <c r="D1636" s="40" t="inlineStr">
        <is>
          <t>ROYAL ADAM EVE</t>
        </is>
      </c>
      <c r="E1636" s="38" t="n">
        <v>3272.4</v>
      </c>
      <c r="F1636" s="38" t="n">
        <v>0</v>
      </c>
      <c r="G1636" s="38" t="n">
        <v>3272.4</v>
      </c>
      <c r="H1636" s="40" t="inlineStr">
        <is>
          <t>Borç</t>
        </is>
      </c>
      <c r="I1636" s="38" t="n">
        <v>3272.4</v>
      </c>
      <c r="J1636" s="38" t="n">
        <v>0</v>
      </c>
      <c r="K1636" s="38" t="n">
        <v>3272.4</v>
      </c>
      <c r="L1636" s="40" t="inlineStr">
        <is>
          <t>Borç</t>
        </is>
      </c>
    </row>
    <row r="1637" s="34">
      <c r="A1637" s="40" t="inlineStr">
        <is>
          <t>320.01.01.O013</t>
        </is>
      </c>
      <c r="B1637" s="40" t="inlineStr">
        <is>
          <t>Oted Gıda Dağ. Paz. San ve Tic.A.ş.</t>
        </is>
      </c>
      <c r="C1637" s="40" t="inlineStr">
        <is>
          <t>TRY</t>
        </is>
      </c>
      <c r="D1637" s="40" t="inlineStr">
        <is>
          <t>ROYAL DRAGON</t>
        </is>
      </c>
      <c r="E1637" s="38" t="n">
        <v>0</v>
      </c>
      <c r="F1637" s="38" t="n">
        <v>11198.88</v>
      </c>
      <c r="G1637" s="38" t="n">
        <v>-11198.88</v>
      </c>
      <c r="H1637" s="40" t="inlineStr">
        <is>
          <t>Alacak</t>
        </is>
      </c>
      <c r="I1637" s="38" t="n">
        <v>0</v>
      </c>
      <c r="J1637" s="38" t="n">
        <v>11198.88</v>
      </c>
      <c r="K1637" s="38" t="n">
        <v>-11198.88</v>
      </c>
      <c r="L1637" s="40" t="inlineStr">
        <is>
          <t>Alacak</t>
        </is>
      </c>
    </row>
    <row r="1638" s="34">
      <c r="A1638" s="40" t="inlineStr">
        <is>
          <t>320.01.01.O023</t>
        </is>
      </c>
      <c r="B1638" s="40" t="inlineStr">
        <is>
          <t>Opet PeTRolcülük A.Ş.</t>
        </is>
      </c>
      <c r="C1638" s="40" t="inlineStr">
        <is>
          <t>TRY</t>
        </is>
      </c>
      <c r="D1638" s="40" t="inlineStr">
        <is>
          <t>GİTAŞ MERKEZ</t>
        </is>
      </c>
      <c r="E1638" s="38" t="n">
        <v>455096.3</v>
      </c>
      <c r="F1638" s="38" t="n">
        <v>0.01</v>
      </c>
      <c r="G1638" s="38" t="n">
        <v>455096.29</v>
      </c>
      <c r="H1638" s="40" t="inlineStr">
        <is>
          <t>Borç</t>
        </is>
      </c>
      <c r="I1638" s="38" t="n">
        <v>455096.3</v>
      </c>
      <c r="J1638" s="38" t="n">
        <v>0.01</v>
      </c>
      <c r="K1638" s="38" t="n">
        <v>455096.29</v>
      </c>
      <c r="L1638" s="40" t="inlineStr">
        <is>
          <t>Borç</t>
        </is>
      </c>
    </row>
    <row r="1639" s="34">
      <c r="A1639" s="40" t="inlineStr">
        <is>
          <t>320.01.01.O023</t>
        </is>
      </c>
      <c r="B1639" s="40" t="inlineStr">
        <is>
          <t>Opet PeTRolcülük A.Ş.</t>
        </is>
      </c>
      <c r="C1639" s="40" t="inlineStr">
        <is>
          <t>TRY</t>
        </is>
      </c>
      <c r="D1639" s="40" t="inlineStr">
        <is>
          <t>ROYAL ADAM EVE</t>
        </is>
      </c>
      <c r="E1639" s="38" t="n">
        <v>575355.9</v>
      </c>
      <c r="F1639" s="38" t="n">
        <v>280384.03</v>
      </c>
      <c r="G1639" s="38" t="n">
        <v>294971.87</v>
      </c>
      <c r="H1639" s="40" t="inlineStr">
        <is>
          <t>Borç</t>
        </is>
      </c>
      <c r="I1639" s="38" t="n">
        <v>575355.9</v>
      </c>
      <c r="J1639" s="38" t="n">
        <v>280384.03</v>
      </c>
      <c r="K1639" s="38" t="n">
        <v>294971.87</v>
      </c>
      <c r="L1639" s="40" t="inlineStr">
        <is>
          <t>Borç</t>
        </is>
      </c>
    </row>
    <row r="1640" s="34">
      <c r="A1640" s="40" t="inlineStr">
        <is>
          <t>320.01.01.O023</t>
        </is>
      </c>
      <c r="B1640" s="40" t="inlineStr">
        <is>
          <t>Opet PeTRolcülük A.Ş.</t>
        </is>
      </c>
      <c r="C1640" s="40" t="inlineStr">
        <is>
          <t>TRY</t>
        </is>
      </c>
      <c r="D1640" s="40" t="inlineStr">
        <is>
          <t>SERTAŞ MERKEZ</t>
        </is>
      </c>
      <c r="E1640" s="38" t="n">
        <v>70832.97</v>
      </c>
      <c r="F1640" s="38" t="n">
        <v>0</v>
      </c>
      <c r="G1640" s="38" t="n">
        <v>70832.97</v>
      </c>
      <c r="H1640" s="40" t="inlineStr">
        <is>
          <t>Borç</t>
        </is>
      </c>
      <c r="I1640" s="38" t="n">
        <v>70832.97</v>
      </c>
      <c r="J1640" s="38" t="n">
        <v>0</v>
      </c>
      <c r="K1640" s="38" t="n">
        <v>70832.97</v>
      </c>
      <c r="L1640" s="40" t="inlineStr">
        <is>
          <t>Borç</t>
        </is>
      </c>
    </row>
    <row r="1641" s="34">
      <c r="A1641" s="40" t="inlineStr">
        <is>
          <t>320.01.01.O025</t>
        </is>
      </c>
      <c r="B1641" s="40" t="inlineStr">
        <is>
          <t>Opus Art Organizasyon Tur.Ve Tic.Ltd.Şti</t>
        </is>
      </c>
      <c r="C1641" s="40" t="inlineStr">
        <is>
          <t>TRY</t>
        </is>
      </c>
      <c r="D1641" s="40" t="inlineStr">
        <is>
          <t>GİTAŞ MERKEZ</t>
        </is>
      </c>
      <c r="E1641" s="38" t="n">
        <v>596034</v>
      </c>
      <c r="F1641" s="38" t="n">
        <v>0</v>
      </c>
      <c r="G1641" s="38" t="n">
        <v>596034</v>
      </c>
      <c r="H1641" s="40" t="inlineStr">
        <is>
          <t>Borç</t>
        </is>
      </c>
      <c r="I1641" s="38" t="n">
        <v>596034</v>
      </c>
      <c r="J1641" s="38" t="n">
        <v>0</v>
      </c>
      <c r="K1641" s="38" t="n">
        <v>596034</v>
      </c>
      <c r="L1641" s="40" t="inlineStr">
        <is>
          <t>Borç</t>
        </is>
      </c>
    </row>
    <row r="1642" s="34">
      <c r="A1642" s="40" t="inlineStr">
        <is>
          <t>320.01.01.O025</t>
        </is>
      </c>
      <c r="B1642" s="40" t="inlineStr">
        <is>
          <t>Opus Art Organizasyon Tur.Ve Tic.Ltd.Şti</t>
        </is>
      </c>
      <c r="C1642" s="40" t="inlineStr">
        <is>
          <t>TRY</t>
        </is>
      </c>
      <c r="D1642" s="40" t="inlineStr">
        <is>
          <t>ROYAL ADAM EVE</t>
        </is>
      </c>
      <c r="E1642" s="38" t="n">
        <v>94027.2</v>
      </c>
      <c r="F1642" s="38" t="n">
        <v>0</v>
      </c>
      <c r="G1642" s="38" t="n">
        <v>94027.2</v>
      </c>
      <c r="H1642" s="40" t="inlineStr">
        <is>
          <t>Borç</t>
        </is>
      </c>
      <c r="I1642" s="38" t="n">
        <v>94027.2</v>
      </c>
      <c r="J1642" s="38" t="n">
        <v>0</v>
      </c>
      <c r="K1642" s="38" t="n">
        <v>94027.2</v>
      </c>
      <c r="L1642" s="40" t="inlineStr">
        <is>
          <t>Borç</t>
        </is>
      </c>
    </row>
    <row r="1643" s="34">
      <c r="A1643" s="40" t="inlineStr">
        <is>
          <t>320.01.01.O025</t>
        </is>
      </c>
      <c r="B1643" s="40" t="inlineStr">
        <is>
          <t>Opus Art Organizasyon Tur.Ve Tic.Ltd.Şti</t>
        </is>
      </c>
      <c r="C1643" s="40" t="inlineStr">
        <is>
          <t>TRY</t>
        </is>
      </c>
      <c r="D1643" s="40" t="inlineStr">
        <is>
          <t>SERTAŞ MERKEZ</t>
        </is>
      </c>
      <c r="E1643" s="38" t="n">
        <v>894790.8</v>
      </c>
      <c r="F1643" s="38" t="n">
        <v>0</v>
      </c>
      <c r="G1643" s="38" t="n">
        <v>894790.8</v>
      </c>
      <c r="H1643" s="40" t="inlineStr">
        <is>
          <t>Borç</t>
        </is>
      </c>
      <c r="I1643" s="38" t="n">
        <v>894790.8</v>
      </c>
      <c r="J1643" s="38" t="n">
        <v>0</v>
      </c>
      <c r="K1643" s="38" t="n">
        <v>894790.8</v>
      </c>
      <c r="L1643" s="40" t="inlineStr">
        <is>
          <t>Borç</t>
        </is>
      </c>
    </row>
    <row r="1644" s="34">
      <c r="A1644" s="40" t="inlineStr">
        <is>
          <t>320.01.01.O055</t>
        </is>
      </c>
      <c r="B1644" s="40" t="inlineStr">
        <is>
          <t>Oz Burak Gıda Tur.İnş.Ltd.Şti.</t>
        </is>
      </c>
      <c r="C1644" s="40" t="inlineStr">
        <is>
          <t>TRY</t>
        </is>
      </c>
      <c r="D1644" s="40" t="inlineStr">
        <is>
          <t>GİTAŞ MERKEZ</t>
        </is>
      </c>
      <c r="E1644" s="38" t="n">
        <v>5302.5</v>
      </c>
      <c r="F1644" s="38" t="n">
        <v>0</v>
      </c>
      <c r="G1644" s="38" t="n">
        <v>5302.5</v>
      </c>
      <c r="H1644" s="40" t="inlineStr">
        <is>
          <t>Borç</t>
        </is>
      </c>
      <c r="I1644" s="38" t="n">
        <v>5302.5</v>
      </c>
      <c r="J1644" s="38" t="n">
        <v>0</v>
      </c>
      <c r="K1644" s="38" t="n">
        <v>5302.5</v>
      </c>
      <c r="L1644" s="40" t="inlineStr">
        <is>
          <t>Borç</t>
        </is>
      </c>
    </row>
    <row r="1645" s="34">
      <c r="A1645" s="40" t="inlineStr">
        <is>
          <t>320.01.01.O056</t>
        </is>
      </c>
      <c r="B1645" s="40" t="inlineStr">
        <is>
          <t>Ozbek Spor Malzemeleri İth.Ve Tic.Ltd.Şt</t>
        </is>
      </c>
      <c r="C1645" s="40" t="inlineStr">
        <is>
          <t>TRY</t>
        </is>
      </c>
      <c r="D1645" s="40" t="inlineStr">
        <is>
          <t>GİTAŞ MERKEZ</t>
        </is>
      </c>
      <c r="E1645" s="38" t="n">
        <v>4110</v>
      </c>
      <c r="F1645" s="38" t="n">
        <v>0</v>
      </c>
      <c r="G1645" s="38" t="n">
        <v>4110</v>
      </c>
      <c r="H1645" s="40" t="inlineStr">
        <is>
          <t>Borç</t>
        </is>
      </c>
      <c r="I1645" s="38" t="n">
        <v>4110</v>
      </c>
      <c r="J1645" s="38" t="n">
        <v>0</v>
      </c>
      <c r="K1645" s="38" t="n">
        <v>4110</v>
      </c>
      <c r="L1645" s="40" t="inlineStr">
        <is>
          <t>Borç</t>
        </is>
      </c>
    </row>
    <row r="1646" s="34">
      <c r="A1646" s="40" t="inlineStr">
        <is>
          <t>320.01.01.O056</t>
        </is>
      </c>
      <c r="B1646" s="40" t="inlineStr">
        <is>
          <t>Ozbek Spor Malzemeleri İth.Ve Tic.Ltd.Şt</t>
        </is>
      </c>
      <c r="C1646" s="40" t="inlineStr">
        <is>
          <t>TRY</t>
        </is>
      </c>
      <c r="D1646" s="40" t="inlineStr">
        <is>
          <t>SERTAŞ MERKEZ</t>
        </is>
      </c>
      <c r="E1646" s="38" t="n">
        <v>24000</v>
      </c>
      <c r="F1646" s="38" t="n">
        <v>0</v>
      </c>
      <c r="G1646" s="38" t="n">
        <v>24000</v>
      </c>
      <c r="H1646" s="40" t="inlineStr">
        <is>
          <t>Borç</t>
        </is>
      </c>
      <c r="I1646" s="38" t="n">
        <v>24000</v>
      </c>
      <c r="J1646" s="38" t="n">
        <v>0</v>
      </c>
      <c r="K1646" s="38" t="n">
        <v>24000</v>
      </c>
      <c r="L1646" s="40" t="inlineStr">
        <is>
          <t>Borç</t>
        </is>
      </c>
    </row>
    <row r="1647" s="34">
      <c r="A1647" s="40" t="inlineStr">
        <is>
          <t>320.01.01.O061</t>
        </is>
      </c>
      <c r="B1647" s="40" t="inlineStr">
        <is>
          <t>Ozelevent Turizm Organizasyon Ltd.Şti.</t>
        </is>
      </c>
      <c r="C1647" s="40" t="inlineStr">
        <is>
          <t>TRY</t>
        </is>
      </c>
      <c r="D1647" s="40" t="inlineStr">
        <is>
          <t>GİTAŞ MERKEZ</t>
        </is>
      </c>
      <c r="E1647" s="38" t="n">
        <v>621532.08</v>
      </c>
      <c r="F1647" s="38" t="n">
        <v>0</v>
      </c>
      <c r="G1647" s="38" t="n">
        <v>621532.08</v>
      </c>
      <c r="H1647" s="40" t="inlineStr">
        <is>
          <t>Borç</t>
        </is>
      </c>
      <c r="I1647" s="38" t="n">
        <v>11700</v>
      </c>
      <c r="J1647" s="38" t="n">
        <v>0</v>
      </c>
      <c r="K1647" s="38" t="n">
        <v>11700</v>
      </c>
      <c r="L1647" s="40" t="inlineStr">
        <is>
          <t>Borç</t>
        </is>
      </c>
    </row>
    <row r="1648" s="34">
      <c r="A1648" s="40" t="inlineStr">
        <is>
          <t>320.01.01.O061</t>
        </is>
      </c>
      <c r="B1648" s="40" t="inlineStr">
        <is>
          <t>Ozelevent Turizm Organizasyon Ltd.Şti.</t>
        </is>
      </c>
      <c r="C1648" s="40" t="inlineStr">
        <is>
          <t>TRY</t>
        </is>
      </c>
      <c r="D1648" s="40" t="inlineStr">
        <is>
          <t>SERTAŞ MERKEZ</t>
        </is>
      </c>
      <c r="E1648" s="38" t="n">
        <v>717752.45</v>
      </c>
      <c r="F1648" s="38" t="n">
        <v>0</v>
      </c>
      <c r="G1648" s="38" t="n">
        <v>717752.45</v>
      </c>
      <c r="H1648" s="40" t="inlineStr">
        <is>
          <t>Borç</t>
        </is>
      </c>
      <c r="I1648" s="38" t="n">
        <v>13440</v>
      </c>
      <c r="J1648" s="38" t="n">
        <v>0</v>
      </c>
      <c r="K1648" s="38" t="n">
        <v>13440</v>
      </c>
      <c r="L1648" s="40" t="inlineStr">
        <is>
          <t>Borç</t>
        </is>
      </c>
    </row>
    <row r="1649" s="34">
      <c r="A1649" s="40" t="inlineStr">
        <is>
          <t>320.01.01.O067</t>
        </is>
      </c>
      <c r="B1649" s="40" t="inlineStr">
        <is>
          <t>Ozgun Islak Hacim Ekipm..Tic.Ltd.Şti.</t>
        </is>
      </c>
      <c r="C1649" s="40" t="inlineStr">
        <is>
          <t>TRY</t>
        </is>
      </c>
      <c r="D1649" s="40" t="inlineStr">
        <is>
          <t>GİTAŞ MERKEZ</t>
        </is>
      </c>
      <c r="E1649" s="38" t="n">
        <v>47998.08</v>
      </c>
      <c r="F1649" s="38" t="n">
        <v>0</v>
      </c>
      <c r="G1649" s="38" t="n">
        <v>47998.08</v>
      </c>
      <c r="H1649" s="40" t="inlineStr">
        <is>
          <t>Borç</t>
        </is>
      </c>
      <c r="I1649" s="38" t="n">
        <v>47998.08</v>
      </c>
      <c r="J1649" s="38" t="n">
        <v>0</v>
      </c>
      <c r="K1649" s="38" t="n">
        <v>47998.08</v>
      </c>
      <c r="L1649" s="40" t="inlineStr">
        <is>
          <t>Borç</t>
        </is>
      </c>
    </row>
    <row r="1650" s="34">
      <c r="A1650" s="40" t="inlineStr">
        <is>
          <t>320.01.01.O067</t>
        </is>
      </c>
      <c r="B1650" s="40" t="inlineStr">
        <is>
          <t>Ozgun Islak Hacim Ekipm..Tic.Ltd.Şti.</t>
        </is>
      </c>
      <c r="C1650" s="40" t="inlineStr">
        <is>
          <t>TRY</t>
        </is>
      </c>
      <c r="D1650" s="40" t="inlineStr">
        <is>
          <t>ROYAL ADAM EVE</t>
        </is>
      </c>
      <c r="E1650" s="38" t="n">
        <v>62556.07</v>
      </c>
      <c r="F1650" s="38" t="n">
        <v>10180.45</v>
      </c>
      <c r="G1650" s="38" t="n">
        <v>52375.62</v>
      </c>
      <c r="H1650" s="40" t="inlineStr">
        <is>
          <t>Borç</t>
        </is>
      </c>
      <c r="I1650" s="38" t="n">
        <v>62556.07</v>
      </c>
      <c r="J1650" s="38" t="n">
        <v>10180.45</v>
      </c>
      <c r="K1650" s="38" t="n">
        <v>52375.62</v>
      </c>
      <c r="L1650" s="40" t="inlineStr">
        <is>
          <t>Borç</t>
        </is>
      </c>
    </row>
    <row r="1651" s="34">
      <c r="A1651" s="40" t="inlineStr">
        <is>
          <t>320.01.01.O067</t>
        </is>
      </c>
      <c r="B1651" s="40" t="inlineStr">
        <is>
          <t>Ozgun Islak Hacim Ekipm..Tic.Ltd.Şti.</t>
        </is>
      </c>
      <c r="C1651" s="40" t="inlineStr">
        <is>
          <t>TRY</t>
        </is>
      </c>
      <c r="D1651" s="40" t="inlineStr">
        <is>
          <t>ROYAL ALHAMBRA</t>
        </is>
      </c>
      <c r="E1651" s="38" t="n">
        <v>0</v>
      </c>
      <c r="F1651" s="38" t="n">
        <v>9849</v>
      </c>
      <c r="G1651" s="38" t="n">
        <v>-9849</v>
      </c>
      <c r="H1651" s="40" t="inlineStr">
        <is>
          <t>Alacak</t>
        </is>
      </c>
      <c r="I1651" s="38" t="n">
        <v>0</v>
      </c>
      <c r="J1651" s="38" t="n">
        <v>9849</v>
      </c>
      <c r="K1651" s="38" t="n">
        <v>-9849</v>
      </c>
      <c r="L1651" s="40" t="inlineStr">
        <is>
          <t>Alacak</t>
        </is>
      </c>
    </row>
    <row r="1652" s="34">
      <c r="A1652" s="40" t="inlineStr">
        <is>
          <t>320.01.01.O067</t>
        </is>
      </c>
      <c r="B1652" s="40" t="inlineStr">
        <is>
          <t>Ozgun Islak Hacim Ekipm..Tic.Ltd.Şti.</t>
        </is>
      </c>
      <c r="C1652" s="40" t="inlineStr">
        <is>
          <t>TRY</t>
        </is>
      </c>
      <c r="D1652" s="40" t="inlineStr">
        <is>
          <t>SERTAŞ MERKEZ</t>
        </is>
      </c>
      <c r="E1652" s="38" t="n">
        <v>116096.17</v>
      </c>
      <c r="F1652" s="38" t="n">
        <v>0</v>
      </c>
      <c r="G1652" s="38" t="n">
        <v>116096.17</v>
      </c>
      <c r="H1652" s="40" t="inlineStr">
        <is>
          <t>Borç</t>
        </is>
      </c>
      <c r="I1652" s="38" t="n">
        <v>116096.17</v>
      </c>
      <c r="J1652" s="38" t="n">
        <v>0</v>
      </c>
      <c r="K1652" s="38" t="n">
        <v>116096.17</v>
      </c>
      <c r="L1652" s="40" t="inlineStr">
        <is>
          <t>Borç</t>
        </is>
      </c>
    </row>
    <row r="1653" s="34">
      <c r="A1653" s="40" t="inlineStr">
        <is>
          <t>320.01.01.O070</t>
        </is>
      </c>
      <c r="B1653" s="40" t="inlineStr">
        <is>
          <t>Ozkarsu Su PeTRol Ürün.Tic.A.Ş.</t>
        </is>
      </c>
      <c r="C1653" s="40" t="inlineStr">
        <is>
          <t>TRY</t>
        </is>
      </c>
      <c r="D1653" s="40" t="inlineStr">
        <is>
          <t>GİTAŞ MERKEZ</t>
        </is>
      </c>
      <c r="E1653" s="38" t="n">
        <v>226445.91</v>
      </c>
      <c r="F1653" s="38" t="n">
        <v>0</v>
      </c>
      <c r="G1653" s="38" t="n">
        <v>226445.91</v>
      </c>
      <c r="H1653" s="40" t="inlineStr">
        <is>
          <t>Borç</t>
        </is>
      </c>
      <c r="I1653" s="38" t="n">
        <v>226445.91</v>
      </c>
      <c r="J1653" s="38" t="n">
        <v>0</v>
      </c>
      <c r="K1653" s="38" t="n">
        <v>226445.91</v>
      </c>
      <c r="L1653" s="40" t="inlineStr">
        <is>
          <t>Borç</t>
        </is>
      </c>
    </row>
    <row r="1654" s="34">
      <c r="A1654" s="40" t="inlineStr">
        <is>
          <t>320.01.01.O070</t>
        </is>
      </c>
      <c r="B1654" s="40" t="inlineStr">
        <is>
          <t>Ozkarsu Su PeTRol Ürün.Tic.A.Ş.</t>
        </is>
      </c>
      <c r="C1654" s="40" t="inlineStr">
        <is>
          <t>TRY</t>
        </is>
      </c>
      <c r="D1654" s="40" t="inlineStr">
        <is>
          <t>ROYAL ADAM EVE</t>
        </is>
      </c>
      <c r="E1654" s="38" t="n">
        <v>295373.86</v>
      </c>
      <c r="F1654" s="38" t="n">
        <v>294119.4</v>
      </c>
      <c r="G1654" s="38" t="n">
        <v>1254.46</v>
      </c>
      <c r="H1654" s="40" t="inlineStr">
        <is>
          <t>Borç</t>
        </is>
      </c>
      <c r="I1654" s="38" t="n">
        <v>295373.86</v>
      </c>
      <c r="J1654" s="38" t="n">
        <v>294119.4</v>
      </c>
      <c r="K1654" s="38" t="n">
        <v>1254.46</v>
      </c>
      <c r="L1654" s="40" t="inlineStr">
        <is>
          <t>Borç</t>
        </is>
      </c>
    </row>
    <row r="1655" s="34">
      <c r="A1655" s="40" t="inlineStr">
        <is>
          <t>320.01.01.O070</t>
        </is>
      </c>
      <c r="B1655" s="40" t="inlineStr">
        <is>
          <t>Ozkarsu Su PeTRol Ürün.Tic.A.Ş.</t>
        </is>
      </c>
      <c r="C1655" s="40" t="inlineStr">
        <is>
          <t>TRY</t>
        </is>
      </c>
      <c r="D1655" s="40" t="inlineStr">
        <is>
          <t>ROYAL ALHAMBRA</t>
        </is>
      </c>
      <c r="E1655" s="38" t="n">
        <v>0</v>
      </c>
      <c r="F1655" s="38" t="n">
        <v>99732</v>
      </c>
      <c r="G1655" s="38" t="n">
        <v>-99732</v>
      </c>
      <c r="H1655" s="40" t="inlineStr">
        <is>
          <t>Alacak</t>
        </is>
      </c>
      <c r="I1655" s="38" t="n">
        <v>0</v>
      </c>
      <c r="J1655" s="38" t="n">
        <v>99732</v>
      </c>
      <c r="K1655" s="38" t="n">
        <v>-99732</v>
      </c>
      <c r="L1655" s="40" t="inlineStr">
        <is>
          <t>Alacak</t>
        </is>
      </c>
    </row>
    <row r="1656" s="34">
      <c r="A1656" s="40" t="inlineStr">
        <is>
          <t>320.01.01.O070</t>
        </is>
      </c>
      <c r="B1656" s="40" t="inlineStr">
        <is>
          <t>Ozkarsu Su PeTRol Ürün.Tic.A.Ş.</t>
        </is>
      </c>
      <c r="C1656" s="40" t="inlineStr">
        <is>
          <t>TRY</t>
        </is>
      </c>
      <c r="D1656" s="40" t="inlineStr">
        <is>
          <t>ROYAL DRAGON</t>
        </is>
      </c>
      <c r="E1656" s="38" t="n">
        <v>0</v>
      </c>
      <c r="F1656" s="38" t="n">
        <v>114667.8</v>
      </c>
      <c r="G1656" s="38" t="n">
        <v>-114667.8</v>
      </c>
      <c r="H1656" s="40" t="inlineStr">
        <is>
          <t>Alacak</t>
        </is>
      </c>
      <c r="I1656" s="38" t="n">
        <v>0</v>
      </c>
      <c r="J1656" s="38" t="n">
        <v>114667.8</v>
      </c>
      <c r="K1656" s="38" t="n">
        <v>-114667.8</v>
      </c>
      <c r="L1656" s="40" t="inlineStr">
        <is>
          <t>Alacak</t>
        </is>
      </c>
    </row>
    <row r="1657" s="34">
      <c r="A1657" s="40" t="inlineStr">
        <is>
          <t>320.01.01.O070</t>
        </is>
      </c>
      <c r="B1657" s="40" t="inlineStr">
        <is>
          <t>Ozkarsu Su PeTRol Ürün.Tic.A.Ş.</t>
        </is>
      </c>
      <c r="C1657" s="40" t="inlineStr">
        <is>
          <t>TRY</t>
        </is>
      </c>
      <c r="D1657" s="40" t="inlineStr">
        <is>
          <t>ROYAL HOLIDAY</t>
        </is>
      </c>
      <c r="E1657" s="38" t="n">
        <v>0</v>
      </c>
      <c r="F1657" s="38" t="n">
        <v>99505.2</v>
      </c>
      <c r="G1657" s="38" t="n">
        <v>-99505.2</v>
      </c>
      <c r="H1657" s="40" t="inlineStr">
        <is>
          <t>Alacak</t>
        </is>
      </c>
      <c r="I1657" s="38" t="n">
        <v>0</v>
      </c>
      <c r="J1657" s="38" t="n">
        <v>99505.2</v>
      </c>
      <c r="K1657" s="38" t="n">
        <v>-99505.2</v>
      </c>
      <c r="L1657" s="40" t="inlineStr">
        <is>
          <t>Alacak</t>
        </is>
      </c>
    </row>
    <row r="1658" s="34">
      <c r="A1658" s="40" t="inlineStr">
        <is>
          <t>320.01.01.O070</t>
        </is>
      </c>
      <c r="B1658" s="40" t="inlineStr">
        <is>
          <t>Ozkarsu Su PeTRol Ürün.Tic.A.Ş.</t>
        </is>
      </c>
      <c r="C1658" s="40" t="inlineStr">
        <is>
          <t>TRY</t>
        </is>
      </c>
      <c r="D1658" s="40" t="inlineStr">
        <is>
          <t>ROYAL SEGINUS</t>
        </is>
      </c>
      <c r="E1658" s="38" t="n">
        <v>0</v>
      </c>
      <c r="F1658" s="38" t="n">
        <v>68761.56</v>
      </c>
      <c r="G1658" s="38" t="n">
        <v>-68761.56</v>
      </c>
      <c r="H1658" s="40" t="inlineStr">
        <is>
          <t>Alacak</t>
        </is>
      </c>
      <c r="I1658" s="38" t="n">
        <v>0</v>
      </c>
      <c r="J1658" s="38" t="n">
        <v>68761.56</v>
      </c>
      <c r="K1658" s="38" t="n">
        <v>-68761.56</v>
      </c>
      <c r="L1658" s="40" t="inlineStr">
        <is>
          <t>Alacak</t>
        </is>
      </c>
    </row>
    <row r="1659" s="34">
      <c r="A1659" s="40" t="inlineStr">
        <is>
          <t>320.01.01.O070</t>
        </is>
      </c>
      <c r="B1659" s="40" t="inlineStr">
        <is>
          <t>Ozkarsu Su PeTRol Ürün.Tic.A.Ş.</t>
        </is>
      </c>
      <c r="C1659" s="40" t="inlineStr">
        <is>
          <t>TRY</t>
        </is>
      </c>
      <c r="D1659" s="40" t="inlineStr">
        <is>
          <t>SERTAŞ MERKEZ</t>
        </is>
      </c>
      <c r="E1659" s="38" t="n">
        <v>247270.88</v>
      </c>
      <c r="F1659" s="38" t="n">
        <v>0</v>
      </c>
      <c r="G1659" s="38" t="n">
        <v>247270.88</v>
      </c>
      <c r="H1659" s="40" t="inlineStr">
        <is>
          <t>Borç</t>
        </is>
      </c>
      <c r="I1659" s="38" t="n">
        <v>247270.88</v>
      </c>
      <c r="J1659" s="38" t="n">
        <v>0</v>
      </c>
      <c r="K1659" s="38" t="n">
        <v>247270.88</v>
      </c>
      <c r="L1659" s="40" t="inlineStr">
        <is>
          <t>Borç</t>
        </is>
      </c>
    </row>
    <row r="1660" s="34">
      <c r="A1660" s="40" t="inlineStr">
        <is>
          <t>320.01.01.O074</t>
        </is>
      </c>
      <c r="B1660" s="40" t="inlineStr">
        <is>
          <t>Öztürk Boya İnş.Taah.Tur.San.Tic.Ltd.Şti</t>
        </is>
      </c>
      <c r="C1660" s="40" t="inlineStr">
        <is>
          <t>TRY</t>
        </is>
      </c>
      <c r="D1660" s="40" t="inlineStr">
        <is>
          <t>ROYAL ADAM EVE</t>
        </is>
      </c>
      <c r="E1660" s="38" t="n">
        <v>136011.6</v>
      </c>
      <c r="F1660" s="38" t="n">
        <v>0</v>
      </c>
      <c r="G1660" s="38" t="n">
        <v>136011.6</v>
      </c>
      <c r="H1660" s="40" t="inlineStr">
        <is>
          <t>Borç</t>
        </is>
      </c>
      <c r="I1660" s="38" t="n">
        <v>136011.6</v>
      </c>
      <c r="J1660" s="38" t="n">
        <v>0</v>
      </c>
      <c r="K1660" s="38" t="n">
        <v>136011.6</v>
      </c>
      <c r="L1660" s="40" t="inlineStr">
        <is>
          <t>Borç</t>
        </is>
      </c>
    </row>
    <row r="1661" s="34">
      <c r="A1661" s="40" t="inlineStr">
        <is>
          <t>320.01.01.O074</t>
        </is>
      </c>
      <c r="B1661" s="40" t="inlineStr">
        <is>
          <t>Öztürk Boya İnş.Taah.Tur.San.Tic.Ltd.Şti</t>
        </is>
      </c>
      <c r="C1661" s="40" t="inlineStr">
        <is>
          <t>TRY</t>
        </is>
      </c>
      <c r="D1661" s="40" t="inlineStr">
        <is>
          <t>ROYAL HOLIDAY</t>
        </is>
      </c>
      <c r="E1661" s="38" t="n">
        <v>0</v>
      </c>
      <c r="F1661" s="38" t="n">
        <v>6264</v>
      </c>
      <c r="G1661" s="38" t="n">
        <v>-6264</v>
      </c>
      <c r="H1661" s="40" t="inlineStr">
        <is>
          <t>Alacak</t>
        </is>
      </c>
      <c r="I1661" s="38" t="n">
        <v>0</v>
      </c>
      <c r="J1661" s="38" t="n">
        <v>6264</v>
      </c>
      <c r="K1661" s="38" t="n">
        <v>-6264</v>
      </c>
      <c r="L1661" s="40" t="inlineStr">
        <is>
          <t>Alacak</t>
        </is>
      </c>
    </row>
    <row r="1662" s="34">
      <c r="A1662" s="40" t="inlineStr">
        <is>
          <t>320.01.01.O076</t>
        </is>
      </c>
      <c r="B1662" s="40" t="inlineStr">
        <is>
          <t>Öyka Tekstil Turizm Gıda San.Ve Tic.Ldt.Şti.</t>
        </is>
      </c>
      <c r="C1662" s="40" t="inlineStr">
        <is>
          <t>TRY</t>
        </is>
      </c>
      <c r="D1662" s="40" t="inlineStr">
        <is>
          <t>ROYAL DRAGON</t>
        </is>
      </c>
      <c r="E1662" s="38" t="n">
        <v>0</v>
      </c>
      <c r="F1662" s="38" t="n">
        <v>15887.52</v>
      </c>
      <c r="G1662" s="38" t="n">
        <v>-15887.52</v>
      </c>
      <c r="H1662" s="40" t="inlineStr">
        <is>
          <t>Alacak</t>
        </is>
      </c>
      <c r="I1662" s="38" t="n">
        <v>0</v>
      </c>
      <c r="J1662" s="38" t="n">
        <v>15887.52</v>
      </c>
      <c r="K1662" s="38" t="n">
        <v>-15887.52</v>
      </c>
      <c r="L1662" s="40" t="inlineStr">
        <is>
          <t>Alacak</t>
        </is>
      </c>
    </row>
    <row r="1663" s="34">
      <c r="A1663" s="40" t="inlineStr">
        <is>
          <t>320.01.01.O079</t>
        </is>
      </c>
      <c r="B1663" s="40" t="inlineStr">
        <is>
          <t>Osman Mutlu</t>
        </is>
      </c>
      <c r="C1663" s="40" t="inlineStr">
        <is>
          <t>TRY</t>
        </is>
      </c>
      <c r="D1663" s="40" t="inlineStr">
        <is>
          <t>SERTAŞ MERKEZ</t>
        </is>
      </c>
      <c r="E1663" s="38" t="n">
        <v>18500</v>
      </c>
      <c r="F1663" s="38" t="n">
        <v>0</v>
      </c>
      <c r="G1663" s="38" t="n">
        <v>18500</v>
      </c>
      <c r="H1663" s="40" t="inlineStr">
        <is>
          <t>Borç</t>
        </is>
      </c>
      <c r="I1663" s="38" t="n">
        <v>18500</v>
      </c>
      <c r="J1663" s="38" t="n">
        <v>0</v>
      </c>
      <c r="K1663" s="38" t="n">
        <v>18500</v>
      </c>
      <c r="L1663" s="40" t="inlineStr">
        <is>
          <t>Borç</t>
        </is>
      </c>
    </row>
    <row r="1664" s="34">
      <c r="A1664" s="40" t="inlineStr">
        <is>
          <t>320.01.01.P001</t>
        </is>
      </c>
      <c r="B1664" s="40" t="inlineStr">
        <is>
          <t>Paximum Bilişim Yazılım Hiz. Tic. A.Ş.</t>
        </is>
      </c>
      <c r="C1664" s="40" t="inlineStr">
        <is>
          <t>TRY</t>
        </is>
      </c>
      <c r="D1664" s="40" t="inlineStr">
        <is>
          <t>ROYAL ALHAMBRA</t>
        </is>
      </c>
      <c r="E1664" s="38" t="n">
        <v>34268.58</v>
      </c>
      <c r="F1664" s="38" t="n">
        <v>0</v>
      </c>
      <c r="G1664" s="38" t="n">
        <v>34268.58</v>
      </c>
      <c r="H1664" s="40" t="inlineStr">
        <is>
          <t>Borç</t>
        </is>
      </c>
      <c r="I1664" s="38" t="n">
        <v>650</v>
      </c>
      <c r="J1664" s="38" t="n">
        <v>0</v>
      </c>
      <c r="K1664" s="38" t="n">
        <v>650</v>
      </c>
      <c r="L1664" s="40" t="inlineStr">
        <is>
          <t>Borç</t>
        </is>
      </c>
    </row>
    <row r="1665" s="34">
      <c r="A1665" s="40" t="inlineStr">
        <is>
          <t>320.01.01.P001</t>
        </is>
      </c>
      <c r="B1665" s="40" t="inlineStr">
        <is>
          <t>Paximum Bilişim Yazılım Hiz. Tic. A.Ş.</t>
        </is>
      </c>
      <c r="C1665" s="40" t="inlineStr">
        <is>
          <t>TRY</t>
        </is>
      </c>
      <c r="D1665" s="40" t="inlineStr">
        <is>
          <t>ROYAL DRAGON</t>
        </is>
      </c>
      <c r="E1665" s="38" t="n">
        <v>34268.58</v>
      </c>
      <c r="F1665" s="38" t="n">
        <v>0</v>
      </c>
      <c r="G1665" s="38" t="n">
        <v>34268.58</v>
      </c>
      <c r="H1665" s="40" t="inlineStr">
        <is>
          <t>Borç</t>
        </is>
      </c>
      <c r="I1665" s="38" t="n">
        <v>650</v>
      </c>
      <c r="J1665" s="38" t="n">
        <v>0</v>
      </c>
      <c r="K1665" s="38" t="n">
        <v>650</v>
      </c>
      <c r="L1665" s="40" t="inlineStr">
        <is>
          <t>Borç</t>
        </is>
      </c>
    </row>
    <row r="1666" s="34">
      <c r="A1666" s="40" t="inlineStr">
        <is>
          <t>320.01.01.P001</t>
        </is>
      </c>
      <c r="B1666" s="40" t="inlineStr">
        <is>
          <t>Paximum Bilişim Yazılım Hiz. Tic. A.Ş.</t>
        </is>
      </c>
      <c r="C1666" s="40" t="inlineStr">
        <is>
          <t>TRY</t>
        </is>
      </c>
      <c r="D1666" s="40" t="inlineStr">
        <is>
          <t>ROYAL HOLIDAY</t>
        </is>
      </c>
      <c r="E1666" s="38" t="n">
        <v>34268.58</v>
      </c>
      <c r="F1666" s="38" t="n">
        <v>0</v>
      </c>
      <c r="G1666" s="38" t="n">
        <v>34268.58</v>
      </c>
      <c r="H1666" s="40" t="inlineStr">
        <is>
          <t>Borç</t>
        </is>
      </c>
      <c r="I1666" s="38" t="n">
        <v>650</v>
      </c>
      <c r="J1666" s="38" t="n">
        <v>0</v>
      </c>
      <c r="K1666" s="38" t="n">
        <v>650</v>
      </c>
      <c r="L1666" s="40" t="inlineStr">
        <is>
          <t>Borç</t>
        </is>
      </c>
    </row>
    <row r="1667" s="34">
      <c r="A1667" s="40" t="inlineStr">
        <is>
          <t>320.01.01.P001</t>
        </is>
      </c>
      <c r="B1667" s="40" t="inlineStr">
        <is>
          <t>Paximum Bilişim Yazılım Hiz. Tic. A.Ş.</t>
        </is>
      </c>
      <c r="C1667" s="40" t="inlineStr">
        <is>
          <t>TRY</t>
        </is>
      </c>
      <c r="D1667" s="40" t="inlineStr">
        <is>
          <t>ROYAL SEGINUS</t>
        </is>
      </c>
      <c r="E1667" s="38" t="n">
        <v>34268.58</v>
      </c>
      <c r="F1667" s="38" t="n">
        <v>0</v>
      </c>
      <c r="G1667" s="38" t="n">
        <v>34268.58</v>
      </c>
      <c r="H1667" s="40" t="inlineStr">
        <is>
          <t>Borç</t>
        </is>
      </c>
      <c r="I1667" s="38" t="n">
        <v>650</v>
      </c>
      <c r="J1667" s="38" t="n">
        <v>0</v>
      </c>
      <c r="K1667" s="38" t="n">
        <v>650</v>
      </c>
      <c r="L1667" s="40" t="inlineStr">
        <is>
          <t>Borç</t>
        </is>
      </c>
    </row>
    <row r="1668" s="34">
      <c r="A1668" s="40" t="inlineStr">
        <is>
          <t>320.01.01.P003</t>
        </is>
      </c>
      <c r="B1668" s="40" t="inlineStr">
        <is>
          <t>Permak Makina Sanayi ve Ticaret Anonim Şirketi</t>
        </is>
      </c>
      <c r="C1668" s="40" t="inlineStr">
        <is>
          <t>TRY</t>
        </is>
      </c>
      <c r="D1668" s="40" t="inlineStr">
        <is>
          <t>ROYAL ADAM EVE</t>
        </is>
      </c>
      <c r="E1668" s="38" t="n">
        <v>0</v>
      </c>
      <c r="F1668" s="38" t="n">
        <v>37200</v>
      </c>
      <c r="G1668" s="38" t="n">
        <v>-37200</v>
      </c>
      <c r="H1668" s="40" t="inlineStr">
        <is>
          <t>Alacak</t>
        </is>
      </c>
      <c r="I1668" s="38" t="n">
        <v>0</v>
      </c>
      <c r="J1668" s="38" t="n">
        <v>37200</v>
      </c>
      <c r="K1668" s="38" t="n">
        <v>-37200</v>
      </c>
      <c r="L1668" s="40" t="inlineStr">
        <is>
          <t>Alacak</t>
        </is>
      </c>
    </row>
    <row r="1669" s="34">
      <c r="A1669" s="40" t="inlineStr">
        <is>
          <t>320.01.01.P021</t>
        </is>
      </c>
      <c r="B1669" s="40" t="inlineStr">
        <is>
          <t>Pepsi Cola Servis Ve Dağıtım Ltd.Şti.</t>
        </is>
      </c>
      <c r="C1669" s="40" t="inlineStr">
        <is>
          <t>TRY</t>
        </is>
      </c>
      <c r="D1669" s="40" t="inlineStr">
        <is>
          <t>GİTAŞ MERKEZ</t>
        </is>
      </c>
      <c r="E1669" s="38" t="n">
        <v>1061616.6</v>
      </c>
      <c r="F1669" s="38" t="n">
        <v>0</v>
      </c>
      <c r="G1669" s="38" t="n">
        <v>1061616.6</v>
      </c>
      <c r="H1669" s="40" t="inlineStr">
        <is>
          <t>Borç</t>
        </is>
      </c>
      <c r="I1669" s="38" t="n">
        <v>1061616.6</v>
      </c>
      <c r="J1669" s="38" t="n">
        <v>0</v>
      </c>
      <c r="K1669" s="38" t="n">
        <v>1061616.6</v>
      </c>
      <c r="L1669" s="40" t="inlineStr">
        <is>
          <t>Borç</t>
        </is>
      </c>
    </row>
    <row r="1670" s="34">
      <c r="A1670" s="40" t="inlineStr">
        <is>
          <t>320.01.01.P021</t>
        </is>
      </c>
      <c r="B1670" s="40" t="inlineStr">
        <is>
          <t>Pepsi Cola Servis Ve Dağıtım Ltd.Şti.</t>
        </is>
      </c>
      <c r="C1670" s="40" t="inlineStr">
        <is>
          <t>TRY</t>
        </is>
      </c>
      <c r="D1670" s="40" t="inlineStr">
        <is>
          <t>ROYAL ALHAMBRA</t>
        </is>
      </c>
      <c r="E1670" s="38" t="n">
        <v>1178529.94</v>
      </c>
      <c r="F1670" s="38" t="n">
        <v>1783201.43</v>
      </c>
      <c r="G1670" s="38" t="n">
        <v>-604671.49</v>
      </c>
      <c r="H1670" s="40" t="inlineStr">
        <is>
          <t>Alacak</t>
        </is>
      </c>
      <c r="I1670" s="38" t="n">
        <v>1178529.94</v>
      </c>
      <c r="J1670" s="38" t="n">
        <v>1783201.43</v>
      </c>
      <c r="K1670" s="38" t="n">
        <v>-604671.49</v>
      </c>
      <c r="L1670" s="40" t="inlineStr">
        <is>
          <t>Alacak</t>
        </is>
      </c>
    </row>
    <row r="1671" s="34">
      <c r="A1671" s="40" t="inlineStr">
        <is>
          <t>320.01.01.P021</t>
        </is>
      </c>
      <c r="B1671" s="40" t="inlineStr">
        <is>
          <t>Pepsi Cola Servis Ve Dağıtım Ltd.Şti.</t>
        </is>
      </c>
      <c r="C1671" s="40" t="inlineStr">
        <is>
          <t>TRY</t>
        </is>
      </c>
      <c r="D1671" s="40" t="inlineStr">
        <is>
          <t>ROYAL DRAGON</t>
        </is>
      </c>
      <c r="E1671" s="38" t="n">
        <v>27900</v>
      </c>
      <c r="F1671" s="38" t="n">
        <v>852105.4399999999</v>
      </c>
      <c r="G1671" s="38" t="n">
        <v>-824205.4399999999</v>
      </c>
      <c r="H1671" s="40" t="inlineStr">
        <is>
          <t>Alacak</t>
        </is>
      </c>
      <c r="I1671" s="38" t="n">
        <v>27900</v>
      </c>
      <c r="J1671" s="38" t="n">
        <v>852105.4399999999</v>
      </c>
      <c r="K1671" s="38" t="n">
        <v>-824205.4399999999</v>
      </c>
      <c r="L1671" s="40" t="inlineStr">
        <is>
          <t>Alacak</t>
        </is>
      </c>
    </row>
    <row r="1672" s="34">
      <c r="A1672" s="40" t="inlineStr">
        <is>
          <t>320.01.01.P031</t>
        </is>
      </c>
      <c r="B1672" s="40" t="inlineStr">
        <is>
          <t>Pi Cevre Danısmanlıgı San.Tic.A.Ş</t>
        </is>
      </c>
      <c r="C1672" s="40" t="inlineStr">
        <is>
          <t>TRY</t>
        </is>
      </c>
      <c r="D1672" s="40" t="inlineStr">
        <is>
          <t>GİTAŞ MERKEZ</t>
        </is>
      </c>
      <c r="E1672" s="38" t="n">
        <v>22464</v>
      </c>
      <c r="F1672" s="38" t="n">
        <v>0</v>
      </c>
      <c r="G1672" s="38" t="n">
        <v>22464</v>
      </c>
      <c r="H1672" s="40" t="inlineStr">
        <is>
          <t>Borç</t>
        </is>
      </c>
      <c r="I1672" s="38" t="n">
        <v>22464</v>
      </c>
      <c r="J1672" s="38" t="n">
        <v>0</v>
      </c>
      <c r="K1672" s="38" t="n">
        <v>22464</v>
      </c>
      <c r="L1672" s="40" t="inlineStr">
        <is>
          <t>Borç</t>
        </is>
      </c>
    </row>
    <row r="1673" s="34">
      <c r="A1673" s="40" t="inlineStr">
        <is>
          <t>320.01.01.P031</t>
        </is>
      </c>
      <c r="B1673" s="40" t="inlineStr">
        <is>
          <t>Pi Cevre Danısmanlıgı San.Tic.A.Ş</t>
        </is>
      </c>
      <c r="C1673" s="40" t="inlineStr">
        <is>
          <t>TRY</t>
        </is>
      </c>
      <c r="D1673" s="40" t="inlineStr">
        <is>
          <t>ROYAL ADAM EVE</t>
        </is>
      </c>
      <c r="E1673" s="38" t="n">
        <v>11232</v>
      </c>
      <c r="F1673" s="38" t="n">
        <v>11232</v>
      </c>
      <c r="G1673" s="38" t="n">
        <v>0</v>
      </c>
      <c r="I1673" s="38" t="n">
        <v>11232</v>
      </c>
      <c r="J1673" s="38" t="n">
        <v>11232</v>
      </c>
      <c r="K1673" s="38" t="n">
        <v>0</v>
      </c>
    </row>
    <row r="1674" s="34">
      <c r="A1674" s="40" t="inlineStr">
        <is>
          <t>320.01.01.P031</t>
        </is>
      </c>
      <c r="B1674" s="40" t="inlineStr">
        <is>
          <t>Pi Cevre Danısmanlıgı San.Tic.A.Ş</t>
        </is>
      </c>
      <c r="C1674" s="40" t="inlineStr">
        <is>
          <t>TRY</t>
        </is>
      </c>
      <c r="D1674" s="40" t="inlineStr">
        <is>
          <t>ROYAL HOLIDAY</t>
        </is>
      </c>
      <c r="E1674" s="38" t="n">
        <v>0</v>
      </c>
      <c r="F1674" s="38" t="n">
        <v>11232</v>
      </c>
      <c r="G1674" s="38" t="n">
        <v>-11232</v>
      </c>
      <c r="H1674" s="40" t="inlineStr">
        <is>
          <t>Alacak</t>
        </is>
      </c>
      <c r="I1674" s="38" t="n">
        <v>0</v>
      </c>
      <c r="J1674" s="38" t="n">
        <v>11232</v>
      </c>
      <c r="K1674" s="38" t="n">
        <v>-11232</v>
      </c>
      <c r="L1674" s="40" t="inlineStr">
        <is>
          <t>Alacak</t>
        </is>
      </c>
    </row>
    <row r="1675" s="34">
      <c r="A1675" s="40" t="inlineStr">
        <is>
          <t>320.01.01.P031</t>
        </is>
      </c>
      <c r="B1675" s="40" t="inlineStr">
        <is>
          <t>Pi Cevre Danısmanlıgı San.Tic.A.Ş</t>
        </is>
      </c>
      <c r="C1675" s="40" t="inlineStr">
        <is>
          <t>TRY</t>
        </is>
      </c>
      <c r="D1675" s="40" t="inlineStr">
        <is>
          <t>ROYAL SEGINUS</t>
        </is>
      </c>
      <c r="E1675" s="38" t="n">
        <v>0</v>
      </c>
      <c r="F1675" s="38" t="n">
        <v>11232</v>
      </c>
      <c r="G1675" s="38" t="n">
        <v>-11232</v>
      </c>
      <c r="H1675" s="40" t="inlineStr">
        <is>
          <t>Alacak</t>
        </is>
      </c>
      <c r="I1675" s="38" t="n">
        <v>0</v>
      </c>
      <c r="J1675" s="38" t="n">
        <v>11232</v>
      </c>
      <c r="K1675" s="38" t="n">
        <v>-11232</v>
      </c>
      <c r="L1675" s="40" t="inlineStr">
        <is>
          <t>Alacak</t>
        </is>
      </c>
    </row>
    <row r="1676" s="34">
      <c r="A1676" s="40" t="inlineStr">
        <is>
          <t>320.01.01.P031</t>
        </is>
      </c>
      <c r="B1676" s="40" t="inlineStr">
        <is>
          <t>Pi Cevre Danısmanlıgı San.Tic.A.Ş</t>
        </is>
      </c>
      <c r="C1676" s="40" t="inlineStr">
        <is>
          <t>TRY</t>
        </is>
      </c>
      <c r="D1676" s="40" t="inlineStr">
        <is>
          <t>SERTAŞ MERKEZ</t>
        </is>
      </c>
      <c r="E1676" s="38" t="n">
        <v>22464</v>
      </c>
      <c r="F1676" s="38" t="n">
        <v>0</v>
      </c>
      <c r="G1676" s="38" t="n">
        <v>22464</v>
      </c>
      <c r="H1676" s="40" t="inlineStr">
        <is>
          <t>Borç</t>
        </is>
      </c>
      <c r="I1676" s="38" t="n">
        <v>22464</v>
      </c>
      <c r="J1676" s="38" t="n">
        <v>0</v>
      </c>
      <c r="K1676" s="38" t="n">
        <v>22464</v>
      </c>
      <c r="L1676" s="40" t="inlineStr">
        <is>
          <t>Borç</t>
        </is>
      </c>
    </row>
    <row r="1677" s="34">
      <c r="A1677" s="40" t="inlineStr">
        <is>
          <t>320.01.01.P032</t>
        </is>
      </c>
      <c r="B1677" s="40" t="inlineStr">
        <is>
          <t>Pikasis Plastik Kart Sist.Matbaacılık Sa</t>
        </is>
      </c>
      <c r="C1677" s="40" t="inlineStr">
        <is>
          <t>TRY</t>
        </is>
      </c>
      <c r="D1677" s="40" t="inlineStr">
        <is>
          <t>GİTAŞ MERKEZ</t>
        </is>
      </c>
      <c r="E1677" s="38" t="n">
        <v>91380.95</v>
      </c>
      <c r="F1677" s="38" t="n">
        <v>0</v>
      </c>
      <c r="G1677" s="38" t="n">
        <v>91380.95</v>
      </c>
      <c r="H1677" s="40" t="inlineStr">
        <is>
          <t>Borç</t>
        </is>
      </c>
      <c r="I1677" s="38" t="n">
        <v>91380.95</v>
      </c>
      <c r="J1677" s="38" t="n">
        <v>0</v>
      </c>
      <c r="K1677" s="38" t="n">
        <v>91380.95</v>
      </c>
      <c r="L1677" s="40" t="inlineStr">
        <is>
          <t>Borç</t>
        </is>
      </c>
    </row>
    <row r="1678" s="34">
      <c r="A1678" s="40" t="inlineStr">
        <is>
          <t>320.01.01.P032</t>
        </is>
      </c>
      <c r="B1678" s="40" t="inlineStr">
        <is>
          <t>Pikasis Plastik Kart Sist.Matbaacılık Sa</t>
        </is>
      </c>
      <c r="C1678" s="40" t="inlineStr">
        <is>
          <t>TRY</t>
        </is>
      </c>
      <c r="D1678" s="40" t="inlineStr">
        <is>
          <t>ROYAL ADAM EVE</t>
        </is>
      </c>
      <c r="E1678" s="38" t="n">
        <v>16351.33</v>
      </c>
      <c r="F1678" s="38" t="n">
        <v>0</v>
      </c>
      <c r="G1678" s="38" t="n">
        <v>16351.33</v>
      </c>
      <c r="H1678" s="40" t="inlineStr">
        <is>
          <t>Borç</t>
        </is>
      </c>
      <c r="I1678" s="38" t="n">
        <v>16351.33</v>
      </c>
      <c r="J1678" s="38" t="n">
        <v>0</v>
      </c>
      <c r="K1678" s="38" t="n">
        <v>16351.33</v>
      </c>
      <c r="L1678" s="40" t="inlineStr">
        <is>
          <t>Borç</t>
        </is>
      </c>
    </row>
    <row r="1679" s="34">
      <c r="A1679" s="40" t="inlineStr">
        <is>
          <t>320.01.01.P032</t>
        </is>
      </c>
      <c r="B1679" s="40" t="inlineStr">
        <is>
          <t>Pikasis Plastik Kart Sist.Matbaacılık Sa</t>
        </is>
      </c>
      <c r="C1679" s="40" t="inlineStr">
        <is>
          <t>TRY</t>
        </is>
      </c>
      <c r="D1679" s="40" t="inlineStr">
        <is>
          <t>SERTAŞ MERKEZ</t>
        </is>
      </c>
      <c r="E1679" s="38" t="n">
        <v>160426.03</v>
      </c>
      <c r="F1679" s="38" t="n">
        <v>0</v>
      </c>
      <c r="G1679" s="38" t="n">
        <v>160426.03</v>
      </c>
      <c r="H1679" s="40" t="inlineStr">
        <is>
          <t>Borç</t>
        </is>
      </c>
      <c r="I1679" s="38" t="n">
        <v>160426.03</v>
      </c>
      <c r="J1679" s="38" t="n">
        <v>0</v>
      </c>
      <c r="K1679" s="38" t="n">
        <v>160426.03</v>
      </c>
      <c r="L1679" s="40" t="inlineStr">
        <is>
          <t>Borç</t>
        </is>
      </c>
    </row>
    <row r="1680" s="34">
      <c r="A1680" s="40" t="inlineStr">
        <is>
          <t>320.01.01.P057</t>
        </is>
      </c>
      <c r="B1680" s="40" t="inlineStr">
        <is>
          <t>Psl ElekTRonik San.Ve Tic.A.Ş.</t>
        </is>
      </c>
      <c r="C1680" s="40" t="inlineStr">
        <is>
          <t>TRY</t>
        </is>
      </c>
      <c r="D1680" s="40" t="inlineStr">
        <is>
          <t>ROYAL SEGINUS</t>
        </is>
      </c>
      <c r="E1680" s="38" t="n">
        <v>489660.05</v>
      </c>
      <c r="F1680" s="38" t="n">
        <v>0</v>
      </c>
      <c r="G1680" s="38" t="n">
        <v>489660.05</v>
      </c>
      <c r="H1680" s="40" t="inlineStr">
        <is>
          <t>Borç</t>
        </is>
      </c>
      <c r="I1680" s="38" t="n">
        <v>11474.22</v>
      </c>
      <c r="J1680" s="38" t="n">
        <v>0</v>
      </c>
      <c r="K1680" s="38" t="n">
        <v>11474.22</v>
      </c>
      <c r="L1680" s="40" t="inlineStr">
        <is>
          <t>Borç</t>
        </is>
      </c>
    </row>
    <row r="1681" s="34">
      <c r="A1681" s="40" t="inlineStr">
        <is>
          <t>320.01.01.R022</t>
        </is>
      </c>
      <c r="B1681" s="40" t="inlineStr">
        <is>
          <t>Rewola Yazılım Sanayi Tic.Ltd.Şti./ Euro</t>
        </is>
      </c>
      <c r="C1681" s="40" t="inlineStr">
        <is>
          <t>TRY</t>
        </is>
      </c>
      <c r="D1681" s="40" t="inlineStr">
        <is>
          <t>GİTAŞ MERKEZ</t>
        </is>
      </c>
      <c r="E1681" s="38" t="n">
        <v>0</v>
      </c>
      <c r="F1681" s="38" t="n">
        <v>2148.54</v>
      </c>
      <c r="G1681" s="38" t="n">
        <v>-2148.54</v>
      </c>
      <c r="H1681" s="40" t="inlineStr">
        <is>
          <t>Alacak</t>
        </is>
      </c>
      <c r="I1681" s="38" t="n">
        <v>0</v>
      </c>
      <c r="J1681" s="38" t="n">
        <v>0</v>
      </c>
      <c r="K1681" s="38" t="n">
        <v>0</v>
      </c>
    </row>
    <row r="1682" s="34">
      <c r="A1682" s="40" t="inlineStr">
        <is>
          <t>320.01.01.R022</t>
        </is>
      </c>
      <c r="B1682" s="40" t="inlineStr">
        <is>
          <t>Rewola Yazılım Sanayi Tic.Ltd.Şti./ Euro</t>
        </is>
      </c>
      <c r="C1682" s="40" t="inlineStr">
        <is>
          <t>TRY</t>
        </is>
      </c>
      <c r="D1682" s="40" t="inlineStr">
        <is>
          <t>ROYAL DRAGON</t>
        </is>
      </c>
      <c r="E1682" s="38" t="n">
        <v>0</v>
      </c>
      <c r="F1682" s="38" t="n">
        <v>83</v>
      </c>
      <c r="G1682" s="38" t="n">
        <v>-83</v>
      </c>
      <c r="H1682" s="40" t="inlineStr">
        <is>
          <t>Alacak</t>
        </is>
      </c>
      <c r="I1682" s="38" t="n">
        <v>0</v>
      </c>
      <c r="J1682" s="38" t="n">
        <v>0</v>
      </c>
      <c r="K1682" s="38" t="n">
        <v>0</v>
      </c>
    </row>
    <row r="1683" s="34">
      <c r="A1683" s="40" t="inlineStr">
        <is>
          <t>320.01.01.R022</t>
        </is>
      </c>
      <c r="B1683" s="40" t="inlineStr">
        <is>
          <t>Rewola Yazılım Sanayi Tic.Ltd.Şti./ Euro</t>
        </is>
      </c>
      <c r="C1683" s="40" t="inlineStr">
        <is>
          <t>TRY</t>
        </is>
      </c>
      <c r="D1683" s="40" t="inlineStr">
        <is>
          <t>ROYAL SEGINUS</t>
        </is>
      </c>
      <c r="E1683" s="38" t="n">
        <v>0</v>
      </c>
      <c r="F1683" s="38" t="n">
        <v>2643.41</v>
      </c>
      <c r="G1683" s="38" t="n">
        <v>-2643.41</v>
      </c>
      <c r="H1683" s="40" t="inlineStr">
        <is>
          <t>Alacak</t>
        </is>
      </c>
      <c r="I1683" s="38" t="n">
        <v>0</v>
      </c>
      <c r="J1683" s="38" t="n">
        <v>0</v>
      </c>
      <c r="K1683" s="38" t="n">
        <v>0</v>
      </c>
    </row>
    <row r="1684" s="34">
      <c r="A1684" s="40" t="inlineStr">
        <is>
          <t>320.01.01.R022</t>
        </is>
      </c>
      <c r="B1684" s="40" t="inlineStr">
        <is>
          <t>Rewola Yazılım Sanayi Tic.Ltd.Şti./ Euro</t>
        </is>
      </c>
      <c r="C1684" s="40" t="inlineStr">
        <is>
          <t>TRY</t>
        </is>
      </c>
      <c r="D1684" s="40" t="inlineStr">
        <is>
          <t>SERTAŞ MERKEZ</t>
        </is>
      </c>
      <c r="E1684" s="38" t="n">
        <v>411.37</v>
      </c>
      <c r="F1684" s="38" t="n">
        <v>0</v>
      </c>
      <c r="G1684" s="38" t="n">
        <v>411.37</v>
      </c>
      <c r="H1684" s="40" t="inlineStr">
        <is>
          <t>Borç</t>
        </is>
      </c>
      <c r="I1684" s="38" t="n">
        <v>0</v>
      </c>
      <c r="J1684" s="38" t="n">
        <v>0</v>
      </c>
      <c r="K1684" s="38" t="n">
        <v>0</v>
      </c>
    </row>
    <row r="1685" s="34">
      <c r="A1685" s="40" t="inlineStr">
        <is>
          <t>320.01.01.R030</t>
        </is>
      </c>
      <c r="B1685" s="40" t="inlineStr">
        <is>
          <t>Rotser Tarım Gıda San.Ve Ticaret Ltd.Şti</t>
        </is>
      </c>
      <c r="C1685" s="40" t="inlineStr">
        <is>
          <t>TRY</t>
        </is>
      </c>
      <c r="D1685" s="40" t="inlineStr">
        <is>
          <t>GİTAŞ MERKEZ</t>
        </is>
      </c>
      <c r="E1685" s="38" t="n">
        <v>180026.23</v>
      </c>
      <c r="F1685" s="38" t="n">
        <v>0</v>
      </c>
      <c r="G1685" s="38" t="n">
        <v>180026.23</v>
      </c>
      <c r="H1685" s="40" t="inlineStr">
        <is>
          <t>Borç</t>
        </is>
      </c>
      <c r="I1685" s="38" t="n">
        <v>180026.23</v>
      </c>
      <c r="J1685" s="38" t="n">
        <v>0</v>
      </c>
      <c r="K1685" s="38" t="n">
        <v>180026.23</v>
      </c>
      <c r="L1685" s="40" t="inlineStr">
        <is>
          <t>Borç</t>
        </is>
      </c>
    </row>
    <row r="1686" s="34">
      <c r="A1686" s="40" t="inlineStr">
        <is>
          <t>320.01.01.R030</t>
        </is>
      </c>
      <c r="B1686" s="40" t="inlineStr">
        <is>
          <t>Rotser Tarım Gıda San.Ve Ticaret Ltd.Şti</t>
        </is>
      </c>
      <c r="C1686" s="40" t="inlineStr">
        <is>
          <t>TRY</t>
        </is>
      </c>
      <c r="D1686" s="40" t="inlineStr">
        <is>
          <t>ROYAL ADAM EVE</t>
        </is>
      </c>
      <c r="E1686" s="38" t="n">
        <v>86142.28999999999</v>
      </c>
      <c r="F1686" s="38" t="n">
        <v>26033.76</v>
      </c>
      <c r="G1686" s="38" t="n">
        <v>60108.53</v>
      </c>
      <c r="H1686" s="40" t="inlineStr">
        <is>
          <t>Borç</t>
        </is>
      </c>
      <c r="I1686" s="38" t="n">
        <v>86142.28999999999</v>
      </c>
      <c r="J1686" s="38" t="n">
        <v>26033.76</v>
      </c>
      <c r="K1686" s="38" t="n">
        <v>60108.53</v>
      </c>
      <c r="L1686" s="40" t="inlineStr">
        <is>
          <t>Borç</t>
        </is>
      </c>
    </row>
    <row r="1687" s="34">
      <c r="A1687" s="40" t="inlineStr">
        <is>
          <t>320.01.01.R030</t>
        </is>
      </c>
      <c r="B1687" s="40" t="inlineStr">
        <is>
          <t>Rotser Tarım Gıda San.Ve Ticaret Ltd.Şti</t>
        </is>
      </c>
      <c r="C1687" s="40" t="inlineStr">
        <is>
          <t>TRY</t>
        </is>
      </c>
      <c r="D1687" s="40" t="inlineStr">
        <is>
          <t>ROYAL ALHAMBRA</t>
        </is>
      </c>
      <c r="E1687" s="38" t="n">
        <v>0</v>
      </c>
      <c r="F1687" s="38" t="n">
        <v>153645.24</v>
      </c>
      <c r="G1687" s="38" t="n">
        <v>-153645.24</v>
      </c>
      <c r="H1687" s="40" t="inlineStr">
        <is>
          <t>Alacak</t>
        </is>
      </c>
      <c r="I1687" s="38" t="n">
        <v>0</v>
      </c>
      <c r="J1687" s="38" t="n">
        <v>153645.24</v>
      </c>
      <c r="K1687" s="38" t="n">
        <v>-153645.24</v>
      </c>
      <c r="L1687" s="40" t="inlineStr">
        <is>
          <t>Alacak</t>
        </is>
      </c>
    </row>
    <row r="1688" s="34">
      <c r="A1688" s="40" t="inlineStr">
        <is>
          <t>320.01.01.R030</t>
        </is>
      </c>
      <c r="B1688" s="40" t="inlineStr">
        <is>
          <t>Rotser Tarım Gıda San.Ve Ticaret Ltd.Şti</t>
        </is>
      </c>
      <c r="C1688" s="40" t="inlineStr">
        <is>
          <t>TRY</t>
        </is>
      </c>
      <c r="D1688" s="40" t="inlineStr">
        <is>
          <t>ROYAL DRAGON</t>
        </is>
      </c>
      <c r="E1688" s="38" t="n">
        <v>0</v>
      </c>
      <c r="F1688" s="38" t="n">
        <v>116124.75</v>
      </c>
      <c r="G1688" s="38" t="n">
        <v>-116124.75</v>
      </c>
      <c r="H1688" s="40" t="inlineStr">
        <is>
          <t>Alacak</t>
        </is>
      </c>
      <c r="I1688" s="38" t="n">
        <v>0</v>
      </c>
      <c r="J1688" s="38" t="n">
        <v>116124.75</v>
      </c>
      <c r="K1688" s="38" t="n">
        <v>-116124.75</v>
      </c>
      <c r="L1688" s="40" t="inlineStr">
        <is>
          <t>Alacak</t>
        </is>
      </c>
    </row>
    <row r="1689" s="34">
      <c r="A1689" s="40" t="inlineStr">
        <is>
          <t>320.01.01.R030</t>
        </is>
      </c>
      <c r="B1689" s="40" t="inlineStr">
        <is>
          <t>Rotser Tarım Gıda San.Ve Ticaret Ltd.Şti</t>
        </is>
      </c>
      <c r="C1689" s="40" t="inlineStr">
        <is>
          <t>TRY</t>
        </is>
      </c>
      <c r="D1689" s="40" t="inlineStr">
        <is>
          <t>ROYAL HOLIDAY</t>
        </is>
      </c>
      <c r="E1689" s="38" t="n">
        <v>0</v>
      </c>
      <c r="F1689" s="38" t="n">
        <v>216820.74</v>
      </c>
      <c r="G1689" s="38" t="n">
        <v>-216820.74</v>
      </c>
      <c r="H1689" s="40" t="inlineStr">
        <is>
          <t>Alacak</t>
        </is>
      </c>
      <c r="I1689" s="38" t="n">
        <v>0</v>
      </c>
      <c r="J1689" s="38" t="n">
        <v>216820.74</v>
      </c>
      <c r="K1689" s="38" t="n">
        <v>-216820.74</v>
      </c>
      <c r="L1689" s="40" t="inlineStr">
        <is>
          <t>Alacak</t>
        </is>
      </c>
    </row>
    <row r="1690" s="34">
      <c r="A1690" s="40" t="inlineStr">
        <is>
          <t>320.01.01.R030</t>
        </is>
      </c>
      <c r="B1690" s="40" t="inlineStr">
        <is>
          <t>Rotser Tarım Gıda San.Ve Ticaret Ltd.Şti</t>
        </is>
      </c>
      <c r="C1690" s="40" t="inlineStr">
        <is>
          <t>TRY</t>
        </is>
      </c>
      <c r="D1690" s="40" t="inlineStr">
        <is>
          <t>ROYAL SEGINUS</t>
        </is>
      </c>
      <c r="E1690" s="38" t="n">
        <v>0</v>
      </c>
      <c r="F1690" s="38" t="n">
        <v>147091.35</v>
      </c>
      <c r="G1690" s="38" t="n">
        <v>-147091.35</v>
      </c>
      <c r="H1690" s="40" t="inlineStr">
        <is>
          <t>Alacak</t>
        </is>
      </c>
      <c r="I1690" s="38" t="n">
        <v>0</v>
      </c>
      <c r="J1690" s="38" t="n">
        <v>147091.35</v>
      </c>
      <c r="K1690" s="38" t="n">
        <v>-147091.35</v>
      </c>
      <c r="L1690" s="40" t="inlineStr">
        <is>
          <t>Alacak</t>
        </is>
      </c>
    </row>
    <row r="1691" s="34">
      <c r="A1691" s="40" t="inlineStr">
        <is>
          <t>320.01.01.R030</t>
        </is>
      </c>
      <c r="B1691" s="40" t="inlineStr">
        <is>
          <t>Rotser Tarım Gıda San.Ve Ticaret Ltd.Şti</t>
        </is>
      </c>
      <c r="C1691" s="40" t="inlineStr">
        <is>
          <t>TRY</t>
        </is>
      </c>
      <c r="D1691" s="40" t="inlineStr">
        <is>
          <t>SERTAŞ MERKEZ</t>
        </is>
      </c>
      <c r="E1691" s="38" t="n">
        <v>301075.95</v>
      </c>
      <c r="F1691" s="38" t="n">
        <v>0</v>
      </c>
      <c r="G1691" s="38" t="n">
        <v>301075.95</v>
      </c>
      <c r="H1691" s="40" t="inlineStr">
        <is>
          <t>Borç</t>
        </is>
      </c>
      <c r="I1691" s="38" t="n">
        <v>301075.95</v>
      </c>
      <c r="J1691" s="38" t="n">
        <v>0</v>
      </c>
      <c r="K1691" s="38" t="n">
        <v>301075.95</v>
      </c>
      <c r="L1691" s="40" t="inlineStr">
        <is>
          <t>Borç</t>
        </is>
      </c>
    </row>
    <row r="1692" s="34">
      <c r="A1692" s="40" t="inlineStr">
        <is>
          <t>320.01.01.R040</t>
        </is>
      </c>
      <c r="B1692" s="40" t="inlineStr">
        <is>
          <t>Rahmi Gunal/Gunal Ticaret</t>
        </is>
      </c>
      <c r="C1692" s="40" t="inlineStr">
        <is>
          <t>TRY</t>
        </is>
      </c>
      <c r="D1692" s="40" t="inlineStr">
        <is>
          <t>SERTAŞ MERKEZ</t>
        </is>
      </c>
      <c r="E1692" s="38" t="n">
        <v>42132</v>
      </c>
      <c r="F1692" s="38" t="n">
        <v>0</v>
      </c>
      <c r="G1692" s="38" t="n">
        <v>42132</v>
      </c>
      <c r="H1692" s="40" t="inlineStr">
        <is>
          <t>Borç</t>
        </is>
      </c>
      <c r="I1692" s="38" t="n">
        <v>42132</v>
      </c>
      <c r="J1692" s="38" t="n">
        <v>0</v>
      </c>
      <c r="K1692" s="38" t="n">
        <v>42132</v>
      </c>
      <c r="L1692" s="40" t="inlineStr">
        <is>
          <t>Borç</t>
        </is>
      </c>
    </row>
    <row r="1693" s="34">
      <c r="A1693" s="40" t="inlineStr">
        <is>
          <t>320.01.01.S001</t>
        </is>
      </c>
      <c r="B1693" s="40" t="inlineStr">
        <is>
          <t>Süleyman Kaya</t>
        </is>
      </c>
      <c r="C1693" s="40" t="inlineStr">
        <is>
          <t>TRY</t>
        </is>
      </c>
      <c r="D1693" s="40" t="inlineStr">
        <is>
          <t>ROYAL SEGINUS</t>
        </is>
      </c>
      <c r="E1693" s="38" t="n">
        <v>0</v>
      </c>
      <c r="F1693" s="38" t="n">
        <v>15000</v>
      </c>
      <c r="G1693" s="38" t="n">
        <v>-15000</v>
      </c>
      <c r="H1693" s="40" t="inlineStr">
        <is>
          <t>Alacak</t>
        </is>
      </c>
      <c r="I1693" s="38" t="n">
        <v>0</v>
      </c>
      <c r="J1693" s="38" t="n">
        <v>15000</v>
      </c>
      <c r="K1693" s="38" t="n">
        <v>-15000</v>
      </c>
      <c r="L1693" s="40" t="inlineStr">
        <is>
          <t>Alacak</t>
        </is>
      </c>
    </row>
    <row r="1694" s="34">
      <c r="A1694" s="40" t="inlineStr">
        <is>
          <t>320.01.01.S001</t>
        </is>
      </c>
      <c r="B1694" s="40" t="inlineStr">
        <is>
          <t>Süleyman Kaya</t>
        </is>
      </c>
      <c r="C1694" s="40" t="inlineStr">
        <is>
          <t>TRY</t>
        </is>
      </c>
      <c r="D1694" s="40" t="inlineStr">
        <is>
          <t>SERTAŞ MERKEZ</t>
        </is>
      </c>
      <c r="E1694" s="38" t="n">
        <v>15000</v>
      </c>
      <c r="F1694" s="38" t="n">
        <v>0</v>
      </c>
      <c r="G1694" s="38" t="n">
        <v>15000</v>
      </c>
      <c r="H1694" s="40" t="inlineStr">
        <is>
          <t>Borç</t>
        </is>
      </c>
      <c r="I1694" s="38" t="n">
        <v>15000</v>
      </c>
      <c r="J1694" s="38" t="n">
        <v>0</v>
      </c>
      <c r="K1694" s="38" t="n">
        <v>15000</v>
      </c>
      <c r="L1694" s="40" t="inlineStr">
        <is>
          <t>Borç</t>
        </is>
      </c>
    </row>
    <row r="1695" s="34">
      <c r="A1695" s="40" t="inlineStr">
        <is>
          <t>320.01.01.Ş001</t>
        </is>
      </c>
      <c r="B1695" s="40" t="inlineStr">
        <is>
          <t>Şener Elektronik İthalat İhracat ve Ticaret Lmited Şirketi</t>
        </is>
      </c>
      <c r="C1695" s="40" t="inlineStr">
        <is>
          <t>TRY</t>
        </is>
      </c>
      <c r="D1695" s="40" t="inlineStr">
        <is>
          <t>GİTAŞ MERKEZ</t>
        </is>
      </c>
      <c r="E1695" s="38" t="n">
        <v>56675.88</v>
      </c>
      <c r="F1695" s="38" t="n">
        <v>0</v>
      </c>
      <c r="G1695" s="38" t="n">
        <v>56675.88</v>
      </c>
      <c r="H1695" s="40" t="inlineStr">
        <is>
          <t>Borç</t>
        </is>
      </c>
      <c r="I1695" s="38" t="n">
        <v>56675.88</v>
      </c>
      <c r="J1695" s="38" t="n">
        <v>0</v>
      </c>
      <c r="K1695" s="38" t="n">
        <v>56675.88</v>
      </c>
      <c r="L1695" s="40" t="inlineStr">
        <is>
          <t>Borç</t>
        </is>
      </c>
    </row>
    <row r="1696" s="34">
      <c r="A1696" s="40" t="inlineStr">
        <is>
          <t>320.01.01.Ş001</t>
        </is>
      </c>
      <c r="B1696" s="40" t="inlineStr">
        <is>
          <t>Şener Elektronik İthalat İhracat ve Ticaret Lmited Şirketi</t>
        </is>
      </c>
      <c r="C1696" s="40" t="inlineStr">
        <is>
          <t>TRY</t>
        </is>
      </c>
      <c r="D1696" s="40" t="inlineStr">
        <is>
          <t>ROYAL ALHAMBRA</t>
        </is>
      </c>
      <c r="E1696" s="38" t="n">
        <v>0</v>
      </c>
      <c r="F1696" s="38" t="n">
        <v>2558.3</v>
      </c>
      <c r="G1696" s="38" t="n">
        <v>-2558.3</v>
      </c>
      <c r="H1696" s="40" t="inlineStr">
        <is>
          <t>Alacak</t>
        </is>
      </c>
      <c r="I1696" s="38" t="n">
        <v>0</v>
      </c>
      <c r="J1696" s="38" t="n">
        <v>2558.3</v>
      </c>
      <c r="K1696" s="38" t="n">
        <v>-2558.3</v>
      </c>
      <c r="L1696" s="40" t="inlineStr">
        <is>
          <t>Alacak</t>
        </is>
      </c>
    </row>
    <row r="1697" s="34">
      <c r="A1697" s="40" t="inlineStr">
        <is>
          <t>320.01.01.S002</t>
        </is>
      </c>
      <c r="B1697" s="40" t="inlineStr">
        <is>
          <t>Sacak Telekomünikasyon İnş.Ltd.Şti.</t>
        </is>
      </c>
      <c r="C1697" s="40" t="inlineStr">
        <is>
          <t>TRY</t>
        </is>
      </c>
      <c r="D1697" s="40" t="inlineStr">
        <is>
          <t>GİTAŞ MERKEZ</t>
        </is>
      </c>
      <c r="E1697" s="38" t="n">
        <v>18000</v>
      </c>
      <c r="F1697" s="38" t="n">
        <v>0</v>
      </c>
      <c r="G1697" s="38" t="n">
        <v>18000</v>
      </c>
      <c r="H1697" s="40" t="inlineStr">
        <is>
          <t>Borç</t>
        </is>
      </c>
      <c r="I1697" s="38" t="n">
        <v>18000</v>
      </c>
      <c r="J1697" s="38" t="n">
        <v>0</v>
      </c>
      <c r="K1697" s="38" t="n">
        <v>18000</v>
      </c>
      <c r="L1697" s="40" t="inlineStr">
        <is>
          <t>Borç</t>
        </is>
      </c>
    </row>
    <row r="1698" s="34">
      <c r="A1698" s="40" t="inlineStr">
        <is>
          <t>320.01.01.S002</t>
        </is>
      </c>
      <c r="B1698" s="40" t="inlineStr">
        <is>
          <t>Sacak Telekomünikasyon İnş.Ltd.Şti.</t>
        </is>
      </c>
      <c r="C1698" s="40" t="inlineStr">
        <is>
          <t>TRY</t>
        </is>
      </c>
      <c r="D1698" s="40" t="inlineStr">
        <is>
          <t>SERTAŞ MERKEZ</t>
        </is>
      </c>
      <c r="E1698" s="38" t="n">
        <v>167760</v>
      </c>
      <c r="F1698" s="38" t="n">
        <v>0</v>
      </c>
      <c r="G1698" s="38" t="n">
        <v>167760</v>
      </c>
      <c r="H1698" s="40" t="inlineStr">
        <is>
          <t>Borç</t>
        </is>
      </c>
      <c r="I1698" s="38" t="n">
        <v>167760</v>
      </c>
      <c r="J1698" s="38" t="n">
        <v>0</v>
      </c>
      <c r="K1698" s="38" t="n">
        <v>167760</v>
      </c>
      <c r="L1698" s="40" t="inlineStr">
        <is>
          <t>Borç</t>
        </is>
      </c>
    </row>
    <row r="1699" s="34">
      <c r="A1699" s="40" t="inlineStr">
        <is>
          <t>320.01.01.S003</t>
        </is>
      </c>
      <c r="B1699" s="40" t="inlineStr">
        <is>
          <t>Sayar Teknik Doğalgaz ve Likit Petrol Gazları San.Tic.Ltd.Şti.</t>
        </is>
      </c>
      <c r="C1699" s="40" t="inlineStr">
        <is>
          <t>TRY</t>
        </is>
      </c>
      <c r="D1699" s="40" t="inlineStr">
        <is>
          <t>ROYAL ADAM EVE</t>
        </is>
      </c>
      <c r="E1699" s="38" t="n">
        <v>0</v>
      </c>
      <c r="F1699" s="38" t="n">
        <v>42000</v>
      </c>
      <c r="G1699" s="38" t="n">
        <v>-42000</v>
      </c>
      <c r="H1699" s="40" t="inlineStr">
        <is>
          <t>Alacak</t>
        </is>
      </c>
      <c r="I1699" s="38" t="n">
        <v>0</v>
      </c>
      <c r="J1699" s="38" t="n">
        <v>42000</v>
      </c>
      <c r="K1699" s="38" t="n">
        <v>-42000</v>
      </c>
      <c r="L1699" s="40" t="inlineStr">
        <is>
          <t>Alacak</t>
        </is>
      </c>
    </row>
    <row r="1700" s="34">
      <c r="A1700" s="40" t="inlineStr">
        <is>
          <t>320.01.01.S004</t>
        </is>
      </c>
      <c r="B1700" s="40" t="inlineStr">
        <is>
          <t>Sade Kurumsal Danışmanlık Ve Gıda San. T</t>
        </is>
      </c>
      <c r="C1700" s="40" t="inlineStr">
        <is>
          <t>TRY</t>
        </is>
      </c>
      <c r="D1700" s="40" t="inlineStr">
        <is>
          <t>GİTAŞ MERKEZ</t>
        </is>
      </c>
      <c r="E1700" s="38" t="n">
        <v>520774.34</v>
      </c>
      <c r="F1700" s="38" t="n">
        <v>0</v>
      </c>
      <c r="G1700" s="38" t="n">
        <v>520774.34</v>
      </c>
      <c r="H1700" s="40" t="inlineStr">
        <is>
          <t>Borç</t>
        </is>
      </c>
      <c r="I1700" s="38" t="n">
        <v>520774.34</v>
      </c>
      <c r="J1700" s="38" t="n">
        <v>0</v>
      </c>
      <c r="K1700" s="38" t="n">
        <v>520774.34</v>
      </c>
      <c r="L1700" s="40" t="inlineStr">
        <is>
          <t>Borç</t>
        </is>
      </c>
    </row>
    <row r="1701" s="34">
      <c r="A1701" s="40" t="inlineStr">
        <is>
          <t>320.01.01.S004</t>
        </is>
      </c>
      <c r="B1701" s="40" t="inlineStr">
        <is>
          <t>Sade Kurumsal Danışmanlık Ve Gıda San. T</t>
        </is>
      </c>
      <c r="C1701" s="40" t="inlineStr">
        <is>
          <t>TRY</t>
        </is>
      </c>
      <c r="D1701" s="40" t="inlineStr">
        <is>
          <t>ROYAL ADAM EVE</t>
        </is>
      </c>
      <c r="E1701" s="38" t="n">
        <v>177222.43</v>
      </c>
      <c r="F1701" s="38" t="n">
        <v>82939.62</v>
      </c>
      <c r="G1701" s="38" t="n">
        <v>94282.81</v>
      </c>
      <c r="H1701" s="40" t="inlineStr">
        <is>
          <t>Borç</t>
        </is>
      </c>
      <c r="I1701" s="38" t="n">
        <v>177222.43</v>
      </c>
      <c r="J1701" s="38" t="n">
        <v>82939.62</v>
      </c>
      <c r="K1701" s="38" t="n">
        <v>94282.81</v>
      </c>
      <c r="L1701" s="40" t="inlineStr">
        <is>
          <t>Borç</t>
        </is>
      </c>
    </row>
    <row r="1702" s="34">
      <c r="A1702" s="40" t="inlineStr">
        <is>
          <t>320.01.01.S004</t>
        </is>
      </c>
      <c r="B1702" s="40" t="inlineStr">
        <is>
          <t>Sade Kurumsal Danışmanlık Ve Gıda San. T</t>
        </is>
      </c>
      <c r="C1702" s="40" t="inlineStr">
        <is>
          <t>TRY</t>
        </is>
      </c>
      <c r="D1702" s="40" t="inlineStr">
        <is>
          <t>ROYAL ALHAMBRA</t>
        </is>
      </c>
      <c r="E1702" s="38" t="n">
        <v>0</v>
      </c>
      <c r="F1702" s="38" t="n">
        <v>670394.25</v>
      </c>
      <c r="G1702" s="38" t="n">
        <v>-670394.25</v>
      </c>
      <c r="H1702" s="40" t="inlineStr">
        <is>
          <t>Alacak</t>
        </is>
      </c>
      <c r="I1702" s="38" t="n">
        <v>0</v>
      </c>
      <c r="J1702" s="38" t="n">
        <v>670394.25</v>
      </c>
      <c r="K1702" s="38" t="n">
        <v>-670394.25</v>
      </c>
      <c r="L1702" s="40" t="inlineStr">
        <is>
          <t>Alacak</t>
        </is>
      </c>
    </row>
    <row r="1703" s="34">
      <c r="A1703" s="40" t="inlineStr">
        <is>
          <t>320.01.01.S004</t>
        </is>
      </c>
      <c r="B1703" s="40" t="inlineStr">
        <is>
          <t>Sade Kurumsal Danışmanlık Ve Gıda San. T</t>
        </is>
      </c>
      <c r="C1703" s="40" t="inlineStr">
        <is>
          <t>TRY</t>
        </is>
      </c>
      <c r="D1703" s="40" t="inlineStr">
        <is>
          <t>ROYAL DRAGON</t>
        </is>
      </c>
      <c r="E1703" s="38" t="n">
        <v>0</v>
      </c>
      <c r="F1703" s="38" t="n">
        <v>226470.23</v>
      </c>
      <c r="G1703" s="38" t="n">
        <v>-226470.23</v>
      </c>
      <c r="H1703" s="40" t="inlineStr">
        <is>
          <t>Alacak</t>
        </is>
      </c>
      <c r="I1703" s="38" t="n">
        <v>0</v>
      </c>
      <c r="J1703" s="38" t="n">
        <v>226470.23</v>
      </c>
      <c r="K1703" s="38" t="n">
        <v>-226470.23</v>
      </c>
      <c r="L1703" s="40" t="inlineStr">
        <is>
          <t>Alacak</t>
        </is>
      </c>
    </row>
    <row r="1704" s="34">
      <c r="A1704" s="40" t="inlineStr">
        <is>
          <t>320.01.01.S004</t>
        </is>
      </c>
      <c r="B1704" s="40" t="inlineStr">
        <is>
          <t>Sade Kurumsal Danışmanlık Ve Gıda San. T</t>
        </is>
      </c>
      <c r="C1704" s="40" t="inlineStr">
        <is>
          <t>TRY</t>
        </is>
      </c>
      <c r="D1704" s="40" t="inlineStr">
        <is>
          <t>ROYAL HOLIDAY</t>
        </is>
      </c>
      <c r="E1704" s="38" t="n">
        <v>2999.7</v>
      </c>
      <c r="F1704" s="38" t="n">
        <v>305974.66</v>
      </c>
      <c r="G1704" s="38" t="n">
        <v>-302974.96</v>
      </c>
      <c r="H1704" s="40" t="inlineStr">
        <is>
          <t>Alacak</t>
        </is>
      </c>
      <c r="I1704" s="38" t="n">
        <v>2999.7</v>
      </c>
      <c r="J1704" s="38" t="n">
        <v>305974.66</v>
      </c>
      <c r="K1704" s="38" t="n">
        <v>-302974.96</v>
      </c>
      <c r="L1704" s="40" t="inlineStr">
        <is>
          <t>Alacak</t>
        </is>
      </c>
    </row>
    <row r="1705" s="34">
      <c r="A1705" s="40" t="inlineStr">
        <is>
          <t>320.01.01.S004</t>
        </is>
      </c>
      <c r="B1705" s="40" t="inlineStr">
        <is>
          <t>Sade Kurumsal Danışmanlık Ve Gıda San. T</t>
        </is>
      </c>
      <c r="C1705" s="40" t="inlineStr">
        <is>
          <t>TRY</t>
        </is>
      </c>
      <c r="D1705" s="40" t="inlineStr">
        <is>
          <t>ROYAL SEGINUS</t>
        </is>
      </c>
      <c r="E1705" s="38" t="n">
        <v>0</v>
      </c>
      <c r="F1705" s="38" t="n">
        <v>198629.52</v>
      </c>
      <c r="G1705" s="38" t="n">
        <v>-198629.52</v>
      </c>
      <c r="H1705" s="40" t="inlineStr">
        <is>
          <t>Alacak</t>
        </is>
      </c>
      <c r="I1705" s="38" t="n">
        <v>0</v>
      </c>
      <c r="J1705" s="38" t="n">
        <v>198629.52</v>
      </c>
      <c r="K1705" s="38" t="n">
        <v>-198629.52</v>
      </c>
      <c r="L1705" s="40" t="inlineStr">
        <is>
          <t>Alacak</t>
        </is>
      </c>
    </row>
    <row r="1706" s="34">
      <c r="A1706" s="40" t="inlineStr">
        <is>
          <t>320.01.01.S004</t>
        </is>
      </c>
      <c r="B1706" s="40" t="inlineStr">
        <is>
          <t>Sade Kurumsal Danışmanlık Ve Gıda San. T</t>
        </is>
      </c>
      <c r="C1706" s="40" t="inlineStr">
        <is>
          <t>TRY</t>
        </is>
      </c>
      <c r="D1706" s="40" t="inlineStr">
        <is>
          <t>SERTAŞ MERKEZ</t>
        </is>
      </c>
      <c r="E1706" s="38" t="n">
        <v>524452.09</v>
      </c>
      <c r="F1706" s="38" t="n">
        <v>0</v>
      </c>
      <c r="G1706" s="38" t="n">
        <v>524452.09</v>
      </c>
      <c r="H1706" s="40" t="inlineStr">
        <is>
          <t>Borç</t>
        </is>
      </c>
      <c r="I1706" s="38" t="n">
        <v>524452.09</v>
      </c>
      <c r="J1706" s="38" t="n">
        <v>0</v>
      </c>
      <c r="K1706" s="38" t="n">
        <v>524452.09</v>
      </c>
      <c r="L1706" s="40" t="inlineStr">
        <is>
          <t>Borç</t>
        </is>
      </c>
    </row>
    <row r="1707" s="34">
      <c r="A1707" s="40" t="inlineStr">
        <is>
          <t>320.01.01.Ş004</t>
        </is>
      </c>
      <c r="B1707" s="40" t="inlineStr">
        <is>
          <t>Şensesler Paz.Gıda Dağ.Ltd.Şti.</t>
        </is>
      </c>
      <c r="C1707" s="40" t="inlineStr">
        <is>
          <t>TRY</t>
        </is>
      </c>
      <c r="D1707" s="40" t="inlineStr">
        <is>
          <t>ROYAL ADAM EVE</t>
        </is>
      </c>
      <c r="E1707" s="38" t="n">
        <v>511200</v>
      </c>
      <c r="F1707" s="38" t="n">
        <v>0</v>
      </c>
      <c r="G1707" s="38" t="n">
        <v>511200</v>
      </c>
      <c r="H1707" s="40" t="inlineStr">
        <is>
          <t>Borç</t>
        </is>
      </c>
      <c r="I1707" s="38" t="n">
        <v>511200</v>
      </c>
      <c r="J1707" s="38" t="n">
        <v>0</v>
      </c>
      <c r="K1707" s="38" t="n">
        <v>511200</v>
      </c>
      <c r="L1707" s="40" t="inlineStr">
        <is>
          <t>Borç</t>
        </is>
      </c>
    </row>
    <row r="1708" s="34">
      <c r="A1708" s="40" t="inlineStr">
        <is>
          <t>320.01.01.S007</t>
        </is>
      </c>
      <c r="B1708" s="40" t="inlineStr">
        <is>
          <t>Şadi Nar / Manavgat Tarım Market</t>
        </is>
      </c>
      <c r="C1708" s="40" t="inlineStr">
        <is>
          <t>TRY</t>
        </is>
      </c>
      <c r="D1708" s="40" t="inlineStr">
        <is>
          <t>GİTAŞ MERKEZ</t>
        </is>
      </c>
      <c r="E1708" s="38" t="n">
        <v>1100</v>
      </c>
      <c r="F1708" s="38" t="n">
        <v>0</v>
      </c>
      <c r="G1708" s="38" t="n">
        <v>1100</v>
      </c>
      <c r="H1708" s="40" t="inlineStr">
        <is>
          <t>Borç</t>
        </is>
      </c>
      <c r="I1708" s="38" t="n">
        <v>1100</v>
      </c>
      <c r="J1708" s="38" t="n">
        <v>0</v>
      </c>
      <c r="K1708" s="38" t="n">
        <v>1100</v>
      </c>
      <c r="L1708" s="40" t="inlineStr">
        <is>
          <t>Borç</t>
        </is>
      </c>
    </row>
    <row r="1709" s="34">
      <c r="A1709" s="40" t="inlineStr">
        <is>
          <t>320.01.01.Ş007</t>
        </is>
      </c>
      <c r="B1709" s="40" t="inlineStr">
        <is>
          <t>Şaban Elibol</t>
        </is>
      </c>
      <c r="C1709" s="40" t="inlineStr">
        <is>
          <t>TRY</t>
        </is>
      </c>
      <c r="D1709" s="40" t="inlineStr">
        <is>
          <t>SERTAŞ MERKEZ</t>
        </is>
      </c>
      <c r="E1709" s="38" t="n">
        <v>10800</v>
      </c>
      <c r="F1709" s="38" t="n">
        <v>0</v>
      </c>
      <c r="G1709" s="38" t="n">
        <v>10800</v>
      </c>
      <c r="H1709" s="40" t="inlineStr">
        <is>
          <t>Borç</t>
        </is>
      </c>
      <c r="I1709" s="38" t="n">
        <v>10800</v>
      </c>
      <c r="J1709" s="38" t="n">
        <v>0</v>
      </c>
      <c r="K1709" s="38" t="n">
        <v>10800</v>
      </c>
      <c r="L1709" s="40" t="inlineStr">
        <is>
          <t>Borç</t>
        </is>
      </c>
    </row>
    <row r="1710" s="34">
      <c r="A1710" s="40" t="inlineStr">
        <is>
          <t>320.01.01.Ş008</t>
        </is>
      </c>
      <c r="B1710" s="40" t="inlineStr">
        <is>
          <t>Şevket EM</t>
        </is>
      </c>
      <c r="C1710" s="40" t="inlineStr">
        <is>
          <t>TRY</t>
        </is>
      </c>
      <c r="D1710" s="40" t="inlineStr">
        <is>
          <t>ROYAL ADAM EVE</t>
        </is>
      </c>
      <c r="E1710" s="38" t="n">
        <v>9600</v>
      </c>
      <c r="F1710" s="38" t="n">
        <v>9600</v>
      </c>
      <c r="G1710" s="38" t="n">
        <v>0</v>
      </c>
      <c r="I1710" s="38" t="n">
        <v>9600</v>
      </c>
      <c r="J1710" s="38" t="n">
        <v>9600</v>
      </c>
      <c r="K1710" s="38" t="n">
        <v>0</v>
      </c>
    </row>
    <row r="1711" s="34">
      <c r="A1711" s="40" t="inlineStr">
        <is>
          <t>320.01.01.S022</t>
        </is>
      </c>
      <c r="B1711" s="40" t="inlineStr">
        <is>
          <t>Sanipak Saglıklı Yasam Ürünleri San.Ve T</t>
        </is>
      </c>
      <c r="C1711" s="40" t="inlineStr">
        <is>
          <t>TRY</t>
        </is>
      </c>
      <c r="D1711" s="40" t="inlineStr">
        <is>
          <t>SERTAŞ MERKEZ</t>
        </is>
      </c>
      <c r="E1711" s="38" t="n">
        <v>786088.8199999999</v>
      </c>
      <c r="F1711" s="38" t="n">
        <v>0</v>
      </c>
      <c r="G1711" s="38" t="n">
        <v>786088.8199999999</v>
      </c>
      <c r="H1711" s="40" t="inlineStr">
        <is>
          <t>Borç</t>
        </is>
      </c>
      <c r="I1711" s="38" t="n">
        <v>786088.8199999999</v>
      </c>
      <c r="J1711" s="38" t="n">
        <v>0</v>
      </c>
      <c r="K1711" s="38" t="n">
        <v>786088.8199999999</v>
      </c>
      <c r="L1711" s="40" t="inlineStr">
        <is>
          <t>Borç</t>
        </is>
      </c>
    </row>
    <row r="1712" s="34">
      <c r="A1712" s="40" t="inlineStr">
        <is>
          <t>320.01.01.S031</t>
        </is>
      </c>
      <c r="B1712" s="40" t="inlineStr">
        <is>
          <t>Sahil Vidanjör Taşımacılık İnşaat Turizm Ticaret Limited Şirketi</t>
        </is>
      </c>
      <c r="C1712" s="40" t="inlineStr">
        <is>
          <t>TRY</t>
        </is>
      </c>
      <c r="D1712" s="40" t="inlineStr">
        <is>
          <t>SERTAŞ MERKEZ</t>
        </is>
      </c>
      <c r="E1712" s="38" t="n">
        <v>175440</v>
      </c>
      <c r="F1712" s="38" t="n">
        <v>0</v>
      </c>
      <c r="G1712" s="38" t="n">
        <v>175440</v>
      </c>
      <c r="H1712" s="40" t="inlineStr">
        <is>
          <t>Borç</t>
        </is>
      </c>
      <c r="I1712" s="38" t="n">
        <v>175440</v>
      </c>
      <c r="J1712" s="38" t="n">
        <v>0</v>
      </c>
      <c r="K1712" s="38" t="n">
        <v>175440</v>
      </c>
      <c r="L1712" s="40" t="inlineStr">
        <is>
          <t>Borç</t>
        </is>
      </c>
    </row>
    <row r="1713" s="34">
      <c r="A1713" s="40" t="inlineStr">
        <is>
          <t>320.01.01.S035</t>
        </is>
      </c>
      <c r="B1713" s="40" t="inlineStr">
        <is>
          <t>Savoredt Gıda Soğutma Sist.Tic.Ltd.Şti.</t>
        </is>
      </c>
      <c r="C1713" s="40" t="inlineStr">
        <is>
          <t>TRY</t>
        </is>
      </c>
      <c r="D1713" s="40" t="inlineStr">
        <is>
          <t>GİTAŞ MERKEZ</t>
        </is>
      </c>
      <c r="E1713" s="38" t="n">
        <v>53986.51</v>
      </c>
      <c r="F1713" s="38" t="n">
        <v>0</v>
      </c>
      <c r="G1713" s="38" t="n">
        <v>53986.51</v>
      </c>
      <c r="H1713" s="40" t="inlineStr">
        <is>
          <t>Borç</t>
        </is>
      </c>
      <c r="I1713" s="38" t="n">
        <v>53986.51</v>
      </c>
      <c r="J1713" s="38" t="n">
        <v>0</v>
      </c>
      <c r="K1713" s="38" t="n">
        <v>53986.51</v>
      </c>
      <c r="L1713" s="40" t="inlineStr">
        <is>
          <t>Borç</t>
        </is>
      </c>
    </row>
    <row r="1714" s="34">
      <c r="A1714" s="40" t="inlineStr">
        <is>
          <t>320.01.01.S035</t>
        </is>
      </c>
      <c r="B1714" s="40" t="inlineStr">
        <is>
          <t>Savoredt Gıda Soğutma Sist.Tic.Ltd.Şti.</t>
        </is>
      </c>
      <c r="C1714" s="40" t="inlineStr">
        <is>
          <t>TRY</t>
        </is>
      </c>
      <c r="D1714" s="40" t="inlineStr">
        <is>
          <t>SERTAŞ MERKEZ</t>
        </is>
      </c>
      <c r="E1714" s="38" t="n">
        <v>5001.32</v>
      </c>
      <c r="F1714" s="38" t="n">
        <v>0</v>
      </c>
      <c r="G1714" s="38" t="n">
        <v>5001.32</v>
      </c>
      <c r="H1714" s="40" t="inlineStr">
        <is>
          <t>Borç</t>
        </is>
      </c>
      <c r="I1714" s="38" t="n">
        <v>5001.32</v>
      </c>
      <c r="J1714" s="38" t="n">
        <v>0</v>
      </c>
      <c r="K1714" s="38" t="n">
        <v>5001.32</v>
      </c>
      <c r="L1714" s="40" t="inlineStr">
        <is>
          <t>Borç</t>
        </is>
      </c>
    </row>
    <row r="1715" s="34">
      <c r="A1715" s="40" t="inlineStr">
        <is>
          <t>320.01.01.S036</t>
        </is>
      </c>
      <c r="B1715" s="40" t="inlineStr">
        <is>
          <t>Savaş Sevinç</t>
        </is>
      </c>
      <c r="C1715" s="40" t="inlineStr">
        <is>
          <t>TRY</t>
        </is>
      </c>
      <c r="D1715" s="40" t="inlineStr">
        <is>
          <t>GİTAŞ MERKEZ</t>
        </is>
      </c>
      <c r="E1715" s="38" t="n">
        <v>18500</v>
      </c>
      <c r="F1715" s="38" t="n">
        <v>0</v>
      </c>
      <c r="G1715" s="38" t="n">
        <v>18500</v>
      </c>
      <c r="H1715" s="40" t="inlineStr">
        <is>
          <t>Borç</t>
        </is>
      </c>
      <c r="I1715" s="38" t="n">
        <v>18500</v>
      </c>
      <c r="J1715" s="38" t="n">
        <v>0</v>
      </c>
      <c r="K1715" s="38" t="n">
        <v>18500</v>
      </c>
      <c r="L1715" s="40" t="inlineStr">
        <is>
          <t>Borç</t>
        </is>
      </c>
    </row>
    <row r="1716" s="34">
      <c r="A1716" s="40" t="inlineStr">
        <is>
          <t>320.01.01.S037</t>
        </is>
      </c>
      <c r="B1716" s="40" t="inlineStr">
        <is>
          <t>Suntalya Turizm Seyahat Taşımacılık A.Ş</t>
        </is>
      </c>
      <c r="C1716" s="40" t="inlineStr">
        <is>
          <t>EUR</t>
        </is>
      </c>
      <c r="D1716" s="40" t="inlineStr">
        <is>
          <t>SERTAŞ MERKEZ</t>
        </is>
      </c>
      <c r="E1716" s="38" t="n">
        <v>0</v>
      </c>
      <c r="F1716" s="38" t="n">
        <v>1221.7</v>
      </c>
      <c r="G1716" s="38" t="n">
        <v>-1221.7</v>
      </c>
      <c r="H1716" s="40" t="inlineStr">
        <is>
          <t>Alacak</t>
        </is>
      </c>
      <c r="I1716" s="38" t="n">
        <v>0</v>
      </c>
      <c r="J1716" s="38" t="n">
        <v>0</v>
      </c>
      <c r="K1716" s="38" t="n">
        <v>0</v>
      </c>
    </row>
    <row r="1717" s="34">
      <c r="A1717" s="40" t="inlineStr">
        <is>
          <t>320.01.01.S038</t>
        </is>
      </c>
      <c r="B1717" s="40" t="inlineStr">
        <is>
          <t>Sbc Geri Dönüşüm San.Tic.A.Ş.</t>
        </is>
      </c>
      <c r="C1717" s="40" t="inlineStr">
        <is>
          <t>TRY</t>
        </is>
      </c>
      <c r="D1717" s="40" t="inlineStr">
        <is>
          <t>SERTAŞ MERKEZ</t>
        </is>
      </c>
      <c r="E1717" s="38" t="n">
        <v>24347.55</v>
      </c>
      <c r="F1717" s="38" t="n">
        <v>0</v>
      </c>
      <c r="G1717" s="38" t="n">
        <v>24347.55</v>
      </c>
      <c r="H1717" s="40" t="inlineStr">
        <is>
          <t>Borç</t>
        </is>
      </c>
      <c r="I1717" s="38" t="n">
        <v>24347.55</v>
      </c>
      <c r="J1717" s="38" t="n">
        <v>0</v>
      </c>
      <c r="K1717" s="38" t="n">
        <v>24347.55</v>
      </c>
      <c r="L1717" s="40" t="inlineStr">
        <is>
          <t>Borç</t>
        </is>
      </c>
    </row>
    <row r="1718" s="34">
      <c r="A1718" s="40" t="inlineStr">
        <is>
          <t>320.01.01.S057</t>
        </is>
      </c>
      <c r="B1718" s="40" t="inlineStr">
        <is>
          <t>Şekerci Sıtkı Gıda Paz. Tur. San. Ve Tic. A.Ş.</t>
        </is>
      </c>
      <c r="C1718" s="40" t="inlineStr">
        <is>
          <t>TRY</t>
        </is>
      </c>
      <c r="D1718" s="40" t="inlineStr">
        <is>
          <t>GİTAŞ MERKEZ</t>
        </is>
      </c>
      <c r="E1718" s="38" t="n">
        <v>1071395.93</v>
      </c>
      <c r="F1718" s="38" t="n">
        <v>0</v>
      </c>
      <c r="G1718" s="38" t="n">
        <v>1071395.93</v>
      </c>
      <c r="H1718" s="40" t="inlineStr">
        <is>
          <t>Borç</t>
        </is>
      </c>
      <c r="I1718" s="38" t="n">
        <v>1071395.93</v>
      </c>
      <c r="J1718" s="38" t="n">
        <v>0</v>
      </c>
      <c r="K1718" s="38" t="n">
        <v>1071395.93</v>
      </c>
      <c r="L1718" s="40" t="inlineStr">
        <is>
          <t>Borç</t>
        </is>
      </c>
    </row>
    <row r="1719" s="34">
      <c r="A1719" s="40" t="inlineStr">
        <is>
          <t>320.01.01.S057</t>
        </is>
      </c>
      <c r="B1719" s="40" t="inlineStr">
        <is>
          <t>Şekerci Sıtkı Gıda Paz. Tur. San. Ve Tic. A.Ş.</t>
        </is>
      </c>
      <c r="C1719" s="40" t="inlineStr">
        <is>
          <t>TRY</t>
        </is>
      </c>
      <c r="D1719" s="40" t="inlineStr">
        <is>
          <t>ROYAL ADAM EVE</t>
        </is>
      </c>
      <c r="E1719" s="38" t="n">
        <v>600475.55</v>
      </c>
      <c r="F1719" s="38" t="n">
        <v>217880.77</v>
      </c>
      <c r="G1719" s="38" t="n">
        <v>382594.78</v>
      </c>
      <c r="H1719" s="40" t="inlineStr">
        <is>
          <t>Borç</t>
        </is>
      </c>
      <c r="I1719" s="38" t="n">
        <v>600475.55</v>
      </c>
      <c r="J1719" s="38" t="n">
        <v>217880.77</v>
      </c>
      <c r="K1719" s="38" t="n">
        <v>382594.78</v>
      </c>
      <c r="L1719" s="40" t="inlineStr">
        <is>
          <t>Borç</t>
        </is>
      </c>
    </row>
    <row r="1720" s="34">
      <c r="A1720" s="40" t="inlineStr">
        <is>
          <t>320.01.01.S057</t>
        </is>
      </c>
      <c r="B1720" s="40" t="inlineStr">
        <is>
          <t>Şekerci Sıtkı Gıda Paz. Tur. San. Ve Tic. A.Ş.</t>
        </is>
      </c>
      <c r="C1720" s="40" t="inlineStr">
        <is>
          <t>TRY</t>
        </is>
      </c>
      <c r="D1720" s="40" t="inlineStr">
        <is>
          <t>ROYAL ALHAMBRA</t>
        </is>
      </c>
      <c r="E1720" s="38" t="n">
        <v>0</v>
      </c>
      <c r="F1720" s="38" t="n">
        <v>342424.04</v>
      </c>
      <c r="G1720" s="38" t="n">
        <v>-342424.04</v>
      </c>
      <c r="H1720" s="40" t="inlineStr">
        <is>
          <t>Alacak</t>
        </is>
      </c>
      <c r="I1720" s="38" t="n">
        <v>0</v>
      </c>
      <c r="J1720" s="38" t="n">
        <v>342424.04</v>
      </c>
      <c r="K1720" s="38" t="n">
        <v>-342424.04</v>
      </c>
      <c r="L1720" s="40" t="inlineStr">
        <is>
          <t>Alacak</t>
        </is>
      </c>
    </row>
    <row r="1721" s="34">
      <c r="A1721" s="40" t="inlineStr">
        <is>
          <t>320.01.01.S057</t>
        </is>
      </c>
      <c r="B1721" s="40" t="inlineStr">
        <is>
          <t>Şekerci Sıtkı Gıda Paz. Tur. San. Ve Tic. A.Ş.</t>
        </is>
      </c>
      <c r="C1721" s="40" t="inlineStr">
        <is>
          <t>TRY</t>
        </is>
      </c>
      <c r="D1721" s="40" t="inlineStr">
        <is>
          <t>ROYAL DRAGON</t>
        </is>
      </c>
      <c r="E1721" s="38" t="n">
        <v>0</v>
      </c>
      <c r="F1721" s="38" t="n">
        <v>400662.82</v>
      </c>
      <c r="G1721" s="38" t="n">
        <v>-400662.82</v>
      </c>
      <c r="H1721" s="40" t="inlineStr">
        <is>
          <t>Alacak</t>
        </is>
      </c>
      <c r="I1721" s="38" t="n">
        <v>0</v>
      </c>
      <c r="J1721" s="38" t="n">
        <v>400662.82</v>
      </c>
      <c r="K1721" s="38" t="n">
        <v>-400662.82</v>
      </c>
      <c r="L1721" s="40" t="inlineStr">
        <is>
          <t>Alacak</t>
        </is>
      </c>
    </row>
    <row r="1722" s="34">
      <c r="A1722" s="40" t="inlineStr">
        <is>
          <t>320.01.01.S057</t>
        </is>
      </c>
      <c r="B1722" s="40" t="inlineStr">
        <is>
          <t>Şekerci Sıtkı Gıda Paz. Tur. San. Ve Tic. A.Ş.</t>
        </is>
      </c>
      <c r="C1722" s="40" t="inlineStr">
        <is>
          <t>TRY</t>
        </is>
      </c>
      <c r="D1722" s="40" t="inlineStr">
        <is>
          <t>ROYAL HOLIDAY</t>
        </is>
      </c>
      <c r="E1722" s="38" t="n">
        <v>0</v>
      </c>
      <c r="F1722" s="38" t="n">
        <v>852596.15</v>
      </c>
      <c r="G1722" s="38" t="n">
        <v>-852596.15</v>
      </c>
      <c r="H1722" s="40" t="inlineStr">
        <is>
          <t>Alacak</t>
        </is>
      </c>
      <c r="I1722" s="38" t="n">
        <v>0</v>
      </c>
      <c r="J1722" s="38" t="n">
        <v>852596.15</v>
      </c>
      <c r="K1722" s="38" t="n">
        <v>-852596.15</v>
      </c>
      <c r="L1722" s="40" t="inlineStr">
        <is>
          <t>Alacak</t>
        </is>
      </c>
    </row>
    <row r="1723" s="34">
      <c r="A1723" s="40" t="inlineStr">
        <is>
          <t>320.01.01.S057</t>
        </is>
      </c>
      <c r="B1723" s="40" t="inlineStr">
        <is>
          <t>Şekerci Sıtkı Gıda Paz. Tur. San. Ve Tic. A.Ş.</t>
        </is>
      </c>
      <c r="C1723" s="40" t="inlineStr">
        <is>
          <t>TRY</t>
        </is>
      </c>
      <c r="D1723" s="40" t="inlineStr">
        <is>
          <t>ROYAL SEGINUS</t>
        </is>
      </c>
      <c r="E1723" s="38" t="n">
        <v>0</v>
      </c>
      <c r="F1723" s="38" t="n">
        <v>1094966.73</v>
      </c>
      <c r="G1723" s="38" t="n">
        <v>-1094966.73</v>
      </c>
      <c r="H1723" s="40" t="inlineStr">
        <is>
          <t>Alacak</t>
        </is>
      </c>
      <c r="I1723" s="38" t="n">
        <v>0</v>
      </c>
      <c r="J1723" s="38" t="n">
        <v>1094966.73</v>
      </c>
      <c r="K1723" s="38" t="n">
        <v>-1094966.73</v>
      </c>
      <c r="L1723" s="40" t="inlineStr">
        <is>
          <t>Alacak</t>
        </is>
      </c>
    </row>
    <row r="1724" s="34">
      <c r="A1724" s="40" t="inlineStr">
        <is>
          <t>320.01.01.S057</t>
        </is>
      </c>
      <c r="B1724" s="40" t="inlineStr">
        <is>
          <t>Şekerci Sıtkı Gıda Paz. Tur. San. Ve Tic. A.Ş.</t>
        </is>
      </c>
      <c r="C1724" s="40" t="inlineStr">
        <is>
          <t>TRY</t>
        </is>
      </c>
      <c r="D1724" s="40" t="inlineStr">
        <is>
          <t>SERTAŞ MERKEZ</t>
        </is>
      </c>
      <c r="E1724" s="38" t="n">
        <v>1541511.54</v>
      </c>
      <c r="F1724" s="38" t="n">
        <v>0</v>
      </c>
      <c r="G1724" s="38" t="n">
        <v>1541511.54</v>
      </c>
      <c r="H1724" s="40" t="inlineStr">
        <is>
          <t>Borç</t>
        </is>
      </c>
      <c r="I1724" s="38" t="n">
        <v>1541511.54</v>
      </c>
      <c r="J1724" s="38" t="n">
        <v>0</v>
      </c>
      <c r="K1724" s="38" t="n">
        <v>1541511.54</v>
      </c>
      <c r="L1724" s="40" t="inlineStr">
        <is>
          <t>Borç</t>
        </is>
      </c>
    </row>
    <row r="1725" s="34">
      <c r="A1725" s="40" t="inlineStr">
        <is>
          <t>320.01.01.S064</t>
        </is>
      </c>
      <c r="B1725" s="40" t="inlineStr">
        <is>
          <t>Semercioglu Gıda San.Ve Tic.A.Ş.</t>
        </is>
      </c>
      <c r="C1725" s="40" t="inlineStr">
        <is>
          <t>TRY</t>
        </is>
      </c>
      <c r="D1725" s="40" t="inlineStr">
        <is>
          <t>GİTAŞ MERKEZ</t>
        </is>
      </c>
      <c r="E1725" s="38" t="n">
        <v>178890.43</v>
      </c>
      <c r="F1725" s="38" t="n">
        <v>0</v>
      </c>
      <c r="G1725" s="38" t="n">
        <v>178890.43</v>
      </c>
      <c r="H1725" s="40" t="inlineStr">
        <is>
          <t>Borç</t>
        </is>
      </c>
      <c r="I1725" s="38" t="n">
        <v>178890.43</v>
      </c>
      <c r="J1725" s="38" t="n">
        <v>0</v>
      </c>
      <c r="K1725" s="38" t="n">
        <v>178890.43</v>
      </c>
      <c r="L1725" s="40" t="inlineStr">
        <is>
          <t>Borç</t>
        </is>
      </c>
    </row>
    <row r="1726" s="34">
      <c r="A1726" s="40" t="inlineStr">
        <is>
          <t>320.01.01.S064</t>
        </is>
      </c>
      <c r="B1726" s="40" t="inlineStr">
        <is>
          <t>Semercioglu Gıda San.Ve Tic.A.Ş.</t>
        </is>
      </c>
      <c r="C1726" s="40" t="inlineStr">
        <is>
          <t>TRY</t>
        </is>
      </c>
      <c r="D1726" s="40" t="inlineStr">
        <is>
          <t>ROYAL ADAM EVE</t>
        </is>
      </c>
      <c r="E1726" s="38" t="n">
        <v>0</v>
      </c>
      <c r="F1726" s="38" t="n">
        <v>12329.79</v>
      </c>
      <c r="G1726" s="38" t="n">
        <v>-12329.79</v>
      </c>
      <c r="H1726" s="40" t="inlineStr">
        <is>
          <t>Alacak</t>
        </is>
      </c>
      <c r="I1726" s="38" t="n">
        <v>0</v>
      </c>
      <c r="J1726" s="38" t="n">
        <v>12329.79</v>
      </c>
      <c r="K1726" s="38" t="n">
        <v>-12329.79</v>
      </c>
      <c r="L1726" s="40" t="inlineStr">
        <is>
          <t>Alacak</t>
        </is>
      </c>
    </row>
    <row r="1727" s="34">
      <c r="A1727" s="40" t="inlineStr">
        <is>
          <t>320.01.01.S064</t>
        </is>
      </c>
      <c r="B1727" s="40" t="inlineStr">
        <is>
          <t>Semercioglu Gıda San.Ve Tic.A.Ş.</t>
        </is>
      </c>
      <c r="C1727" s="40" t="inlineStr">
        <is>
          <t>TRY</t>
        </is>
      </c>
      <c r="D1727" s="40" t="inlineStr">
        <is>
          <t>ROYAL ALHAMBRA</t>
        </is>
      </c>
      <c r="E1727" s="38" t="n">
        <v>0</v>
      </c>
      <c r="F1727" s="38" t="n">
        <v>131933.8</v>
      </c>
      <c r="G1727" s="38" t="n">
        <v>-131933.8</v>
      </c>
      <c r="H1727" s="40" t="inlineStr">
        <is>
          <t>Alacak</t>
        </is>
      </c>
      <c r="I1727" s="38" t="n">
        <v>0</v>
      </c>
      <c r="J1727" s="38" t="n">
        <v>131933.8</v>
      </c>
      <c r="K1727" s="38" t="n">
        <v>-131933.8</v>
      </c>
      <c r="L1727" s="40" t="inlineStr">
        <is>
          <t>Alacak</t>
        </is>
      </c>
    </row>
    <row r="1728" s="34">
      <c r="A1728" s="40" t="inlineStr">
        <is>
          <t>320.01.01.S064</t>
        </is>
      </c>
      <c r="B1728" s="40" t="inlineStr">
        <is>
          <t>Semercioglu Gıda San.Ve Tic.A.Ş.</t>
        </is>
      </c>
      <c r="C1728" s="40" t="inlineStr">
        <is>
          <t>TRY</t>
        </is>
      </c>
      <c r="D1728" s="40" t="inlineStr">
        <is>
          <t>ROYAL DRAGON</t>
        </is>
      </c>
      <c r="E1728" s="38" t="n">
        <v>0</v>
      </c>
      <c r="F1728" s="38" t="n">
        <v>40162.85</v>
      </c>
      <c r="G1728" s="38" t="n">
        <v>-40162.85</v>
      </c>
      <c r="H1728" s="40" t="inlineStr">
        <is>
          <t>Alacak</t>
        </is>
      </c>
      <c r="I1728" s="38" t="n">
        <v>0</v>
      </c>
      <c r="J1728" s="38" t="n">
        <v>40162.85</v>
      </c>
      <c r="K1728" s="38" t="n">
        <v>-40162.85</v>
      </c>
      <c r="L1728" s="40" t="inlineStr">
        <is>
          <t>Alacak</t>
        </is>
      </c>
    </row>
    <row r="1729" s="34">
      <c r="A1729" s="40" t="inlineStr">
        <is>
          <t>320.01.01.S064</t>
        </is>
      </c>
      <c r="B1729" s="40" t="inlineStr">
        <is>
          <t>Semercioglu Gıda San.Ve Tic.A.Ş.</t>
        </is>
      </c>
      <c r="C1729" s="40" t="inlineStr">
        <is>
          <t>TRY</t>
        </is>
      </c>
      <c r="D1729" s="40" t="inlineStr">
        <is>
          <t>ROYAL HOLIDAY</t>
        </is>
      </c>
      <c r="E1729" s="38" t="n">
        <v>0</v>
      </c>
      <c r="F1729" s="38" t="n">
        <v>67719.38</v>
      </c>
      <c r="G1729" s="38" t="n">
        <v>-67719.38</v>
      </c>
      <c r="H1729" s="40" t="inlineStr">
        <is>
          <t>Alacak</t>
        </is>
      </c>
      <c r="I1729" s="38" t="n">
        <v>0</v>
      </c>
      <c r="J1729" s="38" t="n">
        <v>67719.38</v>
      </c>
      <c r="K1729" s="38" t="n">
        <v>-67719.38</v>
      </c>
      <c r="L1729" s="40" t="inlineStr">
        <is>
          <t>Alacak</t>
        </is>
      </c>
    </row>
    <row r="1730" s="34">
      <c r="A1730" s="40" t="inlineStr">
        <is>
          <t>320.01.01.S064</t>
        </is>
      </c>
      <c r="B1730" s="40" t="inlineStr">
        <is>
          <t>Semercioglu Gıda San.Ve Tic.A.Ş.</t>
        </is>
      </c>
      <c r="C1730" s="40" t="inlineStr">
        <is>
          <t>TRY</t>
        </is>
      </c>
      <c r="D1730" s="40" t="inlineStr">
        <is>
          <t>ROYAL SEGINUS</t>
        </is>
      </c>
      <c r="E1730" s="38" t="n">
        <v>0</v>
      </c>
      <c r="F1730" s="38" t="n">
        <v>134551.75</v>
      </c>
      <c r="G1730" s="38" t="n">
        <v>-134551.75</v>
      </c>
      <c r="H1730" s="40" t="inlineStr">
        <is>
          <t>Alacak</t>
        </is>
      </c>
      <c r="I1730" s="38" t="n">
        <v>0</v>
      </c>
      <c r="J1730" s="38" t="n">
        <v>134551.75</v>
      </c>
      <c r="K1730" s="38" t="n">
        <v>-134551.75</v>
      </c>
      <c r="L1730" s="40" t="inlineStr">
        <is>
          <t>Alacak</t>
        </is>
      </c>
    </row>
    <row r="1731" s="34">
      <c r="A1731" s="40" t="inlineStr">
        <is>
          <t>320.01.01.S064</t>
        </is>
      </c>
      <c r="B1731" s="40" t="inlineStr">
        <is>
          <t>Semercioglu Gıda San.Ve Tic.A.Ş.</t>
        </is>
      </c>
      <c r="C1731" s="40" t="inlineStr">
        <is>
          <t>TRY</t>
        </is>
      </c>
      <c r="D1731" s="40" t="inlineStr">
        <is>
          <t>SERTAŞ MERKEZ</t>
        </is>
      </c>
      <c r="E1731" s="38" t="n">
        <v>152413.46</v>
      </c>
      <c r="F1731" s="38" t="n">
        <v>0</v>
      </c>
      <c r="G1731" s="38" t="n">
        <v>152413.46</v>
      </c>
      <c r="H1731" s="40" t="inlineStr">
        <is>
          <t>Borç</t>
        </is>
      </c>
      <c r="I1731" s="38" t="n">
        <v>152413.46</v>
      </c>
      <c r="J1731" s="38" t="n">
        <v>0</v>
      </c>
      <c r="K1731" s="38" t="n">
        <v>152413.46</v>
      </c>
      <c r="L1731" s="40" t="inlineStr">
        <is>
          <t>Borç</t>
        </is>
      </c>
    </row>
    <row r="1732" s="34">
      <c r="A1732" s="40" t="inlineStr">
        <is>
          <t>320.01.01.S066</t>
        </is>
      </c>
      <c r="B1732" s="40" t="inlineStr">
        <is>
          <t>Sena Turizm Taşımacılık İnş.San.Ltd.Şti.</t>
        </is>
      </c>
      <c r="C1732" s="40" t="inlineStr">
        <is>
          <t>TRY</t>
        </is>
      </c>
      <c r="D1732" s="40" t="inlineStr">
        <is>
          <t>SERTAŞ MERKEZ</t>
        </is>
      </c>
      <c r="E1732" s="38" t="n">
        <v>5906882.04</v>
      </c>
      <c r="F1732" s="38" t="n">
        <v>0</v>
      </c>
      <c r="G1732" s="38" t="n">
        <v>5906882.04</v>
      </c>
      <c r="H1732" s="40" t="inlineStr">
        <is>
          <t>Borç</t>
        </is>
      </c>
      <c r="I1732" s="38" t="n">
        <v>5906882.04</v>
      </c>
      <c r="J1732" s="38" t="n">
        <v>0</v>
      </c>
      <c r="K1732" s="38" t="n">
        <v>5906882.04</v>
      </c>
      <c r="L1732" s="40" t="inlineStr">
        <is>
          <t>Borç</t>
        </is>
      </c>
    </row>
    <row r="1733" s="34">
      <c r="A1733" s="40" t="inlineStr">
        <is>
          <t>320.01.01.S090</t>
        </is>
      </c>
      <c r="B1733" s="40" t="inlineStr">
        <is>
          <t xml:space="preserve">Saim Aykut Ertaş Adanet Bilişim Sistemleri </t>
        </is>
      </c>
      <c r="C1733" s="40" t="inlineStr">
        <is>
          <t>TRY</t>
        </is>
      </c>
      <c r="D1733" s="40" t="inlineStr">
        <is>
          <t>GİTAŞ MERKEZ</t>
        </is>
      </c>
      <c r="E1733" s="38" t="n">
        <v>3000</v>
      </c>
      <c r="F1733" s="38" t="n">
        <v>0</v>
      </c>
      <c r="G1733" s="38" t="n">
        <v>3000</v>
      </c>
      <c r="H1733" s="40" t="inlineStr">
        <is>
          <t>Borç</t>
        </is>
      </c>
      <c r="I1733" s="38" t="n">
        <v>3000</v>
      </c>
      <c r="J1733" s="38" t="n">
        <v>0</v>
      </c>
      <c r="K1733" s="38" t="n">
        <v>3000</v>
      </c>
      <c r="L1733" s="40" t="inlineStr">
        <is>
          <t>Borç</t>
        </is>
      </c>
    </row>
    <row r="1734" s="34">
      <c r="A1734" s="40" t="inlineStr">
        <is>
          <t>320.01.01.S090</t>
        </is>
      </c>
      <c r="B1734" s="40" t="inlineStr">
        <is>
          <t xml:space="preserve">Saim Aykut Ertaş Adanet Bilişim Sistemleri </t>
        </is>
      </c>
      <c r="C1734" s="40" t="inlineStr">
        <is>
          <t>TRY</t>
        </is>
      </c>
      <c r="D1734" s="40" t="inlineStr">
        <is>
          <t>SERTAŞ MERKEZ</t>
        </is>
      </c>
      <c r="E1734" s="38" t="n">
        <v>4800</v>
      </c>
      <c r="F1734" s="38" t="n">
        <v>0</v>
      </c>
      <c r="G1734" s="38" t="n">
        <v>4800</v>
      </c>
      <c r="H1734" s="40" t="inlineStr">
        <is>
          <t>Borç</t>
        </is>
      </c>
      <c r="I1734" s="38" t="n">
        <v>4800</v>
      </c>
      <c r="J1734" s="38" t="n">
        <v>0</v>
      </c>
      <c r="K1734" s="38" t="n">
        <v>4800</v>
      </c>
      <c r="L1734" s="40" t="inlineStr">
        <is>
          <t>Borç</t>
        </is>
      </c>
    </row>
    <row r="1735" s="34">
      <c r="A1735" s="40" t="inlineStr">
        <is>
          <t>320.01.01.S096</t>
        </is>
      </c>
      <c r="B1735" s="40" t="inlineStr">
        <is>
          <t>Sırınler Bobinaj Sanayi Ve Ticaret Ltd.Ş</t>
        </is>
      </c>
      <c r="C1735" s="40" t="inlineStr">
        <is>
          <t>TRY</t>
        </is>
      </c>
      <c r="D1735" s="40" t="inlineStr">
        <is>
          <t>GİTAŞ MERKEZ</t>
        </is>
      </c>
      <c r="E1735" s="38" t="n">
        <v>85860</v>
      </c>
      <c r="F1735" s="38" t="n">
        <v>0</v>
      </c>
      <c r="G1735" s="38" t="n">
        <v>85860</v>
      </c>
      <c r="H1735" s="40" t="inlineStr">
        <is>
          <t>Borç</t>
        </is>
      </c>
      <c r="I1735" s="38" t="n">
        <v>85860</v>
      </c>
      <c r="J1735" s="38" t="n">
        <v>0</v>
      </c>
      <c r="K1735" s="38" t="n">
        <v>85860</v>
      </c>
      <c r="L1735" s="40" t="inlineStr">
        <is>
          <t>Borç</t>
        </is>
      </c>
    </row>
    <row r="1736" s="34">
      <c r="A1736" s="40" t="inlineStr">
        <is>
          <t>320.01.01.S096</t>
        </is>
      </c>
      <c r="B1736" s="40" t="inlineStr">
        <is>
          <t>Sırınler Bobinaj Sanayi Ve Ticaret Ltd.Ş</t>
        </is>
      </c>
      <c r="C1736" s="40" t="inlineStr">
        <is>
          <t>TRY</t>
        </is>
      </c>
      <c r="D1736" s="40" t="inlineStr">
        <is>
          <t>ROYAL ADAM EVE</t>
        </is>
      </c>
      <c r="E1736" s="38" t="n">
        <v>14016</v>
      </c>
      <c r="F1736" s="38" t="n">
        <v>0</v>
      </c>
      <c r="G1736" s="38" t="n">
        <v>14016</v>
      </c>
      <c r="H1736" s="40" t="inlineStr">
        <is>
          <t>Borç</t>
        </is>
      </c>
      <c r="I1736" s="38" t="n">
        <v>14016</v>
      </c>
      <c r="J1736" s="38" t="n">
        <v>0</v>
      </c>
      <c r="K1736" s="38" t="n">
        <v>14016</v>
      </c>
      <c r="L1736" s="40" t="inlineStr">
        <is>
          <t>Borç</t>
        </is>
      </c>
    </row>
    <row r="1737" s="34">
      <c r="A1737" s="40" t="inlineStr">
        <is>
          <t>320.01.01.S107</t>
        </is>
      </c>
      <c r="B1737" s="40" t="inlineStr">
        <is>
          <t>Sin-Kar Turizm İth.San.Ve Tic.Ltd.Şti.</t>
        </is>
      </c>
      <c r="C1737" s="40" t="inlineStr">
        <is>
          <t>TRY</t>
        </is>
      </c>
      <c r="D1737" s="40" t="inlineStr">
        <is>
          <t>ROYAL ADAM EVE</t>
        </is>
      </c>
      <c r="E1737" s="38" t="n">
        <v>230639.44</v>
      </c>
      <c r="F1737" s="38" t="n">
        <v>0</v>
      </c>
      <c r="G1737" s="38" t="n">
        <v>230639.44</v>
      </c>
      <c r="H1737" s="40" t="inlineStr">
        <is>
          <t>Borç</t>
        </is>
      </c>
      <c r="I1737" s="38" t="n">
        <v>230639.44</v>
      </c>
      <c r="J1737" s="38" t="n">
        <v>0</v>
      </c>
      <c r="K1737" s="38" t="n">
        <v>230639.44</v>
      </c>
      <c r="L1737" s="40" t="inlineStr">
        <is>
          <t>Borç</t>
        </is>
      </c>
    </row>
    <row r="1738" s="34">
      <c r="A1738" s="40" t="inlineStr">
        <is>
          <t>320.01.01.S113</t>
        </is>
      </c>
      <c r="B1738" s="40" t="inlineStr">
        <is>
          <t>Smb Grup Don.Dağ Ve Paz.Ltd.Şti</t>
        </is>
      </c>
      <c r="C1738" s="40" t="inlineStr">
        <is>
          <t>TRY</t>
        </is>
      </c>
      <c r="D1738" s="40" t="inlineStr">
        <is>
          <t>GİTAŞ MERKEZ</t>
        </is>
      </c>
      <c r="E1738" s="38" t="n">
        <v>165356.93</v>
      </c>
      <c r="F1738" s="38" t="n">
        <v>0</v>
      </c>
      <c r="G1738" s="38" t="n">
        <v>165356.93</v>
      </c>
      <c r="H1738" s="40" t="inlineStr">
        <is>
          <t>Borç</t>
        </is>
      </c>
      <c r="I1738" s="38" t="n">
        <v>165356.93</v>
      </c>
      <c r="J1738" s="38" t="n">
        <v>0</v>
      </c>
      <c r="K1738" s="38" t="n">
        <v>165356.93</v>
      </c>
      <c r="L1738" s="40" t="inlineStr">
        <is>
          <t>Borç</t>
        </is>
      </c>
    </row>
    <row r="1739" s="34">
      <c r="A1739" s="40" t="inlineStr">
        <is>
          <t>320.01.01.S113</t>
        </is>
      </c>
      <c r="B1739" s="40" t="inlineStr">
        <is>
          <t>Smb Grup Don.Dağ Ve Paz.Ltd.Şti</t>
        </is>
      </c>
      <c r="C1739" s="40" t="inlineStr">
        <is>
          <t>TRY</t>
        </is>
      </c>
      <c r="D1739" s="40" t="inlineStr">
        <is>
          <t>ROYAL ALHAMBRA</t>
        </is>
      </c>
      <c r="E1739" s="38" t="n">
        <v>0</v>
      </c>
      <c r="F1739" s="38" t="n">
        <v>131338.45</v>
      </c>
      <c r="G1739" s="38" t="n">
        <v>-131338.45</v>
      </c>
      <c r="H1739" s="40" t="inlineStr">
        <is>
          <t>Alacak</t>
        </is>
      </c>
      <c r="I1739" s="38" t="n">
        <v>0</v>
      </c>
      <c r="J1739" s="38" t="n">
        <v>131338.45</v>
      </c>
      <c r="K1739" s="38" t="n">
        <v>-131338.45</v>
      </c>
      <c r="L1739" s="40" t="inlineStr">
        <is>
          <t>Alacak</t>
        </is>
      </c>
    </row>
    <row r="1740" s="34">
      <c r="A1740" s="40" t="inlineStr">
        <is>
          <t>320.01.01.S113</t>
        </is>
      </c>
      <c r="B1740" s="40" t="inlineStr">
        <is>
          <t>Smb Grup Don.Dağ Ve Paz.Ltd.Şti</t>
        </is>
      </c>
      <c r="C1740" s="40" t="inlineStr">
        <is>
          <t>TRY</t>
        </is>
      </c>
      <c r="D1740" s="40" t="inlineStr">
        <is>
          <t>ROYAL DRAGON</t>
        </is>
      </c>
      <c r="E1740" s="38" t="n">
        <v>0</v>
      </c>
      <c r="F1740" s="38" t="n">
        <v>28489.89</v>
      </c>
      <c r="G1740" s="38" t="n">
        <v>-28489.89</v>
      </c>
      <c r="H1740" s="40" t="inlineStr">
        <is>
          <t>Alacak</t>
        </is>
      </c>
      <c r="I1740" s="38" t="n">
        <v>0</v>
      </c>
      <c r="J1740" s="38" t="n">
        <v>28489.89</v>
      </c>
      <c r="K1740" s="38" t="n">
        <v>-28489.89</v>
      </c>
      <c r="L1740" s="40" t="inlineStr">
        <is>
          <t>Alacak</t>
        </is>
      </c>
    </row>
    <row r="1741" s="34">
      <c r="A1741" s="40" t="inlineStr">
        <is>
          <t>320.01.01.S118</t>
        </is>
      </c>
      <c r="B1741" s="40" t="inlineStr">
        <is>
          <t>Sonmez Torna Teknik San.İnş.Ltd.Şti</t>
        </is>
      </c>
      <c r="C1741" s="40" t="inlineStr">
        <is>
          <t>TRY</t>
        </is>
      </c>
      <c r="D1741" s="40" t="inlineStr">
        <is>
          <t>GİTAŞ MERKEZ</t>
        </is>
      </c>
      <c r="E1741" s="38" t="n">
        <v>1800</v>
      </c>
      <c r="F1741" s="38" t="n">
        <v>0</v>
      </c>
      <c r="G1741" s="38" t="n">
        <v>1800</v>
      </c>
      <c r="H1741" s="40" t="inlineStr">
        <is>
          <t>Borç</t>
        </is>
      </c>
      <c r="I1741" s="38" t="n">
        <v>1800</v>
      </c>
      <c r="J1741" s="38" t="n">
        <v>0</v>
      </c>
      <c r="K1741" s="38" t="n">
        <v>1800</v>
      </c>
      <c r="L1741" s="40" t="inlineStr">
        <is>
          <t>Borç</t>
        </is>
      </c>
    </row>
    <row r="1742" s="34">
      <c r="A1742" s="40" t="inlineStr">
        <is>
          <t>320.01.01.S132</t>
        </is>
      </c>
      <c r="B1742" s="40" t="inlineStr">
        <is>
          <t>Suat Kağıtcılık Sanayi Ve Tic.Ltd.Şti.</t>
        </is>
      </c>
      <c r="C1742" s="40" t="inlineStr">
        <is>
          <t>TRY</t>
        </is>
      </c>
      <c r="D1742" s="40" t="inlineStr">
        <is>
          <t>GİTAŞ MERKEZ</t>
        </is>
      </c>
      <c r="E1742" s="38" t="n">
        <v>126276</v>
      </c>
      <c r="F1742" s="38" t="n">
        <v>0</v>
      </c>
      <c r="G1742" s="38" t="n">
        <v>126276</v>
      </c>
      <c r="H1742" s="40" t="inlineStr">
        <is>
          <t>Borç</t>
        </is>
      </c>
      <c r="I1742" s="38" t="n">
        <v>126276</v>
      </c>
      <c r="J1742" s="38" t="n">
        <v>0</v>
      </c>
      <c r="K1742" s="38" t="n">
        <v>126276</v>
      </c>
      <c r="L1742" s="40" t="inlineStr">
        <is>
          <t>Borç</t>
        </is>
      </c>
    </row>
    <row r="1743" s="34">
      <c r="A1743" s="40" t="inlineStr">
        <is>
          <t>320.01.01.S132</t>
        </is>
      </c>
      <c r="B1743" s="40" t="inlineStr">
        <is>
          <t>Suat Kağıtcılık Sanayi Ve Tic.Ltd.Şti.</t>
        </is>
      </c>
      <c r="C1743" s="40" t="inlineStr">
        <is>
          <t>TRY</t>
        </is>
      </c>
      <c r="D1743" s="40" t="inlineStr">
        <is>
          <t>ROYAL ADAM EVE</t>
        </is>
      </c>
      <c r="E1743" s="38" t="n">
        <v>108180</v>
      </c>
      <c r="F1743" s="38" t="n">
        <v>1140</v>
      </c>
      <c r="G1743" s="38" t="n">
        <v>107040</v>
      </c>
      <c r="H1743" s="40" t="inlineStr">
        <is>
          <t>Borç</t>
        </is>
      </c>
      <c r="I1743" s="38" t="n">
        <v>108180</v>
      </c>
      <c r="J1743" s="38" t="n">
        <v>1140</v>
      </c>
      <c r="K1743" s="38" t="n">
        <v>107040</v>
      </c>
      <c r="L1743" s="40" t="inlineStr">
        <is>
          <t>Borç</t>
        </is>
      </c>
    </row>
    <row r="1744" s="34">
      <c r="A1744" s="40" t="inlineStr">
        <is>
          <t>320.01.01.S132</t>
        </is>
      </c>
      <c r="B1744" s="40" t="inlineStr">
        <is>
          <t>Suat Kağıtcılık Sanayi Ve Tic.Ltd.Şti.</t>
        </is>
      </c>
      <c r="C1744" s="40" t="inlineStr">
        <is>
          <t>TRY</t>
        </is>
      </c>
      <c r="D1744" s="40" t="inlineStr">
        <is>
          <t>SERTAŞ MERKEZ</t>
        </is>
      </c>
      <c r="E1744" s="38" t="n">
        <v>554930.4</v>
      </c>
      <c r="F1744" s="38" t="n">
        <v>0</v>
      </c>
      <c r="G1744" s="38" t="n">
        <v>554930.4</v>
      </c>
      <c r="H1744" s="40" t="inlineStr">
        <is>
          <t>Borç</t>
        </is>
      </c>
      <c r="I1744" s="38" t="n">
        <v>554930.4</v>
      </c>
      <c r="J1744" s="38" t="n">
        <v>0</v>
      </c>
      <c r="K1744" s="38" t="n">
        <v>554930.4</v>
      </c>
      <c r="L1744" s="40" t="inlineStr">
        <is>
          <t>Borç</t>
        </is>
      </c>
    </row>
    <row r="1745" s="34">
      <c r="A1745" s="40" t="inlineStr">
        <is>
          <t>320.01.01.S138</t>
        </is>
      </c>
      <c r="B1745" s="40" t="inlineStr">
        <is>
          <t>Sunma Global Tarım Dış Ticaret A.Ş.</t>
        </is>
      </c>
      <c r="C1745" s="40" t="inlineStr">
        <is>
          <t>TRY</t>
        </is>
      </c>
      <c r="D1745" s="40" t="inlineStr">
        <is>
          <t>GİTAŞ MERKEZ</t>
        </is>
      </c>
      <c r="E1745" s="38" t="n">
        <v>180426.4</v>
      </c>
      <c r="F1745" s="38" t="n">
        <v>0</v>
      </c>
      <c r="G1745" s="38" t="n">
        <v>180426.4</v>
      </c>
      <c r="H1745" s="40" t="inlineStr">
        <is>
          <t>Borç</t>
        </is>
      </c>
      <c r="I1745" s="38" t="n">
        <v>180426.4</v>
      </c>
      <c r="J1745" s="38" t="n">
        <v>0</v>
      </c>
      <c r="K1745" s="38" t="n">
        <v>180426.4</v>
      </c>
      <c r="L1745" s="40" t="inlineStr">
        <is>
          <t>Borç</t>
        </is>
      </c>
    </row>
    <row r="1746" s="34">
      <c r="A1746" s="40" t="inlineStr">
        <is>
          <t>320.01.01.S138</t>
        </is>
      </c>
      <c r="B1746" s="40" t="inlineStr">
        <is>
          <t>Sunma Global Tarım Dış Ticaret A.Ş.</t>
        </is>
      </c>
      <c r="C1746" s="40" t="inlineStr">
        <is>
          <t>TRY</t>
        </is>
      </c>
      <c r="D1746" s="40" t="inlineStr">
        <is>
          <t>ROYAL ADAM EVE</t>
        </is>
      </c>
      <c r="E1746" s="38" t="n">
        <v>133880.55</v>
      </c>
      <c r="F1746" s="38" t="n">
        <v>38178</v>
      </c>
      <c r="G1746" s="38" t="n">
        <v>95702.55</v>
      </c>
      <c r="H1746" s="40" t="inlineStr">
        <is>
          <t>Borç</t>
        </is>
      </c>
      <c r="I1746" s="38" t="n">
        <v>133880.55</v>
      </c>
      <c r="J1746" s="38" t="n">
        <v>38178</v>
      </c>
      <c r="K1746" s="38" t="n">
        <v>95702.55</v>
      </c>
      <c r="L1746" s="40" t="inlineStr">
        <is>
          <t>Borç</t>
        </is>
      </c>
    </row>
    <row r="1747" s="34">
      <c r="A1747" s="40" t="inlineStr">
        <is>
          <t>320.01.01.S138</t>
        </is>
      </c>
      <c r="B1747" s="40" t="inlineStr">
        <is>
          <t>Sunma Global Tarım Dış Ticaret A.Ş.</t>
        </is>
      </c>
      <c r="C1747" s="40" t="inlineStr">
        <is>
          <t>TRY</t>
        </is>
      </c>
      <c r="D1747" s="40" t="inlineStr">
        <is>
          <t>ROYAL ALHAMBRA</t>
        </is>
      </c>
      <c r="E1747" s="38" t="n">
        <v>0</v>
      </c>
      <c r="F1747" s="38" t="n">
        <v>111079.8</v>
      </c>
      <c r="G1747" s="38" t="n">
        <v>-111079.8</v>
      </c>
      <c r="H1747" s="40" t="inlineStr">
        <is>
          <t>Alacak</t>
        </is>
      </c>
      <c r="I1747" s="38" t="n">
        <v>0</v>
      </c>
      <c r="J1747" s="38" t="n">
        <v>111079.8</v>
      </c>
      <c r="K1747" s="38" t="n">
        <v>-111079.8</v>
      </c>
      <c r="L1747" s="40" t="inlineStr">
        <is>
          <t>Alacak</t>
        </is>
      </c>
    </row>
    <row r="1748" s="34">
      <c r="A1748" s="40" t="inlineStr">
        <is>
          <t>320.01.01.S138</t>
        </is>
      </c>
      <c r="B1748" s="40" t="inlineStr">
        <is>
          <t>Sunma Global Tarım Dış Ticaret A.Ş.</t>
        </is>
      </c>
      <c r="C1748" s="40" t="inlineStr">
        <is>
          <t>TRY</t>
        </is>
      </c>
      <c r="D1748" s="40" t="inlineStr">
        <is>
          <t>ROYAL DRAGON</t>
        </is>
      </c>
      <c r="E1748" s="38" t="n">
        <v>0</v>
      </c>
      <c r="F1748" s="38" t="n">
        <v>114160.3</v>
      </c>
      <c r="G1748" s="38" t="n">
        <v>-114160.3</v>
      </c>
      <c r="H1748" s="40" t="inlineStr">
        <is>
          <t>Alacak</t>
        </is>
      </c>
      <c r="I1748" s="38" t="n">
        <v>0</v>
      </c>
      <c r="J1748" s="38" t="n">
        <v>114160.3</v>
      </c>
      <c r="K1748" s="38" t="n">
        <v>-114160.3</v>
      </c>
      <c r="L1748" s="40" t="inlineStr">
        <is>
          <t>Alacak</t>
        </is>
      </c>
    </row>
    <row r="1749" s="34">
      <c r="A1749" s="40" t="inlineStr">
        <is>
          <t>320.01.01.S138</t>
        </is>
      </c>
      <c r="B1749" s="40" t="inlineStr">
        <is>
          <t>Sunma Global Tarım Dış Ticaret A.Ş.</t>
        </is>
      </c>
      <c r="C1749" s="40" t="inlineStr">
        <is>
          <t>TRY</t>
        </is>
      </c>
      <c r="D1749" s="40" t="inlineStr">
        <is>
          <t>ROYAL HOLIDAY</t>
        </is>
      </c>
      <c r="E1749" s="38" t="n">
        <v>0</v>
      </c>
      <c r="F1749" s="38" t="n">
        <v>242094.48</v>
      </c>
      <c r="G1749" s="38" t="n">
        <v>-242094.48</v>
      </c>
      <c r="H1749" s="40" t="inlineStr">
        <is>
          <t>Alacak</t>
        </is>
      </c>
      <c r="I1749" s="38" t="n">
        <v>0</v>
      </c>
      <c r="J1749" s="38" t="n">
        <v>242094.48</v>
      </c>
      <c r="K1749" s="38" t="n">
        <v>-242094.48</v>
      </c>
      <c r="L1749" s="40" t="inlineStr">
        <is>
          <t>Alacak</t>
        </is>
      </c>
    </row>
    <row r="1750" s="34">
      <c r="A1750" s="40" t="inlineStr">
        <is>
          <t>320.01.01.S138</t>
        </is>
      </c>
      <c r="B1750" s="40" t="inlineStr">
        <is>
          <t>Sunma Global Tarım Dış Ticaret A.Ş.</t>
        </is>
      </c>
      <c r="C1750" s="40" t="inlineStr">
        <is>
          <t>TRY</t>
        </is>
      </c>
      <c r="D1750" s="40" t="inlineStr">
        <is>
          <t>ROYAL SEGINUS</t>
        </is>
      </c>
      <c r="E1750" s="38" t="n">
        <v>13332</v>
      </c>
      <c r="F1750" s="38" t="n">
        <v>97020.60000000001</v>
      </c>
      <c r="G1750" s="38" t="n">
        <v>-83688.60000000001</v>
      </c>
      <c r="H1750" s="40" t="inlineStr">
        <is>
          <t>Alacak</t>
        </is>
      </c>
      <c r="I1750" s="38" t="n">
        <v>13332</v>
      </c>
      <c r="J1750" s="38" t="n">
        <v>97020.60000000001</v>
      </c>
      <c r="K1750" s="38" t="n">
        <v>-83688.60000000001</v>
      </c>
      <c r="L1750" s="40" t="inlineStr">
        <is>
          <t>Alacak</t>
        </is>
      </c>
    </row>
    <row r="1751" s="34">
      <c r="A1751" s="40" t="inlineStr">
        <is>
          <t>320.01.01.S138</t>
        </is>
      </c>
      <c r="B1751" s="40" t="inlineStr">
        <is>
          <t>Sunma Global Tarım Dış Ticaret A.Ş.</t>
        </is>
      </c>
      <c r="C1751" s="40" t="inlineStr">
        <is>
          <t>TRY</t>
        </is>
      </c>
      <c r="D1751" s="40" t="inlineStr">
        <is>
          <t>SERTAŞ MERKEZ</t>
        </is>
      </c>
      <c r="E1751" s="38" t="n">
        <v>352496.06</v>
      </c>
      <c r="F1751" s="38" t="n">
        <v>0</v>
      </c>
      <c r="G1751" s="38" t="n">
        <v>352496.06</v>
      </c>
      <c r="H1751" s="40" t="inlineStr">
        <is>
          <t>Borç</t>
        </is>
      </c>
      <c r="I1751" s="38" t="n">
        <v>352496.06</v>
      </c>
      <c r="J1751" s="38" t="n">
        <v>0</v>
      </c>
      <c r="K1751" s="38" t="n">
        <v>352496.06</v>
      </c>
      <c r="L1751" s="40" t="inlineStr">
        <is>
          <t>Borç</t>
        </is>
      </c>
    </row>
    <row r="1752" s="34">
      <c r="A1752" s="40" t="inlineStr">
        <is>
          <t>320.01.01.S143</t>
        </is>
      </c>
      <c r="B1752" s="40" t="inlineStr">
        <is>
          <t>Suzerler Tar.Hayvan.Gıda Tic.Ltd.Şti.</t>
        </is>
      </c>
      <c r="C1752" s="40" t="inlineStr">
        <is>
          <t>TRY</t>
        </is>
      </c>
      <c r="D1752" s="40" t="inlineStr">
        <is>
          <t>GİTAŞ MERKEZ</t>
        </is>
      </c>
      <c r="E1752" s="38" t="n">
        <v>5348267.87</v>
      </c>
      <c r="F1752" s="38" t="n">
        <v>0</v>
      </c>
      <c r="G1752" s="38" t="n">
        <v>5348267.87</v>
      </c>
      <c r="H1752" s="40" t="inlineStr">
        <is>
          <t>Borç</t>
        </is>
      </c>
      <c r="I1752" s="38" t="n">
        <v>5348267.87</v>
      </c>
      <c r="J1752" s="38" t="n">
        <v>0</v>
      </c>
      <c r="K1752" s="38" t="n">
        <v>5348267.87</v>
      </c>
      <c r="L1752" s="40" t="inlineStr">
        <is>
          <t>Borç</t>
        </is>
      </c>
    </row>
    <row r="1753" s="34">
      <c r="A1753" s="40" t="inlineStr">
        <is>
          <t>320.01.01.S143</t>
        </is>
      </c>
      <c r="B1753" s="40" t="inlineStr">
        <is>
          <t>Suzerler Tar.Hayvan.Gıda Tic.Ltd.Şti.</t>
        </is>
      </c>
      <c r="C1753" s="40" t="inlineStr">
        <is>
          <t>TRY</t>
        </is>
      </c>
      <c r="D1753" s="40" t="inlineStr">
        <is>
          <t>ROYAL ADAM EVE</t>
        </is>
      </c>
      <c r="E1753" s="38" t="n">
        <v>681470.09</v>
      </c>
      <c r="F1753" s="38" t="n">
        <v>408103.98</v>
      </c>
      <c r="G1753" s="38" t="n">
        <v>273366.11</v>
      </c>
      <c r="H1753" s="40" t="inlineStr">
        <is>
          <t>Borç</t>
        </is>
      </c>
      <c r="I1753" s="38" t="n">
        <v>681470.09</v>
      </c>
      <c r="J1753" s="38" t="n">
        <v>408103.98</v>
      </c>
      <c r="K1753" s="38" t="n">
        <v>273366.11</v>
      </c>
      <c r="L1753" s="40" t="inlineStr">
        <is>
          <t>Borç</t>
        </is>
      </c>
    </row>
    <row r="1754" s="34">
      <c r="A1754" s="40" t="inlineStr">
        <is>
          <t>320.01.01.S143</t>
        </is>
      </c>
      <c r="B1754" s="40" t="inlineStr">
        <is>
          <t>Suzerler Tar.Hayvan.Gıda Tic.Ltd.Şti.</t>
        </is>
      </c>
      <c r="C1754" s="40" t="inlineStr">
        <is>
          <t>TRY</t>
        </is>
      </c>
      <c r="D1754" s="40" t="inlineStr">
        <is>
          <t>ROYAL ALHAMBRA</t>
        </is>
      </c>
      <c r="E1754" s="38" t="n">
        <v>0</v>
      </c>
      <c r="F1754" s="38" t="n">
        <v>2247032.55</v>
      </c>
      <c r="G1754" s="38" t="n">
        <v>-2247032.55</v>
      </c>
      <c r="H1754" s="40" t="inlineStr">
        <is>
          <t>Alacak</t>
        </is>
      </c>
      <c r="I1754" s="38" t="n">
        <v>0</v>
      </c>
      <c r="J1754" s="38" t="n">
        <v>2247032.55</v>
      </c>
      <c r="K1754" s="38" t="n">
        <v>-2247032.55</v>
      </c>
      <c r="L1754" s="40" t="inlineStr">
        <is>
          <t>Alacak</t>
        </is>
      </c>
    </row>
    <row r="1755" s="34">
      <c r="A1755" s="40" t="inlineStr">
        <is>
          <t>320.01.01.S143</t>
        </is>
      </c>
      <c r="B1755" s="40" t="inlineStr">
        <is>
          <t>Suzerler Tar.Hayvan.Gıda Tic.Ltd.Şti.</t>
        </is>
      </c>
      <c r="C1755" s="40" t="inlineStr">
        <is>
          <t>TRY</t>
        </is>
      </c>
      <c r="D1755" s="40" t="inlineStr">
        <is>
          <t>ROYAL DRAGON</t>
        </is>
      </c>
      <c r="E1755" s="38" t="n">
        <v>0</v>
      </c>
      <c r="F1755" s="38" t="n">
        <v>2131879.64</v>
      </c>
      <c r="G1755" s="38" t="n">
        <v>-2131879.64</v>
      </c>
      <c r="H1755" s="40" t="inlineStr">
        <is>
          <t>Alacak</t>
        </is>
      </c>
      <c r="I1755" s="38" t="n">
        <v>0</v>
      </c>
      <c r="J1755" s="38" t="n">
        <v>2131879.64</v>
      </c>
      <c r="K1755" s="38" t="n">
        <v>-2131879.64</v>
      </c>
      <c r="L1755" s="40" t="inlineStr">
        <is>
          <t>Alacak</t>
        </is>
      </c>
    </row>
    <row r="1756" s="34">
      <c r="A1756" s="40" t="inlineStr">
        <is>
          <t>320.01.01.S143</t>
        </is>
      </c>
      <c r="B1756" s="40" t="inlineStr">
        <is>
          <t>Suzerler Tar.Hayvan.Gıda Tic.Ltd.Şti.</t>
        </is>
      </c>
      <c r="C1756" s="40" t="inlineStr">
        <is>
          <t>TRY</t>
        </is>
      </c>
      <c r="D1756" s="40" t="inlineStr">
        <is>
          <t>ROYAL HOLIDAY</t>
        </is>
      </c>
      <c r="E1756" s="38" t="n">
        <v>0</v>
      </c>
      <c r="F1756" s="38" t="n">
        <v>3318944.43</v>
      </c>
      <c r="G1756" s="38" t="n">
        <v>-3318944.43</v>
      </c>
      <c r="H1756" s="40" t="inlineStr">
        <is>
          <t>Alacak</t>
        </is>
      </c>
      <c r="I1756" s="38" t="n">
        <v>0</v>
      </c>
      <c r="J1756" s="38" t="n">
        <v>3318944.43</v>
      </c>
      <c r="K1756" s="38" t="n">
        <v>-3318944.43</v>
      </c>
      <c r="L1756" s="40" t="inlineStr">
        <is>
          <t>Alacak</t>
        </is>
      </c>
    </row>
    <row r="1757" s="34">
      <c r="A1757" s="40" t="inlineStr">
        <is>
          <t>320.01.01.S143</t>
        </is>
      </c>
      <c r="B1757" s="40" t="inlineStr">
        <is>
          <t>Suzerler Tar.Hayvan.Gıda Tic.Ltd.Şti.</t>
        </is>
      </c>
      <c r="C1757" s="40" t="inlineStr">
        <is>
          <t>TRY</t>
        </is>
      </c>
      <c r="D1757" s="40" t="inlineStr">
        <is>
          <t>ROYAL SEGINUS</t>
        </is>
      </c>
      <c r="E1757" s="38" t="n">
        <v>0</v>
      </c>
      <c r="F1757" s="38" t="n">
        <v>2701100.32</v>
      </c>
      <c r="G1757" s="38" t="n">
        <v>-2701100.32</v>
      </c>
      <c r="H1757" s="40" t="inlineStr">
        <is>
          <t>Alacak</t>
        </is>
      </c>
      <c r="I1757" s="38" t="n">
        <v>0</v>
      </c>
      <c r="J1757" s="38" t="n">
        <v>2701100.32</v>
      </c>
      <c r="K1757" s="38" t="n">
        <v>-2701100.32</v>
      </c>
      <c r="L1757" s="40" t="inlineStr">
        <is>
          <t>Alacak</t>
        </is>
      </c>
    </row>
    <row r="1758" s="34">
      <c r="A1758" s="40" t="inlineStr">
        <is>
          <t>320.01.01.S143</t>
        </is>
      </c>
      <c r="B1758" s="40" t="inlineStr">
        <is>
          <t>Suzerler Tar.Hayvan.Gıda Tic.Ltd.Şti.</t>
        </is>
      </c>
      <c r="C1758" s="40" t="inlineStr">
        <is>
          <t>TRY</t>
        </is>
      </c>
      <c r="D1758" s="40" t="inlineStr">
        <is>
          <t>SERTAŞ MERKEZ</t>
        </is>
      </c>
      <c r="E1758" s="38" t="n">
        <v>7389089.98</v>
      </c>
      <c r="F1758" s="38" t="n">
        <v>0</v>
      </c>
      <c r="G1758" s="38" t="n">
        <v>7389089.98</v>
      </c>
      <c r="H1758" s="40" t="inlineStr">
        <is>
          <t>Borç</t>
        </is>
      </c>
      <c r="I1758" s="38" t="n">
        <v>7389089.98</v>
      </c>
      <c r="J1758" s="38" t="n">
        <v>0</v>
      </c>
      <c r="K1758" s="38" t="n">
        <v>7389089.98</v>
      </c>
      <c r="L1758" s="40" t="inlineStr">
        <is>
          <t>Borç</t>
        </is>
      </c>
    </row>
    <row r="1759" s="34">
      <c r="A1759" s="40" t="inlineStr">
        <is>
          <t>320.01.01.S144</t>
        </is>
      </c>
      <c r="B1759" s="40" t="inlineStr">
        <is>
          <t>Sülekler Tarım Ürün.İnş.Tur.A.Ş.</t>
        </is>
      </c>
      <c r="C1759" s="40" t="inlineStr">
        <is>
          <t>TRY</t>
        </is>
      </c>
      <c r="D1759" s="40" t="inlineStr">
        <is>
          <t>GİTAŞ MERKEZ</t>
        </is>
      </c>
      <c r="E1759" s="38" t="n">
        <v>226771.7</v>
      </c>
      <c r="F1759" s="38" t="n">
        <v>0</v>
      </c>
      <c r="G1759" s="38" t="n">
        <v>226771.7</v>
      </c>
      <c r="H1759" s="40" t="inlineStr">
        <is>
          <t>Borç</t>
        </is>
      </c>
      <c r="I1759" s="38" t="n">
        <v>226771.7</v>
      </c>
      <c r="J1759" s="38" t="n">
        <v>0</v>
      </c>
      <c r="K1759" s="38" t="n">
        <v>226771.7</v>
      </c>
      <c r="L1759" s="40" t="inlineStr">
        <is>
          <t>Borç</t>
        </is>
      </c>
    </row>
    <row r="1760" s="34">
      <c r="A1760" s="40" t="inlineStr">
        <is>
          <t>320.01.01.S144</t>
        </is>
      </c>
      <c r="B1760" s="40" t="inlineStr">
        <is>
          <t>Sülekler Tarım Ürün.İnş.Tur.A.Ş.</t>
        </is>
      </c>
      <c r="C1760" s="40" t="inlineStr">
        <is>
          <t>TRY</t>
        </is>
      </c>
      <c r="D1760" s="40" t="inlineStr">
        <is>
          <t>ROYAL ADAM EVE</t>
        </is>
      </c>
      <c r="E1760" s="38" t="n">
        <v>31548.66</v>
      </c>
      <c r="F1760" s="38" t="n">
        <v>0</v>
      </c>
      <c r="G1760" s="38" t="n">
        <v>31548.66</v>
      </c>
      <c r="H1760" s="40" t="inlineStr">
        <is>
          <t>Borç</t>
        </is>
      </c>
      <c r="I1760" s="38" t="n">
        <v>31548.66</v>
      </c>
      <c r="J1760" s="38" t="n">
        <v>0</v>
      </c>
      <c r="K1760" s="38" t="n">
        <v>31548.66</v>
      </c>
      <c r="L1760" s="40" t="inlineStr">
        <is>
          <t>Borç</t>
        </is>
      </c>
    </row>
    <row r="1761" s="34">
      <c r="A1761" s="40" t="inlineStr">
        <is>
          <t>320.01.01.S144</t>
        </is>
      </c>
      <c r="B1761" s="40" t="inlineStr">
        <is>
          <t>Sülekler Tarım Ürün.İnş.Tur.A.Ş.</t>
        </is>
      </c>
      <c r="C1761" s="40" t="inlineStr">
        <is>
          <t>TRY</t>
        </is>
      </c>
      <c r="D1761" s="40" t="inlineStr">
        <is>
          <t>ROYAL DRAGON</t>
        </is>
      </c>
      <c r="E1761" s="38" t="n">
        <v>0</v>
      </c>
      <c r="F1761" s="38" t="n">
        <v>95192.06</v>
      </c>
      <c r="G1761" s="38" t="n">
        <v>-95192.06</v>
      </c>
      <c r="H1761" s="40" t="inlineStr">
        <is>
          <t>Alacak</t>
        </is>
      </c>
      <c r="I1761" s="38" t="n">
        <v>0</v>
      </c>
      <c r="J1761" s="38" t="n">
        <v>95192.06</v>
      </c>
      <c r="K1761" s="38" t="n">
        <v>-95192.06</v>
      </c>
      <c r="L1761" s="40" t="inlineStr">
        <is>
          <t>Alacak</t>
        </is>
      </c>
    </row>
    <row r="1762" s="34">
      <c r="A1762" s="40" t="inlineStr">
        <is>
          <t>320.01.01.S199</t>
        </is>
      </c>
      <c r="B1762" s="40" t="inlineStr">
        <is>
          <t>Su Vidanjör Taşımacılık Otomotiv İnş.Tur Ve Tic.Ldt Şti.</t>
        </is>
      </c>
      <c r="C1762" s="40" t="inlineStr">
        <is>
          <t>TRY</t>
        </is>
      </c>
      <c r="D1762" s="40" t="inlineStr">
        <is>
          <t>ROYAL ADAM EVE</t>
        </is>
      </c>
      <c r="E1762" s="38" t="n">
        <v>45900</v>
      </c>
      <c r="F1762" s="38" t="n">
        <v>155700</v>
      </c>
      <c r="G1762" s="38" t="n">
        <v>-109800</v>
      </c>
      <c r="H1762" s="40" t="inlineStr">
        <is>
          <t>Alacak</t>
        </is>
      </c>
      <c r="I1762" s="38" t="n">
        <v>45900</v>
      </c>
      <c r="J1762" s="38" t="n">
        <v>155700</v>
      </c>
      <c r="K1762" s="38" t="n">
        <v>-109800</v>
      </c>
      <c r="L1762" s="40" t="inlineStr">
        <is>
          <t>Alacak</t>
        </is>
      </c>
    </row>
    <row r="1763" s="34">
      <c r="A1763" s="40" t="inlineStr">
        <is>
          <t>320.01.01.S201</t>
        </is>
      </c>
      <c r="B1763" s="40" t="inlineStr">
        <is>
          <t>Side EndüsTRiyel Mutfak Ekipmanları Turizm İnş.Tic.Ltd.Şti.</t>
        </is>
      </c>
      <c r="C1763" s="40" t="inlineStr">
        <is>
          <t>TRY</t>
        </is>
      </c>
      <c r="D1763" s="40" t="inlineStr">
        <is>
          <t>GİTAŞ MERKEZ</t>
        </is>
      </c>
      <c r="E1763" s="38" t="n">
        <v>69081.21000000001</v>
      </c>
      <c r="F1763" s="38" t="n">
        <v>0</v>
      </c>
      <c r="G1763" s="38" t="n">
        <v>69081.21000000001</v>
      </c>
      <c r="H1763" s="40" t="inlineStr">
        <is>
          <t>Borç</t>
        </is>
      </c>
      <c r="I1763" s="38" t="n">
        <v>1305.17</v>
      </c>
      <c r="J1763" s="38" t="n">
        <v>0</v>
      </c>
      <c r="K1763" s="38" t="n">
        <v>1305.17</v>
      </c>
      <c r="L1763" s="40" t="inlineStr">
        <is>
          <t>Borç</t>
        </is>
      </c>
    </row>
    <row r="1764" s="34">
      <c r="A1764" s="40" t="inlineStr">
        <is>
          <t>320.01.01.S201</t>
        </is>
      </c>
      <c r="B1764" s="40" t="inlineStr">
        <is>
          <t>Side EndüsTRiyel Mutfak Ekipmanları Turizm İnş.Tic.Ltd.Şti.</t>
        </is>
      </c>
      <c r="C1764" s="40" t="inlineStr">
        <is>
          <t>TRY</t>
        </is>
      </c>
      <c r="D1764" s="40" t="inlineStr">
        <is>
          <t>ROYAL ADAM EVE</t>
        </is>
      </c>
      <c r="E1764" s="38" t="n">
        <v>67948.75</v>
      </c>
      <c r="F1764" s="38" t="n">
        <v>855.36</v>
      </c>
      <c r="G1764" s="38" t="n">
        <v>67093.39</v>
      </c>
      <c r="H1764" s="40" t="inlineStr">
        <is>
          <t>Borç</t>
        </is>
      </c>
      <c r="I1764" s="38" t="n">
        <v>1305.17</v>
      </c>
      <c r="J1764" s="38" t="n">
        <v>0</v>
      </c>
      <c r="K1764" s="38" t="n">
        <v>1305.17</v>
      </c>
      <c r="L1764" s="40" t="inlineStr">
        <is>
          <t>Borç</t>
        </is>
      </c>
    </row>
    <row r="1765" s="34">
      <c r="A1765" s="40" t="inlineStr">
        <is>
          <t>320.01.01.S201</t>
        </is>
      </c>
      <c r="B1765" s="40" t="inlineStr">
        <is>
          <t>Side EndüsTRiyel Mutfak Ekipmanları Turizm İnş.Tic.Ltd.Şti.</t>
        </is>
      </c>
      <c r="C1765" s="40" t="inlineStr">
        <is>
          <t>TRY</t>
        </is>
      </c>
      <c r="D1765" s="40" t="inlineStr">
        <is>
          <t>SERTAŞ MERKEZ</t>
        </is>
      </c>
      <c r="E1765" s="38" t="n">
        <v>955527.55</v>
      </c>
      <c r="F1765" s="38" t="n">
        <v>0</v>
      </c>
      <c r="G1765" s="38" t="n">
        <v>955527.55</v>
      </c>
      <c r="H1765" s="40" t="inlineStr">
        <is>
          <t>Borç</t>
        </is>
      </c>
      <c r="I1765" s="38" t="n">
        <v>18053.04</v>
      </c>
      <c r="J1765" s="38" t="n">
        <v>0</v>
      </c>
      <c r="K1765" s="38" t="n">
        <v>18053.04</v>
      </c>
      <c r="L1765" s="40" t="inlineStr">
        <is>
          <t>Borç</t>
        </is>
      </c>
    </row>
    <row r="1766" s="34">
      <c r="A1766" s="40" t="inlineStr">
        <is>
          <t>320.01.01.S204</t>
        </is>
      </c>
      <c r="B1766" s="40" t="inlineStr">
        <is>
          <t>Ramazan Kuruca/Simsek Torna</t>
        </is>
      </c>
      <c r="C1766" s="40" t="inlineStr">
        <is>
          <t>TRY</t>
        </is>
      </c>
      <c r="D1766" s="40" t="inlineStr">
        <is>
          <t>ROYAL ADAM EVE</t>
        </is>
      </c>
      <c r="E1766" s="38" t="n">
        <v>13920</v>
      </c>
      <c r="F1766" s="38" t="n">
        <v>0</v>
      </c>
      <c r="G1766" s="38" t="n">
        <v>13920</v>
      </c>
      <c r="H1766" s="40" t="inlineStr">
        <is>
          <t>Borç</t>
        </is>
      </c>
      <c r="I1766" s="38" t="n">
        <v>13920</v>
      </c>
      <c r="J1766" s="38" t="n">
        <v>0</v>
      </c>
      <c r="K1766" s="38" t="n">
        <v>13920</v>
      </c>
      <c r="L1766" s="40" t="inlineStr">
        <is>
          <t>Borç</t>
        </is>
      </c>
    </row>
    <row r="1767" s="34">
      <c r="A1767" s="40" t="inlineStr">
        <is>
          <t>320.01.01.S204</t>
        </is>
      </c>
      <c r="B1767" s="40" t="inlineStr">
        <is>
          <t>Ramazan Kuruca/Simsek Torna</t>
        </is>
      </c>
      <c r="C1767" s="40" t="inlineStr">
        <is>
          <t>TRY</t>
        </is>
      </c>
      <c r="D1767" s="40" t="inlineStr">
        <is>
          <t>ROYAL SEGINUS</t>
        </is>
      </c>
      <c r="E1767" s="38" t="n">
        <v>0</v>
      </c>
      <c r="F1767" s="38" t="n">
        <v>21000</v>
      </c>
      <c r="G1767" s="38" t="n">
        <v>-21000</v>
      </c>
      <c r="H1767" s="40" t="inlineStr">
        <is>
          <t>Alacak</t>
        </is>
      </c>
      <c r="I1767" s="38" t="n">
        <v>0</v>
      </c>
      <c r="J1767" s="38" t="n">
        <v>21000</v>
      </c>
      <c r="K1767" s="38" t="n">
        <v>-21000</v>
      </c>
      <c r="L1767" s="40" t="inlineStr">
        <is>
          <t>Alacak</t>
        </is>
      </c>
    </row>
    <row r="1768" s="34">
      <c r="A1768" s="40" t="inlineStr">
        <is>
          <t>320.01.01.S204</t>
        </is>
      </c>
      <c r="B1768" s="40" t="inlineStr">
        <is>
          <t>Ramazan Kuruca/Simsek Torna</t>
        </is>
      </c>
      <c r="C1768" s="40" t="inlineStr">
        <is>
          <t>TRY</t>
        </is>
      </c>
      <c r="D1768" s="40" t="inlineStr">
        <is>
          <t>SERTAŞ MERKEZ</t>
        </is>
      </c>
      <c r="E1768" s="38" t="n">
        <v>7200</v>
      </c>
      <c r="F1768" s="38" t="n">
        <v>0</v>
      </c>
      <c r="G1768" s="38" t="n">
        <v>7200</v>
      </c>
      <c r="H1768" s="40" t="inlineStr">
        <is>
          <t>Borç</t>
        </is>
      </c>
      <c r="I1768" s="38" t="n">
        <v>7200</v>
      </c>
      <c r="J1768" s="38" t="n">
        <v>0</v>
      </c>
      <c r="K1768" s="38" t="n">
        <v>7200</v>
      </c>
      <c r="L1768" s="40" t="inlineStr">
        <is>
          <t>Borç</t>
        </is>
      </c>
    </row>
    <row r="1769" s="34">
      <c r="A1769" s="40" t="inlineStr">
        <is>
          <t>320.01.01.S206</t>
        </is>
      </c>
      <c r="B1769" s="40" t="inlineStr">
        <is>
          <t>Sertaş Turizm Yatırım Ve İşl. A.Ş.</t>
        </is>
      </c>
      <c r="C1769" s="40" t="inlineStr">
        <is>
          <t>TRY</t>
        </is>
      </c>
      <c r="D1769" s="40" t="inlineStr">
        <is>
          <t>ROYAL HOLIDAY</t>
        </is>
      </c>
      <c r="E1769" s="38" t="n">
        <v>0</v>
      </c>
      <c r="F1769" s="38" t="n">
        <v>740288.3199999999</v>
      </c>
      <c r="G1769" s="38" t="n">
        <v>-740288.3199999999</v>
      </c>
      <c r="H1769" s="40" t="inlineStr">
        <is>
          <t>Alacak</t>
        </is>
      </c>
      <c r="I1769" s="38" t="n">
        <v>0</v>
      </c>
      <c r="J1769" s="38" t="n">
        <v>740288.3199999999</v>
      </c>
      <c r="K1769" s="38" t="n">
        <v>-740288.3199999999</v>
      </c>
      <c r="L1769" s="40" t="inlineStr">
        <is>
          <t>Alacak</t>
        </is>
      </c>
    </row>
    <row r="1770" s="34">
      <c r="A1770" s="40" t="inlineStr">
        <is>
          <t>320.01.01.S206</t>
        </is>
      </c>
      <c r="B1770" s="40" t="inlineStr">
        <is>
          <t>Sertaş Turizm Yatırım Ve İşl. A.Ş.</t>
        </is>
      </c>
      <c r="C1770" s="40" t="inlineStr">
        <is>
          <t>TRY</t>
        </is>
      </c>
      <c r="D1770" s="40" t="inlineStr">
        <is>
          <t>ROYAL SEGINUS</t>
        </is>
      </c>
      <c r="E1770" s="38" t="n">
        <v>0</v>
      </c>
      <c r="F1770" s="38" t="n">
        <v>378691.17</v>
      </c>
      <c r="G1770" s="38" t="n">
        <v>-378691.17</v>
      </c>
      <c r="H1770" s="40" t="inlineStr">
        <is>
          <t>Alacak</t>
        </is>
      </c>
      <c r="I1770" s="38" t="n">
        <v>0</v>
      </c>
      <c r="J1770" s="38" t="n">
        <v>378691.17</v>
      </c>
      <c r="K1770" s="38" t="n">
        <v>-378691.17</v>
      </c>
      <c r="L1770" s="40" t="inlineStr">
        <is>
          <t>Alacak</t>
        </is>
      </c>
    </row>
    <row r="1771" s="34">
      <c r="A1771" s="40" t="inlineStr">
        <is>
          <t>320.01.01.S209</t>
        </is>
      </c>
      <c r="B1771" s="40" t="inlineStr">
        <is>
          <t>Sava Kapı Pencere Sistemleri İnş. Mlz. Mob.Tek.Tur.Tic.Ltd Şti.</t>
        </is>
      </c>
      <c r="C1771" s="40" t="inlineStr">
        <is>
          <t>TRY</t>
        </is>
      </c>
      <c r="D1771" s="40" t="inlineStr">
        <is>
          <t>SERTAŞ MERKEZ</t>
        </is>
      </c>
      <c r="E1771" s="38" t="n">
        <v>3763.21</v>
      </c>
      <c r="F1771" s="38" t="n">
        <v>0</v>
      </c>
      <c r="G1771" s="38" t="n">
        <v>3763.21</v>
      </c>
      <c r="H1771" s="40" t="inlineStr">
        <is>
          <t>Borç</t>
        </is>
      </c>
      <c r="I1771" s="38" t="n">
        <v>3763.21</v>
      </c>
      <c r="J1771" s="38" t="n">
        <v>0</v>
      </c>
      <c r="K1771" s="38" t="n">
        <v>3763.21</v>
      </c>
      <c r="L1771" s="40" t="inlineStr">
        <is>
          <t>Borç</t>
        </is>
      </c>
    </row>
    <row r="1772" s="34">
      <c r="A1772" s="40" t="inlineStr">
        <is>
          <t>320.01.01.S210</t>
        </is>
      </c>
      <c r="B1772" s="40" t="inlineStr">
        <is>
          <t>Senkron Mutfak Ekip. San. Ve Tic. Ltd. Şti.</t>
        </is>
      </c>
      <c r="C1772" s="40" t="inlineStr">
        <is>
          <t>TRY</t>
        </is>
      </c>
      <c r="D1772" s="40" t="inlineStr">
        <is>
          <t>SERTAŞ MERKEZ</t>
        </is>
      </c>
      <c r="E1772" s="38" t="n">
        <v>11653.82</v>
      </c>
      <c r="F1772" s="38" t="n">
        <v>0</v>
      </c>
      <c r="G1772" s="38" t="n">
        <v>11653.82</v>
      </c>
      <c r="H1772" s="40" t="inlineStr">
        <is>
          <t>Borç</t>
        </is>
      </c>
      <c r="I1772" s="38" t="n">
        <v>11653.82</v>
      </c>
      <c r="J1772" s="38" t="n">
        <v>0</v>
      </c>
      <c r="K1772" s="38" t="n">
        <v>11653.82</v>
      </c>
      <c r="L1772" s="40" t="inlineStr">
        <is>
          <t>Borç</t>
        </is>
      </c>
    </row>
    <row r="1773" s="34">
      <c r="A1773" s="40" t="inlineStr">
        <is>
          <t>320.01.01.S211</t>
        </is>
      </c>
      <c r="B1773" s="40" t="inlineStr">
        <is>
          <t>Sadece Tekel Mağazacılık A.Ş.</t>
        </is>
      </c>
      <c r="C1773" s="40" t="inlineStr">
        <is>
          <t>TRY</t>
        </is>
      </c>
      <c r="D1773" s="40" t="inlineStr">
        <is>
          <t>ROYAL SEGINUS</t>
        </is>
      </c>
      <c r="E1773" s="38" t="n">
        <v>15600</v>
      </c>
      <c r="F1773" s="38" t="n">
        <v>0</v>
      </c>
      <c r="G1773" s="38" t="n">
        <v>15600</v>
      </c>
      <c r="H1773" s="40" t="inlineStr">
        <is>
          <t>Borç</t>
        </is>
      </c>
      <c r="I1773" s="38" t="n">
        <v>15600</v>
      </c>
      <c r="J1773" s="38" t="n">
        <v>0</v>
      </c>
      <c r="K1773" s="38" t="n">
        <v>15600</v>
      </c>
      <c r="L1773" s="40" t="inlineStr">
        <is>
          <t>Borç</t>
        </is>
      </c>
    </row>
    <row r="1774" s="34">
      <c r="A1774" s="40" t="inlineStr">
        <is>
          <t>320.01.01.S212</t>
        </is>
      </c>
      <c r="B1774" s="40" t="inlineStr">
        <is>
          <t>Satel Bilişim Yazılım Eğitim Danışmanlık Tur. ve Tic.Ltd.Şti</t>
        </is>
      </c>
      <c r="C1774" s="40" t="inlineStr">
        <is>
          <t>TRY</t>
        </is>
      </c>
      <c r="D1774" s="40" t="inlineStr">
        <is>
          <t>SERTAŞ MERKEZ</t>
        </is>
      </c>
      <c r="E1774" s="38" t="n">
        <v>15000</v>
      </c>
      <c r="F1774" s="38" t="n">
        <v>0</v>
      </c>
      <c r="G1774" s="38" t="n">
        <v>15000</v>
      </c>
      <c r="H1774" s="40" t="inlineStr">
        <is>
          <t>Borç</t>
        </is>
      </c>
      <c r="I1774" s="38" t="n">
        <v>15000</v>
      </c>
      <c r="J1774" s="38" t="n">
        <v>0</v>
      </c>
      <c r="K1774" s="38" t="n">
        <v>15000</v>
      </c>
      <c r="L1774" s="40" t="inlineStr">
        <is>
          <t>Borç</t>
        </is>
      </c>
    </row>
    <row r="1775" s="34">
      <c r="A1775" s="40" t="inlineStr">
        <is>
          <t>320.01.01.S213</t>
        </is>
      </c>
      <c r="B1775" s="40" t="inlineStr">
        <is>
          <t>Serik Mal Müdürlüğü</t>
        </is>
      </c>
      <c r="C1775" s="40" t="inlineStr">
        <is>
          <t>TRY</t>
        </is>
      </c>
      <c r="D1775" s="40" t="inlineStr">
        <is>
          <t>ROYAL ADAM EVE</t>
        </is>
      </c>
      <c r="E1775" s="38" t="n">
        <v>11504759.1</v>
      </c>
      <c r="F1775" s="38" t="n">
        <v>11504759.1</v>
      </c>
      <c r="G1775" s="38" t="n">
        <v>0</v>
      </c>
      <c r="I1775" s="38" t="n">
        <v>11504759.1</v>
      </c>
      <c r="J1775" s="38" t="n">
        <v>11504759.1</v>
      </c>
      <c r="K1775" s="38" t="n">
        <v>0</v>
      </c>
    </row>
    <row r="1776" s="34">
      <c r="A1776" s="40" t="inlineStr">
        <is>
          <t>320.01.01.S214</t>
        </is>
      </c>
      <c r="B1776" s="40" t="inlineStr">
        <is>
          <t>Sinan Katter-Kaan Kaşe</t>
        </is>
      </c>
      <c r="C1776" s="40" t="inlineStr">
        <is>
          <t>TRY</t>
        </is>
      </c>
      <c r="D1776" s="40" t="inlineStr">
        <is>
          <t>GİTAŞ MERKEZ</t>
        </is>
      </c>
      <c r="E1776" s="38" t="n">
        <v>13632</v>
      </c>
      <c r="F1776" s="38" t="n">
        <v>0</v>
      </c>
      <c r="G1776" s="38" t="n">
        <v>13632</v>
      </c>
      <c r="H1776" s="40" t="inlineStr">
        <is>
          <t>Borç</t>
        </is>
      </c>
      <c r="I1776" s="38" t="n">
        <v>13632</v>
      </c>
      <c r="J1776" s="38" t="n">
        <v>0</v>
      </c>
      <c r="K1776" s="38" t="n">
        <v>13632</v>
      </c>
      <c r="L1776" s="40" t="inlineStr">
        <is>
          <t>Borç</t>
        </is>
      </c>
    </row>
    <row r="1777" s="34">
      <c r="A1777" s="40" t="inlineStr">
        <is>
          <t>320.01.01.S214</t>
        </is>
      </c>
      <c r="B1777" s="40" t="inlineStr">
        <is>
          <t>Sinan Katter-Kaan Kaşe</t>
        </is>
      </c>
      <c r="C1777" s="40" t="inlineStr">
        <is>
          <t>TRY</t>
        </is>
      </c>
      <c r="D1777" s="40" t="inlineStr">
        <is>
          <t>SERTAŞ MERKEZ</t>
        </is>
      </c>
      <c r="E1777" s="38" t="n">
        <v>15774</v>
      </c>
      <c r="F1777" s="38" t="n">
        <v>0</v>
      </c>
      <c r="G1777" s="38" t="n">
        <v>15774</v>
      </c>
      <c r="H1777" s="40" t="inlineStr">
        <is>
          <t>Borç</t>
        </is>
      </c>
      <c r="I1777" s="38" t="n">
        <v>15774</v>
      </c>
      <c r="J1777" s="38" t="n">
        <v>0</v>
      </c>
      <c r="K1777" s="38" t="n">
        <v>15774</v>
      </c>
      <c r="L1777" s="40" t="inlineStr">
        <is>
          <t>Borç</t>
        </is>
      </c>
    </row>
    <row r="1778" s="34">
      <c r="A1778" s="40" t="inlineStr">
        <is>
          <t>320.01.01.T002</t>
        </is>
      </c>
      <c r="B1778" s="40" t="inlineStr">
        <is>
          <t>Tui Deutschland Gmbh</t>
        </is>
      </c>
      <c r="C1778" s="40" t="inlineStr">
        <is>
          <t>EUR</t>
        </is>
      </c>
      <c r="D1778" s="40" t="inlineStr">
        <is>
          <t>GİTAŞ MERKEZ</t>
        </is>
      </c>
      <c r="E1778" s="38" t="n">
        <v>199254.17</v>
      </c>
      <c r="F1778" s="38" t="n">
        <v>0</v>
      </c>
      <c r="G1778" s="38" t="n">
        <v>199254.17</v>
      </c>
      <c r="H1778" s="40" t="inlineStr">
        <is>
          <t>Borç</t>
        </is>
      </c>
      <c r="I1778" s="38" t="n">
        <v>3739.98</v>
      </c>
      <c r="J1778" s="38" t="n">
        <v>0</v>
      </c>
      <c r="K1778" s="38" t="n">
        <v>3739.98</v>
      </c>
      <c r="L1778" s="40" t="inlineStr">
        <is>
          <t>Borç</t>
        </is>
      </c>
    </row>
    <row r="1779" s="34">
      <c r="A1779" s="40" t="inlineStr">
        <is>
          <t>320.01.01.T003</t>
        </is>
      </c>
      <c r="B1779" s="40" t="inlineStr">
        <is>
          <t>Tahsin Varol</t>
        </is>
      </c>
      <c r="C1779" s="40" t="inlineStr">
        <is>
          <t>TRY</t>
        </is>
      </c>
      <c r="D1779" s="40" t="inlineStr">
        <is>
          <t>GİTAŞ MERKEZ</t>
        </is>
      </c>
      <c r="E1779" s="38" t="n">
        <v>17376</v>
      </c>
      <c r="F1779" s="38" t="n">
        <v>0</v>
      </c>
      <c r="G1779" s="38" t="n">
        <v>17376</v>
      </c>
      <c r="H1779" s="40" t="inlineStr">
        <is>
          <t>Borç</t>
        </is>
      </c>
      <c r="I1779" s="38" t="n">
        <v>17376</v>
      </c>
      <c r="J1779" s="38" t="n">
        <v>0</v>
      </c>
      <c r="K1779" s="38" t="n">
        <v>17376</v>
      </c>
      <c r="L1779" s="40" t="inlineStr">
        <is>
          <t>Borç</t>
        </is>
      </c>
    </row>
    <row r="1780" s="34">
      <c r="A1780" s="40" t="inlineStr">
        <is>
          <t>320.01.01.T006</t>
        </is>
      </c>
      <c r="B1780" s="40" t="inlineStr">
        <is>
          <t>Turkcell Dijital İş Servisleri AŞ</t>
        </is>
      </c>
      <c r="C1780" s="40" t="inlineStr">
        <is>
          <t>TRY</t>
        </is>
      </c>
      <c r="D1780" s="40" t="inlineStr">
        <is>
          <t>SERTAŞ MERKEZ</t>
        </is>
      </c>
      <c r="E1780" s="38" t="n">
        <v>119097.43</v>
      </c>
      <c r="F1780" s="38" t="n">
        <v>0</v>
      </c>
      <c r="G1780" s="38" t="n">
        <v>119097.43</v>
      </c>
      <c r="H1780" s="40" t="inlineStr">
        <is>
          <t>Borç</t>
        </is>
      </c>
      <c r="I1780" s="38" t="n">
        <v>119097.43</v>
      </c>
      <c r="J1780" s="38" t="n">
        <v>0</v>
      </c>
      <c r="K1780" s="38" t="n">
        <v>119097.43</v>
      </c>
      <c r="L1780" s="40" t="inlineStr">
        <is>
          <t>Borç</t>
        </is>
      </c>
    </row>
    <row r="1781" s="34">
      <c r="A1781" s="40" t="inlineStr">
        <is>
          <t>320.01.01.T010</t>
        </is>
      </c>
      <c r="B1781" s="40" t="inlineStr">
        <is>
          <t>Terser Elektronık Mekanık Hızmetlerı Otomotıv Tasımacılık Turızm Gıda Sanayı ve Tıcaret Ltd.Ştı.</t>
        </is>
      </c>
      <c r="C1781" s="40" t="inlineStr">
        <is>
          <t>TRY</t>
        </is>
      </c>
      <c r="D1781" s="40" t="inlineStr">
        <is>
          <t>SERTAŞ MERKEZ</t>
        </is>
      </c>
      <c r="E1781" s="38" t="n">
        <v>2400</v>
      </c>
      <c r="F1781" s="38" t="n">
        <v>0</v>
      </c>
      <c r="G1781" s="38" t="n">
        <v>2400</v>
      </c>
      <c r="H1781" s="40" t="inlineStr">
        <is>
          <t>Borç</t>
        </is>
      </c>
      <c r="I1781" s="38" t="n">
        <v>2400</v>
      </c>
      <c r="J1781" s="38" t="n">
        <v>0</v>
      </c>
      <c r="K1781" s="38" t="n">
        <v>2400</v>
      </c>
      <c r="L1781" s="40" t="inlineStr">
        <is>
          <t>Borç</t>
        </is>
      </c>
    </row>
    <row r="1782" s="34">
      <c r="A1782" s="40" t="inlineStr">
        <is>
          <t>320.01.01.T012</t>
        </is>
      </c>
      <c r="B1782" s="40" t="inlineStr">
        <is>
          <t>Tuna Edt Gıda Dağıtım Turizm Ithalat Ihracat Sanayi ve Ticaret limited Şirket</t>
        </is>
      </c>
      <c r="C1782" s="40" t="inlineStr">
        <is>
          <t>TRY</t>
        </is>
      </c>
      <c r="D1782" s="40" t="inlineStr">
        <is>
          <t>ROYAL HOLIDAY</t>
        </is>
      </c>
      <c r="E1782" s="38" t="n">
        <v>0</v>
      </c>
      <c r="F1782" s="38" t="n">
        <v>36057</v>
      </c>
      <c r="G1782" s="38" t="n">
        <v>-36057</v>
      </c>
      <c r="H1782" s="40" t="inlineStr">
        <is>
          <t>Alacak</t>
        </is>
      </c>
      <c r="I1782" s="38" t="n">
        <v>0</v>
      </c>
      <c r="J1782" s="38" t="n">
        <v>36057</v>
      </c>
      <c r="K1782" s="38" t="n">
        <v>-36057</v>
      </c>
      <c r="L1782" s="40" t="inlineStr">
        <is>
          <t>Alacak</t>
        </is>
      </c>
    </row>
    <row r="1783" s="34">
      <c r="A1783" s="40" t="inlineStr">
        <is>
          <t>320.01.01.T016</t>
        </is>
      </c>
      <c r="B1783" s="40" t="inlineStr">
        <is>
          <t>Tanzer Gul Is Guvenligi Ltd.Şti.</t>
        </is>
      </c>
      <c r="C1783" s="40" t="inlineStr">
        <is>
          <t>TRY</t>
        </is>
      </c>
      <c r="D1783" s="40" t="inlineStr">
        <is>
          <t>GİTAŞ MERKEZ</t>
        </is>
      </c>
      <c r="E1783" s="38" t="n">
        <v>82800</v>
      </c>
      <c r="F1783" s="38" t="n">
        <v>0</v>
      </c>
      <c r="G1783" s="38" t="n">
        <v>82800</v>
      </c>
      <c r="H1783" s="40" t="inlineStr">
        <is>
          <t>Borç</t>
        </is>
      </c>
      <c r="I1783" s="38" t="n">
        <v>82800</v>
      </c>
      <c r="J1783" s="38" t="n">
        <v>0</v>
      </c>
      <c r="K1783" s="38" t="n">
        <v>82800</v>
      </c>
      <c r="L1783" s="40" t="inlineStr">
        <is>
          <t>Borç</t>
        </is>
      </c>
    </row>
    <row r="1784" s="34">
      <c r="A1784" s="40" t="inlineStr">
        <is>
          <t>320.01.01.T016</t>
        </is>
      </c>
      <c r="B1784" s="40" t="inlineStr">
        <is>
          <t>Tanzer Gul Is Guvenligi Ltd.Şti.</t>
        </is>
      </c>
      <c r="C1784" s="40" t="inlineStr">
        <is>
          <t>TRY</t>
        </is>
      </c>
      <c r="D1784" s="40" t="inlineStr">
        <is>
          <t>ROYAL ADAM EVE</t>
        </is>
      </c>
      <c r="E1784" s="38" t="n">
        <v>37200</v>
      </c>
      <c r="F1784" s="38" t="n">
        <v>0</v>
      </c>
      <c r="G1784" s="38" t="n">
        <v>37200</v>
      </c>
      <c r="H1784" s="40" t="inlineStr">
        <is>
          <t>Borç</t>
        </is>
      </c>
      <c r="I1784" s="38" t="n">
        <v>37200</v>
      </c>
      <c r="J1784" s="38" t="n">
        <v>0</v>
      </c>
      <c r="K1784" s="38" t="n">
        <v>37200</v>
      </c>
      <c r="L1784" s="40" t="inlineStr">
        <is>
          <t>Borç</t>
        </is>
      </c>
    </row>
    <row r="1785" s="34">
      <c r="A1785" s="40" t="inlineStr">
        <is>
          <t>320.01.01.T016</t>
        </is>
      </c>
      <c r="B1785" s="40" t="inlineStr">
        <is>
          <t>Tanzer Gul Is Guvenligi Ltd.Şti.</t>
        </is>
      </c>
      <c r="C1785" s="40" t="inlineStr">
        <is>
          <t>TRY</t>
        </is>
      </c>
      <c r="D1785" s="40" t="inlineStr">
        <is>
          <t>ROYAL SEGINUS</t>
        </is>
      </c>
      <c r="E1785" s="38" t="n">
        <v>0</v>
      </c>
      <c r="F1785" s="38" t="n">
        <v>48000</v>
      </c>
      <c r="G1785" s="38" t="n">
        <v>-48000</v>
      </c>
      <c r="H1785" s="40" t="inlineStr">
        <is>
          <t>Alacak</t>
        </is>
      </c>
      <c r="I1785" s="38" t="n">
        <v>0</v>
      </c>
      <c r="J1785" s="38" t="n">
        <v>48000</v>
      </c>
      <c r="K1785" s="38" t="n">
        <v>-48000</v>
      </c>
      <c r="L1785" s="40" t="inlineStr">
        <is>
          <t>Alacak</t>
        </is>
      </c>
    </row>
    <row r="1786" s="34">
      <c r="A1786" s="40" t="inlineStr">
        <is>
          <t>320.01.01.T016</t>
        </is>
      </c>
      <c r="B1786" s="40" t="inlineStr">
        <is>
          <t>Tanzer Gul Is Guvenligi Ltd.Şti.</t>
        </is>
      </c>
      <c r="C1786" s="40" t="inlineStr">
        <is>
          <t>TRY</t>
        </is>
      </c>
      <c r="D1786" s="40" t="inlineStr">
        <is>
          <t>SERTAŞ MERKEZ</t>
        </is>
      </c>
      <c r="E1786" s="38" t="n">
        <v>97800</v>
      </c>
      <c r="F1786" s="38" t="n">
        <v>0</v>
      </c>
      <c r="G1786" s="38" t="n">
        <v>97800</v>
      </c>
      <c r="H1786" s="40" t="inlineStr">
        <is>
          <t>Borç</t>
        </is>
      </c>
      <c r="I1786" s="38" t="n">
        <v>97800</v>
      </c>
      <c r="J1786" s="38" t="n">
        <v>0</v>
      </c>
      <c r="K1786" s="38" t="n">
        <v>97800</v>
      </c>
      <c r="L1786" s="40" t="inlineStr">
        <is>
          <t>Borç</t>
        </is>
      </c>
    </row>
    <row r="1787" s="34">
      <c r="A1787" s="40" t="inlineStr">
        <is>
          <t>320.01.01.T020</t>
        </is>
      </c>
      <c r="B1787" s="40" t="inlineStr">
        <is>
          <t>Tascıoglu Tavukculuk Gıda Mad.Paz.Tic.Ltd.Şti.</t>
        </is>
      </c>
      <c r="C1787" s="40" t="inlineStr">
        <is>
          <t>TRY</t>
        </is>
      </c>
      <c r="D1787" s="40" t="inlineStr">
        <is>
          <t>GİTAŞ MERKEZ</t>
        </is>
      </c>
      <c r="E1787" s="38" t="n">
        <v>137498.81</v>
      </c>
      <c r="F1787" s="38" t="n">
        <v>0</v>
      </c>
      <c r="G1787" s="38" t="n">
        <v>137498.81</v>
      </c>
      <c r="H1787" s="40" t="inlineStr">
        <is>
          <t>Borç</t>
        </is>
      </c>
      <c r="I1787" s="38" t="n">
        <v>137498.81</v>
      </c>
      <c r="J1787" s="38" t="n">
        <v>0</v>
      </c>
      <c r="K1787" s="38" t="n">
        <v>137498.81</v>
      </c>
      <c r="L1787" s="40" t="inlineStr">
        <is>
          <t>Borç</t>
        </is>
      </c>
    </row>
    <row r="1788" s="34">
      <c r="A1788" s="40" t="inlineStr">
        <is>
          <t>320.01.01.T020</t>
        </is>
      </c>
      <c r="B1788" s="40" t="inlineStr">
        <is>
          <t>Tascıoglu Tavukculuk Gıda Mad.Paz.Tic.Ltd.Şti.</t>
        </is>
      </c>
      <c r="C1788" s="40" t="inlineStr">
        <is>
          <t>TRY</t>
        </is>
      </c>
      <c r="D1788" s="40" t="inlineStr">
        <is>
          <t>ROYAL ADAM EVE</t>
        </is>
      </c>
      <c r="E1788" s="38" t="n">
        <v>19889.22</v>
      </c>
      <c r="F1788" s="38" t="n">
        <v>0</v>
      </c>
      <c r="G1788" s="38" t="n">
        <v>19889.22</v>
      </c>
      <c r="H1788" s="40" t="inlineStr">
        <is>
          <t>Borç</t>
        </is>
      </c>
      <c r="I1788" s="38" t="n">
        <v>19889.22</v>
      </c>
      <c r="J1788" s="38" t="n">
        <v>0</v>
      </c>
      <c r="K1788" s="38" t="n">
        <v>19889.22</v>
      </c>
      <c r="L1788" s="40" t="inlineStr">
        <is>
          <t>Borç</t>
        </is>
      </c>
    </row>
    <row r="1789" s="34">
      <c r="A1789" s="40" t="inlineStr">
        <is>
          <t>320.01.01.T020</t>
        </is>
      </c>
      <c r="B1789" s="40" t="inlineStr">
        <is>
          <t>Tascıoglu Tavukculuk Gıda Mad.Paz.Tic.Ltd.Şti.</t>
        </is>
      </c>
      <c r="C1789" s="40" t="inlineStr">
        <is>
          <t>TRY</t>
        </is>
      </c>
      <c r="D1789" s="40" t="inlineStr">
        <is>
          <t>ROYAL HOLIDAY</t>
        </is>
      </c>
      <c r="E1789" s="38" t="n">
        <v>0</v>
      </c>
      <c r="F1789" s="38" t="n">
        <v>17074.96</v>
      </c>
      <c r="G1789" s="38" t="n">
        <v>-17074.96</v>
      </c>
      <c r="H1789" s="40" t="inlineStr">
        <is>
          <t>Alacak</t>
        </is>
      </c>
      <c r="I1789" s="38" t="n">
        <v>0</v>
      </c>
      <c r="J1789" s="38" t="n">
        <v>17074.96</v>
      </c>
      <c r="K1789" s="38" t="n">
        <v>-17074.96</v>
      </c>
      <c r="L1789" s="40" t="inlineStr">
        <is>
          <t>Alacak</t>
        </is>
      </c>
    </row>
    <row r="1790" s="34">
      <c r="A1790" s="40" t="inlineStr">
        <is>
          <t>320.01.01.T020</t>
        </is>
      </c>
      <c r="B1790" s="40" t="inlineStr">
        <is>
          <t>Tascıoglu Tavukculuk Gıda Mad.Paz.Tic.Ltd.Şti.</t>
        </is>
      </c>
      <c r="C1790" s="40" t="inlineStr">
        <is>
          <t>TRY</t>
        </is>
      </c>
      <c r="D1790" s="40" t="inlineStr">
        <is>
          <t>SERTAŞ MERKEZ</t>
        </is>
      </c>
      <c r="E1790" s="38" t="n">
        <v>89350.17</v>
      </c>
      <c r="F1790" s="38" t="n">
        <v>0</v>
      </c>
      <c r="G1790" s="38" t="n">
        <v>89350.17</v>
      </c>
      <c r="H1790" s="40" t="inlineStr">
        <is>
          <t>Borç</t>
        </is>
      </c>
      <c r="I1790" s="38" t="n">
        <v>89350.17</v>
      </c>
      <c r="J1790" s="38" t="n">
        <v>0</v>
      </c>
      <c r="K1790" s="38" t="n">
        <v>89350.17</v>
      </c>
      <c r="L1790" s="40" t="inlineStr">
        <is>
          <t>Borç</t>
        </is>
      </c>
    </row>
    <row r="1791" s="34">
      <c r="A1791" s="40" t="inlineStr">
        <is>
          <t>320.01.01.T054</t>
        </is>
      </c>
      <c r="B1791" s="40" t="inlineStr">
        <is>
          <t>Toprak Global Dag.Gıda San.Ve Tic.Ltd.Şt</t>
        </is>
      </c>
      <c r="C1791" s="40" t="inlineStr">
        <is>
          <t>TRY</t>
        </is>
      </c>
      <c r="D1791" s="40" t="inlineStr">
        <is>
          <t>GİTAŞ MERKEZ</t>
        </is>
      </c>
      <c r="E1791" s="38" t="n">
        <v>1734309.1</v>
      </c>
      <c r="F1791" s="38" t="n">
        <v>0</v>
      </c>
      <c r="G1791" s="38" t="n">
        <v>1734309.1</v>
      </c>
      <c r="H1791" s="40" t="inlineStr">
        <is>
          <t>Borç</t>
        </is>
      </c>
      <c r="I1791" s="38" t="n">
        <v>1734309.1</v>
      </c>
      <c r="J1791" s="38" t="n">
        <v>0</v>
      </c>
      <c r="K1791" s="38" t="n">
        <v>1734309.1</v>
      </c>
      <c r="L1791" s="40" t="inlineStr">
        <is>
          <t>Borç</t>
        </is>
      </c>
    </row>
    <row r="1792" s="34">
      <c r="A1792" s="40" t="inlineStr">
        <is>
          <t>320.01.01.T066</t>
        </is>
      </c>
      <c r="B1792" s="40" t="inlineStr">
        <is>
          <t>Ttnet Anonim Sirketi</t>
        </is>
      </c>
      <c r="C1792" s="40" t="inlineStr">
        <is>
          <t>TRY</t>
        </is>
      </c>
      <c r="D1792" s="40" t="inlineStr">
        <is>
          <t>GİTAŞ MERKEZ</t>
        </is>
      </c>
      <c r="E1792" s="38" t="n">
        <v>24190</v>
      </c>
      <c r="F1792" s="38" t="n">
        <v>0</v>
      </c>
      <c r="G1792" s="38" t="n">
        <v>24190</v>
      </c>
      <c r="H1792" s="40" t="inlineStr">
        <is>
          <t>Borç</t>
        </is>
      </c>
      <c r="I1792" s="38" t="n">
        <v>24190</v>
      </c>
      <c r="J1792" s="38" t="n">
        <v>0</v>
      </c>
      <c r="K1792" s="38" t="n">
        <v>24190</v>
      </c>
      <c r="L1792" s="40" t="inlineStr">
        <is>
          <t>Borç</t>
        </is>
      </c>
    </row>
    <row r="1793" s="34">
      <c r="A1793" s="40" t="inlineStr">
        <is>
          <t>320.01.01.T066</t>
        </is>
      </c>
      <c r="B1793" s="40" t="inlineStr">
        <is>
          <t>Ttnet Anonim Sirketi</t>
        </is>
      </c>
      <c r="C1793" s="40" t="inlineStr">
        <is>
          <t>TRY</t>
        </is>
      </c>
      <c r="D1793" s="40" t="inlineStr">
        <is>
          <t>ROYAL ADAM EVE</t>
        </is>
      </c>
      <c r="E1793" s="38" t="n">
        <v>28865.75</v>
      </c>
      <c r="F1793" s="38" t="n">
        <v>0</v>
      </c>
      <c r="G1793" s="38" t="n">
        <v>28865.75</v>
      </c>
      <c r="H1793" s="40" t="inlineStr">
        <is>
          <t>Borç</t>
        </is>
      </c>
      <c r="I1793" s="38" t="n">
        <v>28865.75</v>
      </c>
      <c r="J1793" s="38" t="n">
        <v>0</v>
      </c>
      <c r="K1793" s="38" t="n">
        <v>28865.75</v>
      </c>
      <c r="L1793" s="40" t="inlineStr">
        <is>
          <t>Borç</t>
        </is>
      </c>
    </row>
    <row r="1794" s="34">
      <c r="A1794" s="40" t="inlineStr">
        <is>
          <t>320.01.01.T066</t>
        </is>
      </c>
      <c r="B1794" s="40" t="inlineStr">
        <is>
          <t>Ttnet Anonim Sirketi</t>
        </is>
      </c>
      <c r="C1794" s="40" t="inlineStr">
        <is>
          <t>TRY</t>
        </is>
      </c>
      <c r="D1794" s="40" t="inlineStr">
        <is>
          <t>SERTAŞ MERKEZ</t>
        </is>
      </c>
      <c r="E1794" s="38" t="n">
        <v>131868.25</v>
      </c>
      <c r="F1794" s="38" t="n">
        <v>0</v>
      </c>
      <c r="G1794" s="38" t="n">
        <v>131868.25</v>
      </c>
      <c r="H1794" s="40" t="inlineStr">
        <is>
          <t>Borç</t>
        </is>
      </c>
      <c r="I1794" s="38" t="n">
        <v>131868.25</v>
      </c>
      <c r="J1794" s="38" t="n">
        <v>0</v>
      </c>
      <c r="K1794" s="38" t="n">
        <v>131868.25</v>
      </c>
      <c r="L1794" s="40" t="inlineStr">
        <is>
          <t>Borç</t>
        </is>
      </c>
    </row>
    <row r="1795" s="34">
      <c r="A1795" s="40" t="inlineStr">
        <is>
          <t>320.01.01.T077</t>
        </is>
      </c>
      <c r="B1795" s="40" t="inlineStr">
        <is>
          <t>Turkcell Satış Ve Dağıtım Hiz.A.Ş.</t>
        </is>
      </c>
      <c r="C1795" s="40" t="inlineStr">
        <is>
          <t>TRY</t>
        </is>
      </c>
      <c r="D1795" s="40" t="inlineStr">
        <is>
          <t>GİTAŞ MERKEZ</t>
        </is>
      </c>
      <c r="E1795" s="38" t="n">
        <v>19396</v>
      </c>
      <c r="F1795" s="38" t="n">
        <v>0</v>
      </c>
      <c r="G1795" s="38" t="n">
        <v>19396</v>
      </c>
      <c r="H1795" s="40" t="inlineStr">
        <is>
          <t>Borç</t>
        </is>
      </c>
      <c r="I1795" s="38" t="n">
        <v>19396</v>
      </c>
      <c r="J1795" s="38" t="n">
        <v>0</v>
      </c>
      <c r="K1795" s="38" t="n">
        <v>19396</v>
      </c>
      <c r="L1795" s="40" t="inlineStr">
        <is>
          <t>Borç</t>
        </is>
      </c>
    </row>
    <row r="1796" s="34">
      <c r="A1796" s="40" t="inlineStr">
        <is>
          <t>320.01.01.T077</t>
        </is>
      </c>
      <c r="B1796" s="40" t="inlineStr">
        <is>
          <t>Turkcell Satış Ve Dağıtım Hiz.A.Ş.</t>
        </is>
      </c>
      <c r="C1796" s="40" t="inlineStr">
        <is>
          <t>TRY</t>
        </is>
      </c>
      <c r="D1796" s="40" t="inlineStr">
        <is>
          <t>ROYAL ADAM EVE</t>
        </is>
      </c>
      <c r="E1796" s="38" t="n">
        <v>21368.4</v>
      </c>
      <c r="F1796" s="38" t="n">
        <v>21368.4</v>
      </c>
      <c r="G1796" s="38" t="n">
        <v>0</v>
      </c>
      <c r="I1796" s="38" t="n">
        <v>21368.4</v>
      </c>
      <c r="J1796" s="38" t="n">
        <v>21368.4</v>
      </c>
      <c r="K1796" s="38" t="n">
        <v>0</v>
      </c>
    </row>
    <row r="1797" s="34">
      <c r="A1797" s="40" t="inlineStr">
        <is>
          <t>320.01.01.T077</t>
        </is>
      </c>
      <c r="B1797" s="40" t="inlineStr">
        <is>
          <t>Turkcell Satış Ve Dağıtım Hiz.A.Ş.</t>
        </is>
      </c>
      <c r="C1797" s="40" t="inlineStr">
        <is>
          <t>TRY</t>
        </is>
      </c>
      <c r="D1797" s="40" t="inlineStr">
        <is>
          <t>SERTAŞ MERKEZ</t>
        </is>
      </c>
      <c r="E1797" s="38" t="n">
        <v>121628.3</v>
      </c>
      <c r="F1797" s="38" t="n">
        <v>0</v>
      </c>
      <c r="G1797" s="38" t="n">
        <v>121628.3</v>
      </c>
      <c r="H1797" s="40" t="inlineStr">
        <is>
          <t>Borç</t>
        </is>
      </c>
      <c r="I1797" s="38" t="n">
        <v>121628.3</v>
      </c>
      <c r="J1797" s="38" t="n">
        <v>0</v>
      </c>
      <c r="K1797" s="38" t="n">
        <v>121628.3</v>
      </c>
      <c r="L1797" s="40" t="inlineStr">
        <is>
          <t>Borç</t>
        </is>
      </c>
    </row>
    <row r="1798" s="34">
      <c r="A1798" s="40" t="inlineStr">
        <is>
          <t>320.01.01.T086</t>
        </is>
      </c>
      <c r="B1798" s="40" t="inlineStr">
        <is>
          <t>Turtalya Araç Muayene İstasyonu A.Ş</t>
        </is>
      </c>
      <c r="C1798" s="40" t="inlineStr">
        <is>
          <t>TRY</t>
        </is>
      </c>
      <c r="D1798" s="40" t="inlineStr">
        <is>
          <t>ROYAL DRAGON</t>
        </is>
      </c>
      <c r="E1798" s="38" t="n">
        <v>3908.04</v>
      </c>
      <c r="F1798" s="38" t="n">
        <v>0</v>
      </c>
      <c r="G1798" s="38" t="n">
        <v>3908.04</v>
      </c>
      <c r="H1798" s="40" t="inlineStr">
        <is>
          <t>Borç</t>
        </is>
      </c>
      <c r="I1798" s="38" t="n">
        <v>3908.04</v>
      </c>
      <c r="J1798" s="38" t="n">
        <v>0</v>
      </c>
      <c r="K1798" s="38" t="n">
        <v>3908.04</v>
      </c>
      <c r="L1798" s="40" t="inlineStr">
        <is>
          <t>Borç</t>
        </is>
      </c>
    </row>
    <row r="1799" s="34">
      <c r="A1799" s="40" t="inlineStr">
        <is>
          <t>320.01.01.T086</t>
        </is>
      </c>
      <c r="B1799" s="40" t="inlineStr">
        <is>
          <t>Turtalya Araç Muayene İstasyonu A.Ş</t>
        </is>
      </c>
      <c r="C1799" s="40" t="inlineStr">
        <is>
          <t>TRY</t>
        </is>
      </c>
      <c r="D1799" s="40" t="inlineStr">
        <is>
          <t>ROYAL SEGINUS</t>
        </is>
      </c>
      <c r="E1799" s="38" t="n">
        <v>3912.4</v>
      </c>
      <c r="F1799" s="38" t="n">
        <v>0</v>
      </c>
      <c r="G1799" s="38" t="n">
        <v>3912.4</v>
      </c>
      <c r="H1799" s="40" t="inlineStr">
        <is>
          <t>Borç</t>
        </is>
      </c>
      <c r="I1799" s="38" t="n">
        <v>3912.4</v>
      </c>
      <c r="J1799" s="38" t="n">
        <v>0</v>
      </c>
      <c r="K1799" s="38" t="n">
        <v>3912.4</v>
      </c>
      <c r="L1799" s="40" t="inlineStr">
        <is>
          <t>Borç</t>
        </is>
      </c>
    </row>
    <row r="1800" s="34">
      <c r="A1800" s="40" t="inlineStr">
        <is>
          <t>320.01.01.T087</t>
        </is>
      </c>
      <c r="B1800" s="40" t="inlineStr">
        <is>
          <t>Tuter Kitap Kırtasiye Tur.Tic.Ltd.Şti.</t>
        </is>
      </c>
      <c r="C1800" s="40" t="inlineStr">
        <is>
          <t>TRY</t>
        </is>
      </c>
      <c r="D1800" s="40" t="inlineStr">
        <is>
          <t>GİTAŞ MERKEZ</t>
        </is>
      </c>
      <c r="E1800" s="38" t="n">
        <v>14473</v>
      </c>
      <c r="F1800" s="38" t="n">
        <v>0</v>
      </c>
      <c r="G1800" s="38" t="n">
        <v>14473</v>
      </c>
      <c r="H1800" s="40" t="inlineStr">
        <is>
          <t>Borç</t>
        </is>
      </c>
      <c r="I1800" s="38" t="n">
        <v>14473</v>
      </c>
      <c r="J1800" s="38" t="n">
        <v>0</v>
      </c>
      <c r="K1800" s="38" t="n">
        <v>14473</v>
      </c>
      <c r="L1800" s="40" t="inlineStr">
        <is>
          <t>Borç</t>
        </is>
      </c>
    </row>
    <row r="1801" s="34">
      <c r="A1801" s="40" t="inlineStr">
        <is>
          <t>320.01.01.T087</t>
        </is>
      </c>
      <c r="B1801" s="40" t="inlineStr">
        <is>
          <t>Tuter Kitap Kırtasiye Tur.Tic.Ltd.Şti.</t>
        </is>
      </c>
      <c r="C1801" s="40" t="inlineStr">
        <is>
          <t>TRY</t>
        </is>
      </c>
      <c r="D1801" s="40" t="inlineStr">
        <is>
          <t>ROYAL ALHAMBRA</t>
        </is>
      </c>
      <c r="E1801" s="38" t="n">
        <v>0</v>
      </c>
      <c r="F1801" s="38" t="n">
        <v>618</v>
      </c>
      <c r="G1801" s="38" t="n">
        <v>-618</v>
      </c>
      <c r="H1801" s="40" t="inlineStr">
        <is>
          <t>Alacak</t>
        </is>
      </c>
      <c r="I1801" s="38" t="n">
        <v>0</v>
      </c>
      <c r="J1801" s="38" t="n">
        <v>618</v>
      </c>
      <c r="K1801" s="38" t="n">
        <v>-618</v>
      </c>
      <c r="L1801" s="40" t="inlineStr">
        <is>
          <t>Alacak</t>
        </is>
      </c>
    </row>
    <row r="1802" s="34">
      <c r="A1802" s="40" t="inlineStr">
        <is>
          <t>320.01.01.T087</t>
        </is>
      </c>
      <c r="B1802" s="40" t="inlineStr">
        <is>
          <t>Tuter Kitap Kırtasiye Tur.Tic.Ltd.Şti.</t>
        </is>
      </c>
      <c r="C1802" s="40" t="inlineStr">
        <is>
          <t>TRY</t>
        </is>
      </c>
      <c r="D1802" s="40" t="inlineStr">
        <is>
          <t>ROYAL DRAGON</t>
        </is>
      </c>
      <c r="E1802" s="38" t="n">
        <v>0</v>
      </c>
      <c r="F1802" s="38" t="n">
        <v>312</v>
      </c>
      <c r="G1802" s="38" t="n">
        <v>-312</v>
      </c>
      <c r="H1802" s="40" t="inlineStr">
        <is>
          <t>Alacak</t>
        </is>
      </c>
      <c r="I1802" s="38" t="n">
        <v>0</v>
      </c>
      <c r="J1802" s="38" t="n">
        <v>312</v>
      </c>
      <c r="K1802" s="38" t="n">
        <v>-312</v>
      </c>
      <c r="L1802" s="40" t="inlineStr">
        <is>
          <t>Alacak</t>
        </is>
      </c>
    </row>
    <row r="1803" s="34">
      <c r="A1803" s="40" t="inlineStr">
        <is>
          <t>320.01.01.T087</t>
        </is>
      </c>
      <c r="B1803" s="40" t="inlineStr">
        <is>
          <t>Tuter Kitap Kırtasiye Tur.Tic.Ltd.Şti.</t>
        </is>
      </c>
      <c r="C1803" s="40" t="inlineStr">
        <is>
          <t>TRY</t>
        </is>
      </c>
      <c r="D1803" s="40" t="inlineStr">
        <is>
          <t>ROYAL HOLIDAY</t>
        </is>
      </c>
      <c r="E1803" s="38" t="n">
        <v>0</v>
      </c>
      <c r="F1803" s="38" t="n">
        <v>4792.8</v>
      </c>
      <c r="G1803" s="38" t="n">
        <v>-4792.8</v>
      </c>
      <c r="H1803" s="40" t="inlineStr">
        <is>
          <t>Alacak</t>
        </is>
      </c>
      <c r="I1803" s="38" t="n">
        <v>0</v>
      </c>
      <c r="J1803" s="38" t="n">
        <v>4792.8</v>
      </c>
      <c r="K1803" s="38" t="n">
        <v>-4792.8</v>
      </c>
      <c r="L1803" s="40" t="inlineStr">
        <is>
          <t>Alacak</t>
        </is>
      </c>
    </row>
    <row r="1804" s="34">
      <c r="A1804" s="40" t="inlineStr">
        <is>
          <t>320.01.01.T087</t>
        </is>
      </c>
      <c r="B1804" s="40" t="inlineStr">
        <is>
          <t>Tuter Kitap Kırtasiye Tur.Tic.Ltd.Şti.</t>
        </is>
      </c>
      <c r="C1804" s="40" t="inlineStr">
        <is>
          <t>TRY</t>
        </is>
      </c>
      <c r="D1804" s="40" t="inlineStr">
        <is>
          <t>ROYAL SEGINUS</t>
        </is>
      </c>
      <c r="E1804" s="38" t="n">
        <v>0</v>
      </c>
      <c r="F1804" s="38" t="n">
        <v>661.8</v>
      </c>
      <c r="G1804" s="38" t="n">
        <v>-661.8</v>
      </c>
      <c r="H1804" s="40" t="inlineStr">
        <is>
          <t>Alacak</t>
        </is>
      </c>
      <c r="I1804" s="38" t="n">
        <v>0</v>
      </c>
      <c r="J1804" s="38" t="n">
        <v>661.8</v>
      </c>
      <c r="K1804" s="38" t="n">
        <v>-661.8</v>
      </c>
      <c r="L1804" s="40" t="inlineStr">
        <is>
          <t>Alacak</t>
        </is>
      </c>
    </row>
    <row r="1805" s="34">
      <c r="A1805" s="40" t="inlineStr">
        <is>
          <t>320.01.01.T087</t>
        </is>
      </c>
      <c r="B1805" s="40" t="inlineStr">
        <is>
          <t>Tuter Kitap Kırtasiye Tur.Tic.Ltd.Şti.</t>
        </is>
      </c>
      <c r="C1805" s="40" t="inlineStr">
        <is>
          <t>TRY</t>
        </is>
      </c>
      <c r="D1805" s="40" t="inlineStr">
        <is>
          <t>SERTAŞ MERKEZ</t>
        </is>
      </c>
      <c r="E1805" s="38" t="n">
        <v>43550.66</v>
      </c>
      <c r="F1805" s="38" t="n">
        <v>0</v>
      </c>
      <c r="G1805" s="38" t="n">
        <v>43550.66</v>
      </c>
      <c r="H1805" s="40" t="inlineStr">
        <is>
          <t>Borç</t>
        </is>
      </c>
      <c r="I1805" s="38" t="n">
        <v>43550.66</v>
      </c>
      <c r="J1805" s="38" t="n">
        <v>0</v>
      </c>
      <c r="K1805" s="38" t="n">
        <v>43550.66</v>
      </c>
      <c r="L1805" s="40" t="inlineStr">
        <is>
          <t>Borç</t>
        </is>
      </c>
    </row>
    <row r="1806" s="34">
      <c r="A1806" s="40" t="inlineStr">
        <is>
          <t>320.01.01.T088</t>
        </is>
      </c>
      <c r="B1806" s="40" t="inlineStr">
        <is>
          <t>Tutser Mühendislik Tic. Ve Turz. Ltd.Şti</t>
        </is>
      </c>
      <c r="C1806" s="40" t="inlineStr">
        <is>
          <t>TRY</t>
        </is>
      </c>
      <c r="D1806" s="40" t="inlineStr">
        <is>
          <t>ROYAL ADAM EVE</t>
        </is>
      </c>
      <c r="E1806" s="38" t="n">
        <v>317344.56</v>
      </c>
      <c r="F1806" s="38" t="n">
        <v>0</v>
      </c>
      <c r="G1806" s="38" t="n">
        <v>317344.56</v>
      </c>
      <c r="H1806" s="40" t="inlineStr">
        <is>
          <t>Borç</t>
        </is>
      </c>
      <c r="I1806" s="38" t="n">
        <v>317344.56</v>
      </c>
      <c r="J1806" s="38" t="n">
        <v>0</v>
      </c>
      <c r="K1806" s="38" t="n">
        <v>317344.56</v>
      </c>
      <c r="L1806" s="40" t="inlineStr">
        <is>
          <t>Borç</t>
        </is>
      </c>
    </row>
    <row r="1807" s="34">
      <c r="A1807" s="40" t="inlineStr">
        <is>
          <t>320.01.01.T090</t>
        </is>
      </c>
      <c r="B1807" s="40" t="inlineStr">
        <is>
          <t>Türk Telekom İletişim HizmeTLeri A.Ş.</t>
        </is>
      </c>
      <c r="C1807" s="40" t="inlineStr">
        <is>
          <t>TRY</t>
        </is>
      </c>
      <c r="D1807" s="40" t="inlineStr">
        <is>
          <t>GİTAŞ MERKEZ</t>
        </is>
      </c>
      <c r="E1807" s="38" t="n">
        <v>19671.75</v>
      </c>
      <c r="F1807" s="38" t="n">
        <v>0</v>
      </c>
      <c r="G1807" s="38" t="n">
        <v>19671.75</v>
      </c>
      <c r="H1807" s="40" t="inlineStr">
        <is>
          <t>Borç</t>
        </is>
      </c>
      <c r="I1807" s="38" t="n">
        <v>19671.75</v>
      </c>
      <c r="J1807" s="38" t="n">
        <v>0</v>
      </c>
      <c r="K1807" s="38" t="n">
        <v>19671.75</v>
      </c>
      <c r="L1807" s="40" t="inlineStr">
        <is>
          <t>Borç</t>
        </is>
      </c>
    </row>
    <row r="1808" s="34">
      <c r="A1808" s="40" t="inlineStr">
        <is>
          <t>320.01.01.T090</t>
        </is>
      </c>
      <c r="B1808" s="40" t="inlineStr">
        <is>
          <t>Türk Telekom İletişim HizmeTLeri A.Ş.</t>
        </is>
      </c>
      <c r="C1808" s="40" t="inlineStr">
        <is>
          <t>TRY</t>
        </is>
      </c>
      <c r="D1808" s="40" t="inlineStr">
        <is>
          <t>ROYAL ADAM EVE</t>
        </is>
      </c>
      <c r="E1808" s="38" t="n">
        <v>18037.25</v>
      </c>
      <c r="F1808" s="38" t="n">
        <v>0</v>
      </c>
      <c r="G1808" s="38" t="n">
        <v>18037.25</v>
      </c>
      <c r="H1808" s="40" t="inlineStr">
        <is>
          <t>Borç</t>
        </is>
      </c>
      <c r="I1808" s="38" t="n">
        <v>18037.25</v>
      </c>
      <c r="J1808" s="38" t="n">
        <v>0</v>
      </c>
      <c r="K1808" s="38" t="n">
        <v>18037.25</v>
      </c>
      <c r="L1808" s="40" t="inlineStr">
        <is>
          <t>Borç</t>
        </is>
      </c>
    </row>
    <row r="1809" s="34">
      <c r="A1809" s="40" t="inlineStr">
        <is>
          <t>320.01.01.T090</t>
        </is>
      </c>
      <c r="B1809" s="40" t="inlineStr">
        <is>
          <t>Türk Telekom İletişim HizmeTLeri A.Ş.</t>
        </is>
      </c>
      <c r="C1809" s="40" t="inlineStr">
        <is>
          <t>TRY</t>
        </is>
      </c>
      <c r="D1809" s="40" t="inlineStr">
        <is>
          <t>SERTAŞ MERKEZ</t>
        </is>
      </c>
      <c r="E1809" s="38" t="n">
        <v>26992.5</v>
      </c>
      <c r="F1809" s="38" t="n">
        <v>0</v>
      </c>
      <c r="G1809" s="38" t="n">
        <v>26992.5</v>
      </c>
      <c r="H1809" s="40" t="inlineStr">
        <is>
          <t>Borç</t>
        </is>
      </c>
      <c r="I1809" s="38" t="n">
        <v>26992.5</v>
      </c>
      <c r="J1809" s="38" t="n">
        <v>0</v>
      </c>
      <c r="K1809" s="38" t="n">
        <v>26992.5</v>
      </c>
      <c r="L1809" s="40" t="inlineStr">
        <is>
          <t>Borç</t>
        </is>
      </c>
    </row>
    <row r="1810" s="34">
      <c r="A1810" s="40" t="inlineStr">
        <is>
          <t>320.01.01.T092</t>
        </is>
      </c>
      <c r="B1810" s="40" t="inlineStr">
        <is>
          <t>Türkiye Varlık Fonu</t>
        </is>
      </c>
      <c r="C1810" s="40" t="inlineStr">
        <is>
          <t>TRY</t>
        </is>
      </c>
      <c r="D1810" s="40" t="inlineStr">
        <is>
          <t>GİTAŞ MERKEZ</t>
        </is>
      </c>
      <c r="E1810" s="38" t="n">
        <v>12363801.96</v>
      </c>
      <c r="F1810" s="38" t="n">
        <v>0</v>
      </c>
      <c r="G1810" s="38" t="n">
        <v>12363801.96</v>
      </c>
      <c r="H1810" s="40" t="inlineStr">
        <is>
          <t>Borç</t>
        </is>
      </c>
      <c r="I1810" s="38" t="n">
        <v>12363801.96</v>
      </c>
      <c r="J1810" s="38" t="n">
        <v>0</v>
      </c>
      <c r="K1810" s="38" t="n">
        <v>12363801.96</v>
      </c>
      <c r="L1810" s="40" t="inlineStr">
        <is>
          <t>Borç</t>
        </is>
      </c>
    </row>
    <row r="1811" s="34">
      <c r="A1811" s="40" t="inlineStr">
        <is>
          <t>320.01.01.T092</t>
        </is>
      </c>
      <c r="B1811" s="40" t="inlineStr">
        <is>
          <t>Türkiye Varlık Fonu</t>
        </is>
      </c>
      <c r="C1811" s="40" t="inlineStr">
        <is>
          <t>TRY</t>
        </is>
      </c>
      <c r="D1811" s="40" t="inlineStr">
        <is>
          <t>ROYAL ALHAMBRA</t>
        </is>
      </c>
      <c r="E1811" s="38" t="n">
        <v>0</v>
      </c>
      <c r="F1811" s="38" t="n">
        <v>222775.68</v>
      </c>
      <c r="G1811" s="38" t="n">
        <v>-222775.68</v>
      </c>
      <c r="H1811" s="40" t="inlineStr">
        <is>
          <t>Alacak</t>
        </is>
      </c>
      <c r="I1811" s="38" t="n">
        <v>0</v>
      </c>
      <c r="J1811" s="38" t="n">
        <v>222775.68</v>
      </c>
      <c r="K1811" s="38" t="n">
        <v>-222775.68</v>
      </c>
      <c r="L1811" s="40" t="inlineStr">
        <is>
          <t>Alacak</t>
        </is>
      </c>
    </row>
    <row r="1812" s="34">
      <c r="A1812" s="40" t="inlineStr">
        <is>
          <t>320.01.01.T093</t>
        </is>
      </c>
      <c r="B1812" s="40" t="inlineStr">
        <is>
          <t>T.C. Çevre,Şehircilik Ve İklim Değişikliği Bakanlığı Döner Sermaye İşletmesi Müdürlüğü</t>
        </is>
      </c>
      <c r="C1812" s="40" t="inlineStr">
        <is>
          <t>TRY</t>
        </is>
      </c>
      <c r="D1812" s="40" t="inlineStr">
        <is>
          <t>ROYAL ADAM EVE</t>
        </is>
      </c>
      <c r="E1812" s="38" t="n">
        <v>78761.89999999999</v>
      </c>
      <c r="F1812" s="38" t="n">
        <v>0</v>
      </c>
      <c r="G1812" s="38" t="n">
        <v>78761.89999999999</v>
      </c>
      <c r="H1812" s="40" t="inlineStr">
        <is>
          <t>Borç</t>
        </is>
      </c>
      <c r="I1812" s="38" t="n">
        <v>78761.89999999999</v>
      </c>
      <c r="J1812" s="38" t="n">
        <v>0</v>
      </c>
      <c r="K1812" s="38" t="n">
        <v>78761.89999999999</v>
      </c>
      <c r="L1812" s="40" t="inlineStr">
        <is>
          <t>Borç</t>
        </is>
      </c>
    </row>
    <row r="1813" s="34">
      <c r="A1813" s="40" t="inlineStr">
        <is>
          <t>320.01.01.T099</t>
        </is>
      </c>
      <c r="B1813" s="40" t="inlineStr">
        <is>
          <t>Tanju Piskinci</t>
        </is>
      </c>
      <c r="C1813" s="40" t="inlineStr">
        <is>
          <t>TRY</t>
        </is>
      </c>
      <c r="D1813" s="40" t="inlineStr">
        <is>
          <t>GİTAŞ MERKEZ</t>
        </is>
      </c>
      <c r="E1813" s="38" t="n">
        <v>36000</v>
      </c>
      <c r="F1813" s="38" t="n">
        <v>0</v>
      </c>
      <c r="G1813" s="38" t="n">
        <v>36000</v>
      </c>
      <c r="H1813" s="40" t="inlineStr">
        <is>
          <t>Borç</t>
        </is>
      </c>
      <c r="I1813" s="38" t="n">
        <v>36000</v>
      </c>
      <c r="J1813" s="38" t="n">
        <v>0</v>
      </c>
      <c r="K1813" s="38" t="n">
        <v>36000</v>
      </c>
      <c r="L1813" s="40" t="inlineStr">
        <is>
          <t>Borç</t>
        </is>
      </c>
    </row>
    <row r="1814" s="34">
      <c r="A1814" s="40" t="inlineStr">
        <is>
          <t>320.01.01.T099</t>
        </is>
      </c>
      <c r="B1814" s="40" t="inlineStr">
        <is>
          <t>Tanju Piskinci</t>
        </is>
      </c>
      <c r="C1814" s="40" t="inlineStr">
        <is>
          <t>TRY</t>
        </is>
      </c>
      <c r="D1814" s="40" t="inlineStr">
        <is>
          <t>ROYAL DRAGON</t>
        </is>
      </c>
      <c r="E1814" s="38" t="n">
        <v>0</v>
      </c>
      <c r="F1814" s="38" t="n">
        <v>24000</v>
      </c>
      <c r="G1814" s="38" t="n">
        <v>-24000</v>
      </c>
      <c r="H1814" s="40" t="inlineStr">
        <is>
          <t>Alacak</t>
        </is>
      </c>
      <c r="I1814" s="38" t="n">
        <v>0</v>
      </c>
      <c r="J1814" s="38" t="n">
        <v>24000</v>
      </c>
      <c r="K1814" s="38" t="n">
        <v>-24000</v>
      </c>
      <c r="L1814" s="40" t="inlineStr">
        <is>
          <t>Alacak</t>
        </is>
      </c>
    </row>
    <row r="1815" s="34">
      <c r="A1815" s="40" t="inlineStr">
        <is>
          <t>320.01.01.T103</t>
        </is>
      </c>
      <c r="B1815" s="40" t="inlineStr">
        <is>
          <t>Tui Uk</t>
        </is>
      </c>
      <c r="C1815" s="40" t="inlineStr">
        <is>
          <t>GBP</t>
        </is>
      </c>
      <c r="D1815" s="40" t="inlineStr">
        <is>
          <t>GİTAŞ MERKEZ</t>
        </is>
      </c>
      <c r="E1815" s="38" t="n">
        <v>769.51</v>
      </c>
      <c r="F1815" s="38" t="n">
        <v>0</v>
      </c>
      <c r="G1815" s="38" t="n">
        <v>769.51</v>
      </c>
      <c r="H1815" s="40" t="inlineStr">
        <is>
          <t>Borç</t>
        </is>
      </c>
      <c r="I1815" s="38" t="n">
        <v>12.6</v>
      </c>
      <c r="J1815" s="38" t="n">
        <v>0</v>
      </c>
      <c r="K1815" s="38" t="n">
        <v>12.6</v>
      </c>
      <c r="L1815" s="40" t="inlineStr">
        <is>
          <t>Borç</t>
        </is>
      </c>
    </row>
    <row r="1816" s="34">
      <c r="A1816" s="40" t="inlineStr">
        <is>
          <t>320.01.01.T104</t>
        </is>
      </c>
      <c r="B1816" s="40" t="inlineStr">
        <is>
          <t>Tg Otelcilik İnş.Ve Turz.İşl.A.Ş.</t>
        </is>
      </c>
      <c r="C1816" s="40" t="inlineStr">
        <is>
          <t>TRY</t>
        </is>
      </c>
      <c r="D1816" s="40" t="inlineStr">
        <is>
          <t>ROYAL ALHAMBRA</t>
        </is>
      </c>
      <c r="E1816" s="38" t="n">
        <v>2282138.3</v>
      </c>
      <c r="F1816" s="38" t="n">
        <v>0</v>
      </c>
      <c r="G1816" s="38" t="n">
        <v>2282138.3</v>
      </c>
      <c r="H1816" s="40" t="inlineStr">
        <is>
          <t>Borç</t>
        </is>
      </c>
      <c r="I1816" s="38" t="n">
        <v>2282138.3</v>
      </c>
      <c r="J1816" s="38" t="n">
        <v>0</v>
      </c>
      <c r="K1816" s="38" t="n">
        <v>2282138.3</v>
      </c>
      <c r="L1816" s="40" t="inlineStr">
        <is>
          <t>Borç</t>
        </is>
      </c>
    </row>
    <row r="1817" s="34">
      <c r="A1817" s="40" t="inlineStr">
        <is>
          <t>320.01.01.T107</t>
        </is>
      </c>
      <c r="B1817" s="40" t="inlineStr">
        <is>
          <t>Tunç Yiğit Demirci - Pandora Yapı Mühendislik</t>
        </is>
      </c>
      <c r="C1817" s="40" t="inlineStr">
        <is>
          <t>TRY</t>
        </is>
      </c>
      <c r="D1817" s="40" t="inlineStr">
        <is>
          <t>SERTAŞ MERKEZ</t>
        </is>
      </c>
      <c r="E1817" s="38" t="n">
        <v>158940</v>
      </c>
      <c r="F1817" s="38" t="n">
        <v>0</v>
      </c>
      <c r="G1817" s="38" t="n">
        <v>158940</v>
      </c>
      <c r="H1817" s="40" t="inlineStr">
        <is>
          <t>Borç</t>
        </is>
      </c>
      <c r="I1817" s="38" t="n">
        <v>158940</v>
      </c>
      <c r="J1817" s="38" t="n">
        <v>0</v>
      </c>
      <c r="K1817" s="38" t="n">
        <v>158940</v>
      </c>
      <c r="L1817" s="40" t="inlineStr">
        <is>
          <t>Borç</t>
        </is>
      </c>
    </row>
    <row r="1818" s="34">
      <c r="A1818" s="40" t="inlineStr">
        <is>
          <t>320.01.01.U001</t>
        </is>
      </c>
      <c r="B1818" s="40" t="inlineStr">
        <is>
          <t>Unotek Tekstil Sanayi Ticaret Limited Şirketi</t>
        </is>
      </c>
      <c r="C1818" s="40" t="inlineStr">
        <is>
          <t>TRY</t>
        </is>
      </c>
      <c r="D1818" s="40" t="inlineStr">
        <is>
          <t>SERTAŞ MERKEZ</t>
        </is>
      </c>
      <c r="E1818" s="38" t="n">
        <v>82800</v>
      </c>
      <c r="F1818" s="38" t="n">
        <v>0</v>
      </c>
      <c r="G1818" s="38" t="n">
        <v>82800</v>
      </c>
      <c r="H1818" s="40" t="inlineStr">
        <is>
          <t>Borç</t>
        </is>
      </c>
      <c r="I1818" s="38" t="n">
        <v>82800</v>
      </c>
      <c r="J1818" s="38" t="n">
        <v>0</v>
      </c>
      <c r="K1818" s="38" t="n">
        <v>82800</v>
      </c>
      <c r="L1818" s="40" t="inlineStr">
        <is>
          <t>Borç</t>
        </is>
      </c>
    </row>
    <row r="1819" s="34">
      <c r="A1819" s="40" t="inlineStr">
        <is>
          <t>320.01.01.U005</t>
        </is>
      </c>
      <c r="B1819" s="40" t="inlineStr">
        <is>
          <t>Uls İçecek Ticaret A.Ş.</t>
        </is>
      </c>
      <c r="C1819" s="40" t="inlineStr">
        <is>
          <t>TRY</t>
        </is>
      </c>
      <c r="D1819" s="40" t="inlineStr">
        <is>
          <t>ROYAL DRAGON</t>
        </is>
      </c>
      <c r="E1819" s="38" t="n">
        <v>32525.16</v>
      </c>
      <c r="F1819" s="38" t="n">
        <v>0</v>
      </c>
      <c r="G1819" s="38" t="n">
        <v>32525.16</v>
      </c>
      <c r="H1819" s="40" t="inlineStr">
        <is>
          <t>Borç</t>
        </is>
      </c>
      <c r="I1819" s="38" t="n">
        <v>32525.16</v>
      </c>
      <c r="J1819" s="38" t="n">
        <v>0</v>
      </c>
      <c r="K1819" s="38" t="n">
        <v>32525.16</v>
      </c>
      <c r="L1819" s="40" t="inlineStr">
        <is>
          <t>Borç</t>
        </is>
      </c>
    </row>
    <row r="1820" s="34">
      <c r="A1820" s="40" t="inlineStr">
        <is>
          <t>320.01.01.U005</t>
        </is>
      </c>
      <c r="B1820" s="40" t="inlineStr">
        <is>
          <t>Uls İçecek Ticaret A.Ş.</t>
        </is>
      </c>
      <c r="C1820" s="40" t="inlineStr">
        <is>
          <t>TRY</t>
        </is>
      </c>
      <c r="D1820" s="40" t="inlineStr">
        <is>
          <t>ROYAL SEGINUS</t>
        </is>
      </c>
      <c r="E1820" s="38" t="n">
        <v>0</v>
      </c>
      <c r="F1820" s="38" t="n">
        <v>32525.16</v>
      </c>
      <c r="G1820" s="38" t="n">
        <v>-32525.16</v>
      </c>
      <c r="H1820" s="40" t="inlineStr">
        <is>
          <t>Alacak</t>
        </is>
      </c>
      <c r="I1820" s="38" t="n">
        <v>0</v>
      </c>
      <c r="J1820" s="38" t="n">
        <v>32525.16</v>
      </c>
      <c r="K1820" s="38" t="n">
        <v>-32525.16</v>
      </c>
      <c r="L1820" s="40" t="inlineStr">
        <is>
          <t>Alacak</t>
        </is>
      </c>
    </row>
    <row r="1821" s="34">
      <c r="A1821" s="40" t="inlineStr">
        <is>
          <t>320.01.01.U018</t>
        </is>
      </c>
      <c r="B1821" s="40" t="inlineStr">
        <is>
          <t>Unmaş Unlu Mamuller San.Ve Tic.A.Ş.</t>
        </is>
      </c>
      <c r="C1821" s="40" t="inlineStr">
        <is>
          <t>TRY</t>
        </is>
      </c>
      <c r="D1821" s="40" t="inlineStr">
        <is>
          <t>GİTAŞ MERKEZ</t>
        </is>
      </c>
      <c r="E1821" s="38" t="n">
        <v>103783.07</v>
      </c>
      <c r="F1821" s="38" t="n">
        <v>0</v>
      </c>
      <c r="G1821" s="38" t="n">
        <v>103783.07</v>
      </c>
      <c r="H1821" s="40" t="inlineStr">
        <is>
          <t>Borç</t>
        </is>
      </c>
      <c r="I1821" s="38" t="n">
        <v>103783.07</v>
      </c>
      <c r="J1821" s="38" t="n">
        <v>0</v>
      </c>
      <c r="K1821" s="38" t="n">
        <v>103783.07</v>
      </c>
      <c r="L1821" s="40" t="inlineStr">
        <is>
          <t>Borç</t>
        </is>
      </c>
    </row>
    <row r="1822" s="34">
      <c r="A1822" s="40" t="inlineStr">
        <is>
          <t>320.01.01.U018</t>
        </is>
      </c>
      <c r="B1822" s="40" t="inlineStr">
        <is>
          <t>Unmaş Unlu Mamuller San.Ve Tic.A.Ş.</t>
        </is>
      </c>
      <c r="C1822" s="40" t="inlineStr">
        <is>
          <t>TRY</t>
        </is>
      </c>
      <c r="D1822" s="40" t="inlineStr">
        <is>
          <t>ROYAL ADAM EVE</t>
        </is>
      </c>
      <c r="E1822" s="38" t="n">
        <v>58919.68</v>
      </c>
      <c r="F1822" s="38" t="n">
        <v>48110.37</v>
      </c>
      <c r="G1822" s="38" t="n">
        <v>10809.31</v>
      </c>
      <c r="H1822" s="40" t="inlineStr">
        <is>
          <t>Borç</t>
        </is>
      </c>
      <c r="I1822" s="38" t="n">
        <v>58919.68</v>
      </c>
      <c r="J1822" s="38" t="n">
        <v>48110.37</v>
      </c>
      <c r="K1822" s="38" t="n">
        <v>10809.31</v>
      </c>
      <c r="L1822" s="40" t="inlineStr">
        <is>
          <t>Borç</t>
        </is>
      </c>
    </row>
    <row r="1823" s="34">
      <c r="A1823" s="40" t="inlineStr">
        <is>
          <t>320.01.01.U018</t>
        </is>
      </c>
      <c r="B1823" s="40" t="inlineStr">
        <is>
          <t>Unmaş Unlu Mamuller San.Ve Tic.A.Ş.</t>
        </is>
      </c>
      <c r="C1823" s="40" t="inlineStr">
        <is>
          <t>TRY</t>
        </is>
      </c>
      <c r="D1823" s="40" t="inlineStr">
        <is>
          <t>ROYAL ALHAMBRA</t>
        </is>
      </c>
      <c r="E1823" s="38" t="n">
        <v>0</v>
      </c>
      <c r="F1823" s="38" t="n">
        <v>36680.68</v>
      </c>
      <c r="G1823" s="38" t="n">
        <v>-36680.68</v>
      </c>
      <c r="H1823" s="40" t="inlineStr">
        <is>
          <t>Alacak</t>
        </is>
      </c>
      <c r="I1823" s="38" t="n">
        <v>0</v>
      </c>
      <c r="J1823" s="38" t="n">
        <v>36680.68</v>
      </c>
      <c r="K1823" s="38" t="n">
        <v>-36680.68</v>
      </c>
      <c r="L1823" s="40" t="inlineStr">
        <is>
          <t>Alacak</t>
        </is>
      </c>
    </row>
    <row r="1824" s="34">
      <c r="A1824" s="40" t="inlineStr">
        <is>
          <t>320.01.01.U018</t>
        </is>
      </c>
      <c r="B1824" s="40" t="inlineStr">
        <is>
          <t>Unmaş Unlu Mamuller San.Ve Tic.A.Ş.</t>
        </is>
      </c>
      <c r="C1824" s="40" t="inlineStr">
        <is>
          <t>TRY</t>
        </is>
      </c>
      <c r="D1824" s="40" t="inlineStr">
        <is>
          <t>ROYAL DRAGON</t>
        </is>
      </c>
      <c r="E1824" s="38" t="n">
        <v>0</v>
      </c>
      <c r="F1824" s="38" t="n">
        <v>20057.59</v>
      </c>
      <c r="G1824" s="38" t="n">
        <v>-20057.59</v>
      </c>
      <c r="H1824" s="40" t="inlineStr">
        <is>
          <t>Alacak</t>
        </is>
      </c>
      <c r="I1824" s="38" t="n">
        <v>0</v>
      </c>
      <c r="J1824" s="38" t="n">
        <v>20057.59</v>
      </c>
      <c r="K1824" s="38" t="n">
        <v>-20057.59</v>
      </c>
      <c r="L1824" s="40" t="inlineStr">
        <is>
          <t>Alacak</t>
        </is>
      </c>
    </row>
    <row r="1825" s="34">
      <c r="A1825" s="40" t="inlineStr">
        <is>
          <t>320.01.01.U018</t>
        </is>
      </c>
      <c r="B1825" s="40" t="inlineStr">
        <is>
          <t>Unmaş Unlu Mamuller San.Ve Tic.A.Ş.</t>
        </is>
      </c>
      <c r="C1825" s="40" t="inlineStr">
        <is>
          <t>TRY</t>
        </is>
      </c>
      <c r="D1825" s="40" t="inlineStr">
        <is>
          <t>ROYAL HOLIDAY</t>
        </is>
      </c>
      <c r="E1825" s="38" t="n">
        <v>0</v>
      </c>
      <c r="F1825" s="38" t="n">
        <v>81573.17</v>
      </c>
      <c r="G1825" s="38" t="n">
        <v>-81573.17</v>
      </c>
      <c r="H1825" s="40" t="inlineStr">
        <is>
          <t>Alacak</t>
        </is>
      </c>
      <c r="I1825" s="38" t="n">
        <v>0</v>
      </c>
      <c r="J1825" s="38" t="n">
        <v>81573.17</v>
      </c>
      <c r="K1825" s="38" t="n">
        <v>-81573.17</v>
      </c>
      <c r="L1825" s="40" t="inlineStr">
        <is>
          <t>Alacak</t>
        </is>
      </c>
    </row>
    <row r="1826" s="34">
      <c r="A1826" s="40" t="inlineStr">
        <is>
          <t>320.01.01.U018</t>
        </is>
      </c>
      <c r="B1826" s="40" t="inlineStr">
        <is>
          <t>Unmaş Unlu Mamuller San.Ve Tic.A.Ş.</t>
        </is>
      </c>
      <c r="C1826" s="40" t="inlineStr">
        <is>
          <t>TRY</t>
        </is>
      </c>
      <c r="D1826" s="40" t="inlineStr">
        <is>
          <t>ROYAL SEGINUS</t>
        </is>
      </c>
      <c r="E1826" s="38" t="n">
        <v>0</v>
      </c>
      <c r="F1826" s="38" t="n">
        <v>122450.89</v>
      </c>
      <c r="G1826" s="38" t="n">
        <v>-122450.89</v>
      </c>
      <c r="H1826" s="40" t="inlineStr">
        <is>
          <t>Alacak</t>
        </is>
      </c>
      <c r="I1826" s="38" t="n">
        <v>0</v>
      </c>
      <c r="J1826" s="38" t="n">
        <v>122450.89</v>
      </c>
      <c r="K1826" s="38" t="n">
        <v>-122450.89</v>
      </c>
      <c r="L1826" s="40" t="inlineStr">
        <is>
          <t>Alacak</t>
        </is>
      </c>
    </row>
    <row r="1827" s="34">
      <c r="A1827" s="40" t="inlineStr">
        <is>
          <t>320.01.01.U018</t>
        </is>
      </c>
      <c r="B1827" s="40" t="inlineStr">
        <is>
          <t>Unmaş Unlu Mamuller San.Ve Tic.A.Ş.</t>
        </is>
      </c>
      <c r="C1827" s="40" t="inlineStr">
        <is>
          <t>TRY</t>
        </is>
      </c>
      <c r="D1827" s="40" t="inlineStr">
        <is>
          <t>SERTAŞ MERKEZ</t>
        </is>
      </c>
      <c r="E1827" s="38" t="n">
        <v>236701.58</v>
      </c>
      <c r="F1827" s="38" t="n">
        <v>0</v>
      </c>
      <c r="G1827" s="38" t="n">
        <v>236701.58</v>
      </c>
      <c r="H1827" s="40" t="inlineStr">
        <is>
          <t>Borç</t>
        </is>
      </c>
      <c r="I1827" s="38" t="n">
        <v>236701.58</v>
      </c>
      <c r="J1827" s="38" t="n">
        <v>0</v>
      </c>
      <c r="K1827" s="38" t="n">
        <v>236701.58</v>
      </c>
      <c r="L1827" s="40" t="inlineStr">
        <is>
          <t>Borç</t>
        </is>
      </c>
    </row>
    <row r="1828" s="34">
      <c r="A1828" s="40" t="inlineStr">
        <is>
          <t>320.01.01.U033</t>
        </is>
      </c>
      <c r="B1828" s="40" t="inlineStr">
        <is>
          <t>Nevzat Yerebakan / Uzmanlar Makina</t>
        </is>
      </c>
      <c r="C1828" s="40" t="inlineStr">
        <is>
          <t>TRY</t>
        </is>
      </c>
      <c r="D1828" s="40" t="inlineStr">
        <is>
          <t>GİTAŞ MERKEZ</t>
        </is>
      </c>
      <c r="E1828" s="38" t="n">
        <v>229938.2</v>
      </c>
      <c r="F1828" s="38" t="n">
        <v>0</v>
      </c>
      <c r="G1828" s="38" t="n">
        <v>229938.2</v>
      </c>
      <c r="H1828" s="40" t="inlineStr">
        <is>
          <t>Borç</t>
        </is>
      </c>
      <c r="I1828" s="38" t="n">
        <v>229938.2</v>
      </c>
      <c r="J1828" s="38" t="n">
        <v>0</v>
      </c>
      <c r="K1828" s="38" t="n">
        <v>229938.2</v>
      </c>
      <c r="L1828" s="40" t="inlineStr">
        <is>
          <t>Borç</t>
        </is>
      </c>
    </row>
    <row r="1829" s="34">
      <c r="A1829" s="40" t="inlineStr">
        <is>
          <t>320.01.01.V005</t>
        </is>
      </c>
      <c r="B1829" s="40" t="inlineStr">
        <is>
          <t>Vdt Yavuz Yapı Malz.Tic.Ltd.Şti.</t>
        </is>
      </c>
      <c r="C1829" s="40" t="inlineStr">
        <is>
          <t>TRY</t>
        </is>
      </c>
      <c r="D1829" s="40" t="inlineStr">
        <is>
          <t>GİTAŞ MERKEZ</t>
        </is>
      </c>
      <c r="E1829" s="38" t="n">
        <v>3388.3</v>
      </c>
      <c r="F1829" s="38" t="n">
        <v>0</v>
      </c>
      <c r="G1829" s="38" t="n">
        <v>3388.3</v>
      </c>
      <c r="H1829" s="40" t="inlineStr">
        <is>
          <t>Borç</t>
        </is>
      </c>
      <c r="I1829" s="38" t="n">
        <v>3388.3</v>
      </c>
      <c r="J1829" s="38" t="n">
        <v>0</v>
      </c>
      <c r="K1829" s="38" t="n">
        <v>3388.3</v>
      </c>
      <c r="L1829" s="40" t="inlineStr">
        <is>
          <t>Borç</t>
        </is>
      </c>
    </row>
    <row r="1830" s="34">
      <c r="A1830" s="40" t="inlineStr">
        <is>
          <t>320.01.01.V005</t>
        </is>
      </c>
      <c r="B1830" s="40" t="inlineStr">
        <is>
          <t>Vdt Yavuz Yapı Malz.Tic.Ltd.Şti.</t>
        </is>
      </c>
      <c r="C1830" s="40" t="inlineStr">
        <is>
          <t>TRY</t>
        </is>
      </c>
      <c r="D1830" s="40" t="inlineStr">
        <is>
          <t>ROYAL ALHAMBRA</t>
        </is>
      </c>
      <c r="E1830" s="38" t="n">
        <v>0</v>
      </c>
      <c r="F1830" s="38" t="n">
        <v>4395.06</v>
      </c>
      <c r="G1830" s="38" t="n">
        <v>-4395.06</v>
      </c>
      <c r="H1830" s="40" t="inlineStr">
        <is>
          <t>Alacak</t>
        </is>
      </c>
      <c r="I1830" s="38" t="n">
        <v>0</v>
      </c>
      <c r="J1830" s="38" t="n">
        <v>4395.06</v>
      </c>
      <c r="K1830" s="38" t="n">
        <v>-4395.06</v>
      </c>
      <c r="L1830" s="40" t="inlineStr">
        <is>
          <t>Alacak</t>
        </is>
      </c>
    </row>
    <row r="1831" s="34">
      <c r="A1831" s="40" t="inlineStr">
        <is>
          <t>320.01.01.V010</t>
        </is>
      </c>
      <c r="B1831" s="40" t="inlineStr">
        <is>
          <t>Verde Turizm Taşımacılık Özel Eğt.İnş.Lt</t>
        </is>
      </c>
      <c r="C1831" s="40" t="inlineStr">
        <is>
          <t>TRY</t>
        </is>
      </c>
      <c r="D1831" s="40" t="inlineStr">
        <is>
          <t>GİTAŞ MERKEZ</t>
        </is>
      </c>
      <c r="E1831" s="38" t="n">
        <v>45541.54</v>
      </c>
      <c r="F1831" s="38" t="n">
        <v>0</v>
      </c>
      <c r="G1831" s="38" t="n">
        <v>45541.54</v>
      </c>
      <c r="H1831" s="40" t="inlineStr">
        <is>
          <t>Borç</t>
        </is>
      </c>
      <c r="I1831" s="38" t="n">
        <v>45541.54</v>
      </c>
      <c r="J1831" s="38" t="n">
        <v>0</v>
      </c>
      <c r="K1831" s="38" t="n">
        <v>45541.54</v>
      </c>
      <c r="L1831" s="40" t="inlineStr">
        <is>
          <t>Borç</t>
        </is>
      </c>
    </row>
    <row r="1832" s="34">
      <c r="A1832" s="40" t="inlineStr">
        <is>
          <t>320.01.01.V010</t>
        </is>
      </c>
      <c r="B1832" s="40" t="inlineStr">
        <is>
          <t>Verde Turizm Taşımacılık Özel Eğt.İnş.Lt</t>
        </is>
      </c>
      <c r="C1832" s="40" t="inlineStr">
        <is>
          <t>TRY</t>
        </is>
      </c>
      <c r="D1832" s="40" t="inlineStr">
        <is>
          <t>ROYAL ADAM EVE</t>
        </is>
      </c>
      <c r="E1832" s="38" t="n">
        <v>73180.46000000001</v>
      </c>
      <c r="F1832" s="38" t="n">
        <v>52343.1</v>
      </c>
      <c r="G1832" s="38" t="n">
        <v>20837.36</v>
      </c>
      <c r="H1832" s="40" t="inlineStr">
        <is>
          <t>Borç</t>
        </is>
      </c>
      <c r="I1832" s="38" t="n">
        <v>73180.46000000001</v>
      </c>
      <c r="J1832" s="38" t="n">
        <v>52343.1</v>
      </c>
      <c r="K1832" s="38" t="n">
        <v>20837.36</v>
      </c>
      <c r="L1832" s="40" t="inlineStr">
        <is>
          <t>Borç</t>
        </is>
      </c>
    </row>
    <row r="1833" s="34">
      <c r="A1833" s="40" t="inlineStr">
        <is>
          <t>320.01.01.V010</t>
        </is>
      </c>
      <c r="B1833" s="40" t="inlineStr">
        <is>
          <t>Verde Turizm Taşımacılık Özel Eğt.İnş.Lt</t>
        </is>
      </c>
      <c r="C1833" s="40" t="inlineStr">
        <is>
          <t>TRY</t>
        </is>
      </c>
      <c r="D1833" s="40" t="inlineStr">
        <is>
          <t>SERTAŞ MERKEZ</t>
        </is>
      </c>
      <c r="E1833" s="38" t="n">
        <v>23336</v>
      </c>
      <c r="F1833" s="38" t="n">
        <v>0</v>
      </c>
      <c r="G1833" s="38" t="n">
        <v>23336</v>
      </c>
      <c r="H1833" s="40" t="inlineStr">
        <is>
          <t>Borç</t>
        </is>
      </c>
      <c r="I1833" s="38" t="n">
        <v>23336</v>
      </c>
      <c r="J1833" s="38" t="n">
        <v>0</v>
      </c>
      <c r="K1833" s="38" t="n">
        <v>23336</v>
      </c>
      <c r="L1833" s="40" t="inlineStr">
        <is>
          <t>Borç</t>
        </is>
      </c>
    </row>
    <row r="1834" s="34">
      <c r="A1834" s="40" t="inlineStr">
        <is>
          <t>320.01.01.V011</t>
        </is>
      </c>
      <c r="B1834" s="40" t="inlineStr">
        <is>
          <t>Verıtel Iletısım Sıst.San.Tic.A.S.</t>
        </is>
      </c>
      <c r="C1834" s="40" t="inlineStr">
        <is>
          <t>TRY</t>
        </is>
      </c>
      <c r="D1834" s="40" t="inlineStr">
        <is>
          <t>ROYAL ADAM EVE</t>
        </is>
      </c>
      <c r="E1834" s="38" t="n">
        <v>0</v>
      </c>
      <c r="F1834" s="38" t="n">
        <v>11017.75</v>
      </c>
      <c r="G1834" s="38" t="n">
        <v>-11017.75</v>
      </c>
      <c r="H1834" s="40" t="inlineStr">
        <is>
          <t>Alacak</t>
        </is>
      </c>
      <c r="I1834" s="38" t="n">
        <v>0</v>
      </c>
      <c r="J1834" s="38" t="n">
        <v>11017.75</v>
      </c>
      <c r="K1834" s="38" t="n">
        <v>-11017.75</v>
      </c>
      <c r="L1834" s="40" t="inlineStr">
        <is>
          <t>Alacak</t>
        </is>
      </c>
    </row>
    <row r="1835" s="34">
      <c r="A1835" s="40" t="inlineStr">
        <is>
          <t>320.01.01.V012</t>
        </is>
      </c>
      <c r="B1835" s="40" t="inlineStr">
        <is>
          <t>Veliddin Tarım Mak. ve Alet. Tic. S.Volkan Biner Sadık Volkan Biner</t>
        </is>
      </c>
      <c r="C1835" s="40" t="inlineStr">
        <is>
          <t>TRY</t>
        </is>
      </c>
      <c r="D1835" s="40" t="inlineStr">
        <is>
          <t>SERTAŞ MERKEZ</t>
        </is>
      </c>
      <c r="E1835" s="38" t="n">
        <v>13611.84</v>
      </c>
      <c r="F1835" s="38" t="n">
        <v>0</v>
      </c>
      <c r="G1835" s="38" t="n">
        <v>13611.84</v>
      </c>
      <c r="H1835" s="40" t="inlineStr">
        <is>
          <t>Borç</t>
        </is>
      </c>
      <c r="I1835" s="38" t="n">
        <v>13611.84</v>
      </c>
      <c r="J1835" s="38" t="n">
        <v>0</v>
      </c>
      <c r="K1835" s="38" t="n">
        <v>13611.84</v>
      </c>
      <c r="L1835" s="40" t="inlineStr">
        <is>
          <t>Borç</t>
        </is>
      </c>
    </row>
    <row r="1836" s="34">
      <c r="A1836" s="40" t="inlineStr">
        <is>
          <t>320.01.01.V018</t>
        </is>
      </c>
      <c r="B1836" s="40" t="inlineStr">
        <is>
          <t>Vodafone Telekomünikasyon A.Ş</t>
        </is>
      </c>
      <c r="C1836" s="40" t="inlineStr">
        <is>
          <t>TRY</t>
        </is>
      </c>
      <c r="D1836" s="40" t="inlineStr">
        <is>
          <t>ROYAL ADAM EVE</t>
        </is>
      </c>
      <c r="E1836" s="38" t="n">
        <v>0</v>
      </c>
      <c r="F1836" s="38" t="n">
        <v>871.5</v>
      </c>
      <c r="G1836" s="38" t="n">
        <v>-871.5</v>
      </c>
      <c r="H1836" s="40" t="inlineStr">
        <is>
          <t>Alacak</t>
        </is>
      </c>
      <c r="I1836" s="38" t="n">
        <v>0</v>
      </c>
      <c r="J1836" s="38" t="n">
        <v>871.5</v>
      </c>
      <c r="K1836" s="38" t="n">
        <v>-871.5</v>
      </c>
      <c r="L1836" s="40" t="inlineStr">
        <is>
          <t>Alacak</t>
        </is>
      </c>
    </row>
    <row r="1837" s="34">
      <c r="A1837" s="40" t="inlineStr">
        <is>
          <t>320.01.01.V022</t>
        </is>
      </c>
      <c r="B1837" s="40" t="inlineStr">
        <is>
          <t>Varuna Dondurulmuş Gıda Tur.İth.İhr.San.Ve Tic.Ldt.Şti.</t>
        </is>
      </c>
      <c r="C1837" s="40" t="inlineStr">
        <is>
          <t>TRY</t>
        </is>
      </c>
      <c r="D1837" s="40" t="inlineStr">
        <is>
          <t>GİTAŞ MERKEZ</t>
        </is>
      </c>
      <c r="E1837" s="38" t="n">
        <v>101101</v>
      </c>
      <c r="F1837" s="38" t="n">
        <v>0</v>
      </c>
      <c r="G1837" s="38" t="n">
        <v>101101</v>
      </c>
      <c r="H1837" s="40" t="inlineStr">
        <is>
          <t>Borç</t>
        </is>
      </c>
      <c r="I1837" s="38" t="n">
        <v>101101</v>
      </c>
      <c r="J1837" s="38" t="n">
        <v>0</v>
      </c>
      <c r="K1837" s="38" t="n">
        <v>101101</v>
      </c>
      <c r="L1837" s="40" t="inlineStr">
        <is>
          <t>Borç</t>
        </is>
      </c>
    </row>
    <row r="1838" s="34">
      <c r="A1838" s="40" t="inlineStr">
        <is>
          <t>320.01.01.V022</t>
        </is>
      </c>
      <c r="B1838" s="40" t="inlineStr">
        <is>
          <t>Varuna Dondurulmuş Gıda Tur.İth.İhr.San.Ve Tic.Ldt.Şti.</t>
        </is>
      </c>
      <c r="C1838" s="40" t="inlineStr">
        <is>
          <t>TRY</t>
        </is>
      </c>
      <c r="D1838" s="40" t="inlineStr">
        <is>
          <t>ROYAL ADAM EVE</t>
        </is>
      </c>
      <c r="E1838" s="38" t="n">
        <v>41511.81</v>
      </c>
      <c r="F1838" s="38" t="n">
        <v>0</v>
      </c>
      <c r="G1838" s="38" t="n">
        <v>41511.81</v>
      </c>
      <c r="H1838" s="40" t="inlineStr">
        <is>
          <t>Borç</t>
        </is>
      </c>
      <c r="I1838" s="38" t="n">
        <v>41511.81</v>
      </c>
      <c r="J1838" s="38" t="n">
        <v>0</v>
      </c>
      <c r="K1838" s="38" t="n">
        <v>41511.81</v>
      </c>
      <c r="L1838" s="40" t="inlineStr">
        <is>
          <t>Borç</t>
        </is>
      </c>
    </row>
    <row r="1839" s="34">
      <c r="A1839" s="40" t="inlineStr">
        <is>
          <t>320.01.01.V022</t>
        </is>
      </c>
      <c r="B1839" s="40" t="inlineStr">
        <is>
          <t>Varuna Dondurulmuş Gıda Tur.İth.İhr.San.Ve Tic.Ldt.Şti.</t>
        </is>
      </c>
      <c r="C1839" s="40" t="inlineStr">
        <is>
          <t>TRY</t>
        </is>
      </c>
      <c r="D1839" s="40" t="inlineStr">
        <is>
          <t>SERTAŞ MERKEZ</t>
        </is>
      </c>
      <c r="E1839" s="38" t="n">
        <v>1037670.22</v>
      </c>
      <c r="F1839" s="38" t="n">
        <v>0</v>
      </c>
      <c r="G1839" s="38" t="n">
        <v>1037670.22</v>
      </c>
      <c r="H1839" s="40" t="inlineStr">
        <is>
          <t>Borç</t>
        </is>
      </c>
      <c r="I1839" s="38" t="n">
        <v>1037670.22</v>
      </c>
      <c r="J1839" s="38" t="n">
        <v>0</v>
      </c>
      <c r="K1839" s="38" t="n">
        <v>1037670.22</v>
      </c>
      <c r="L1839" s="40" t="inlineStr">
        <is>
          <t>Borç</t>
        </is>
      </c>
    </row>
    <row r="1840" s="34">
      <c r="A1840" s="40" t="inlineStr">
        <is>
          <t>320.01.01.W003</t>
        </is>
      </c>
      <c r="B1840" s="40" t="inlineStr">
        <is>
          <t>Wellness Antalya Organizasyon Işık Ses Sistemleri Tekstil İnşaat Otomotiv Turizm San.ve Tic.Ltd.Şti.</t>
        </is>
      </c>
      <c r="C1840" s="40" t="inlineStr">
        <is>
          <t>TRY</t>
        </is>
      </c>
      <c r="D1840" s="40" t="inlineStr">
        <is>
          <t>ROYAL ADAM EVE</t>
        </is>
      </c>
      <c r="E1840" s="38" t="n">
        <v>79683.60000000001</v>
      </c>
      <c r="F1840" s="38" t="n">
        <v>0</v>
      </c>
      <c r="G1840" s="38" t="n">
        <v>79683.60000000001</v>
      </c>
      <c r="H1840" s="40" t="inlineStr">
        <is>
          <t>Borç</t>
        </is>
      </c>
      <c r="I1840" s="38" t="n">
        <v>79683.60000000001</v>
      </c>
      <c r="J1840" s="38" t="n">
        <v>0</v>
      </c>
      <c r="K1840" s="38" t="n">
        <v>79683.60000000001</v>
      </c>
      <c r="L1840" s="40" t="inlineStr">
        <is>
          <t>Borç</t>
        </is>
      </c>
    </row>
    <row r="1841" s="34">
      <c r="A1841" s="40" t="inlineStr">
        <is>
          <t>320.01.01.W004</t>
        </is>
      </c>
      <c r="B1841" s="40" t="inlineStr">
        <is>
          <t>Workmark Fikri Ve Sınai Haklar Kuı. Dan.</t>
        </is>
      </c>
      <c r="C1841" s="40" t="inlineStr">
        <is>
          <t>TRY</t>
        </is>
      </c>
      <c r="D1841" s="40" t="inlineStr">
        <is>
          <t>GİTAŞ MERKEZ</t>
        </is>
      </c>
      <c r="E1841" s="38" t="n">
        <v>16800</v>
      </c>
      <c r="F1841" s="38" t="n">
        <v>0</v>
      </c>
      <c r="G1841" s="38" t="n">
        <v>16800</v>
      </c>
      <c r="H1841" s="40" t="inlineStr">
        <is>
          <t>Borç</t>
        </is>
      </c>
      <c r="I1841" s="38" t="n">
        <v>16800</v>
      </c>
      <c r="J1841" s="38" t="n">
        <v>0</v>
      </c>
      <c r="K1841" s="38" t="n">
        <v>16800</v>
      </c>
      <c r="L1841" s="40" t="inlineStr">
        <is>
          <t>Borç</t>
        </is>
      </c>
    </row>
    <row r="1842" s="34">
      <c r="A1842" s="40" t="inlineStr">
        <is>
          <t>320.01.01.Y004</t>
        </is>
      </c>
      <c r="B1842" s="40" t="inlineStr">
        <is>
          <t>Yaman Boya Pazarlama Ltd.Şti</t>
        </is>
      </c>
      <c r="C1842" s="40" t="inlineStr">
        <is>
          <t>TRY</t>
        </is>
      </c>
      <c r="D1842" s="40" t="inlineStr">
        <is>
          <t>GİTAŞ MERKEZ</t>
        </is>
      </c>
      <c r="E1842" s="38" t="n">
        <v>25380</v>
      </c>
      <c r="F1842" s="38" t="n">
        <v>0</v>
      </c>
      <c r="G1842" s="38" t="n">
        <v>25380</v>
      </c>
      <c r="H1842" s="40" t="inlineStr">
        <is>
          <t>Borç</t>
        </is>
      </c>
      <c r="I1842" s="38" t="n">
        <v>0</v>
      </c>
      <c r="J1842" s="38" t="n">
        <v>0</v>
      </c>
      <c r="K1842" s="38" t="n">
        <v>0</v>
      </c>
    </row>
    <row r="1843" s="34">
      <c r="A1843" s="40" t="inlineStr">
        <is>
          <t>320.01.01.Y013</t>
        </is>
      </c>
      <c r="B1843" s="40" t="inlineStr">
        <is>
          <t>Yayla Sütem Süt Ürünleri San.Ve Tic.Ltd.</t>
        </is>
      </c>
      <c r="C1843" s="40" t="inlineStr">
        <is>
          <t>TRY</t>
        </is>
      </c>
      <c r="D1843" s="40" t="inlineStr">
        <is>
          <t>GİTAŞ MERKEZ</t>
        </is>
      </c>
      <c r="E1843" s="38" t="n">
        <v>593411.36</v>
      </c>
      <c r="F1843" s="38" t="n">
        <v>0</v>
      </c>
      <c r="G1843" s="38" t="n">
        <v>593411.36</v>
      </c>
      <c r="H1843" s="40" t="inlineStr">
        <is>
          <t>Borç</t>
        </is>
      </c>
      <c r="I1843" s="38" t="n">
        <v>593411.36</v>
      </c>
      <c r="J1843" s="38" t="n">
        <v>0</v>
      </c>
      <c r="K1843" s="38" t="n">
        <v>593411.36</v>
      </c>
      <c r="L1843" s="40" t="inlineStr">
        <is>
          <t>Borç</t>
        </is>
      </c>
    </row>
    <row r="1844" s="34">
      <c r="A1844" s="40" t="inlineStr">
        <is>
          <t>320.01.01.Y013</t>
        </is>
      </c>
      <c r="B1844" s="40" t="inlineStr">
        <is>
          <t>Yayla Sütem Süt Ürünleri San.Ve Tic.Ltd.</t>
        </is>
      </c>
      <c r="C1844" s="40" t="inlineStr">
        <is>
          <t>TRY</t>
        </is>
      </c>
      <c r="D1844" s="40" t="inlineStr">
        <is>
          <t>ROYAL ADAM EVE</t>
        </is>
      </c>
      <c r="E1844" s="38" t="n">
        <v>395235.22</v>
      </c>
      <c r="F1844" s="38" t="n">
        <v>420210.5</v>
      </c>
      <c r="G1844" s="38" t="n">
        <v>-24975.28</v>
      </c>
      <c r="H1844" s="40" t="inlineStr">
        <is>
          <t>Alacak</t>
        </is>
      </c>
      <c r="I1844" s="38" t="n">
        <v>395235.22</v>
      </c>
      <c r="J1844" s="38" t="n">
        <v>420210.5</v>
      </c>
      <c r="K1844" s="38" t="n">
        <v>-24975.28</v>
      </c>
      <c r="L1844" s="40" t="inlineStr">
        <is>
          <t>Alacak</t>
        </is>
      </c>
    </row>
    <row r="1845" s="34">
      <c r="A1845" s="40" t="inlineStr">
        <is>
          <t>320.01.01.Y013</t>
        </is>
      </c>
      <c r="B1845" s="40" t="inlineStr">
        <is>
          <t>Yayla Sütem Süt Ürünleri San.Ve Tic.Ltd.</t>
        </is>
      </c>
      <c r="C1845" s="40" t="inlineStr">
        <is>
          <t>TRY</t>
        </is>
      </c>
      <c r="D1845" s="40" t="inlineStr">
        <is>
          <t>ROYAL ALHAMBRA</t>
        </is>
      </c>
      <c r="E1845" s="38" t="n">
        <v>0</v>
      </c>
      <c r="F1845" s="38" t="n">
        <v>375477.6</v>
      </c>
      <c r="G1845" s="38" t="n">
        <v>-375477.6</v>
      </c>
      <c r="H1845" s="40" t="inlineStr">
        <is>
          <t>Alacak</t>
        </is>
      </c>
      <c r="I1845" s="38" t="n">
        <v>0</v>
      </c>
      <c r="J1845" s="38" t="n">
        <v>375477.6</v>
      </c>
      <c r="K1845" s="38" t="n">
        <v>-375477.6</v>
      </c>
      <c r="L1845" s="40" t="inlineStr">
        <is>
          <t>Alacak</t>
        </is>
      </c>
    </row>
    <row r="1846" s="34">
      <c r="A1846" s="40" t="inlineStr">
        <is>
          <t>320.01.01.Y013</t>
        </is>
      </c>
      <c r="B1846" s="40" t="inlineStr">
        <is>
          <t>Yayla Sütem Süt Ürünleri San.Ve Tic.Ltd.</t>
        </is>
      </c>
      <c r="C1846" s="40" t="inlineStr">
        <is>
          <t>TRY</t>
        </is>
      </c>
      <c r="D1846" s="40" t="inlineStr">
        <is>
          <t>ROYAL DRAGON</t>
        </is>
      </c>
      <c r="E1846" s="38" t="n">
        <v>0</v>
      </c>
      <c r="F1846" s="38" t="n">
        <v>215271.4</v>
      </c>
      <c r="G1846" s="38" t="n">
        <v>-215271.4</v>
      </c>
      <c r="H1846" s="40" t="inlineStr">
        <is>
          <t>Alacak</t>
        </is>
      </c>
      <c r="I1846" s="38" t="n">
        <v>0</v>
      </c>
      <c r="J1846" s="38" t="n">
        <v>215271.4</v>
      </c>
      <c r="K1846" s="38" t="n">
        <v>-215271.4</v>
      </c>
      <c r="L1846" s="40" t="inlineStr">
        <is>
          <t>Alacak</t>
        </is>
      </c>
    </row>
    <row r="1847" s="34">
      <c r="A1847" s="40" t="inlineStr">
        <is>
          <t>320.01.01.Y013</t>
        </is>
      </c>
      <c r="B1847" s="40" t="inlineStr">
        <is>
          <t>Yayla Sütem Süt Ürünleri San.Ve Tic.Ltd.</t>
        </is>
      </c>
      <c r="C1847" s="40" t="inlineStr">
        <is>
          <t>TRY</t>
        </is>
      </c>
      <c r="D1847" s="40" t="inlineStr">
        <is>
          <t>ROYAL HOLIDAY</t>
        </is>
      </c>
      <c r="E1847" s="38" t="n">
        <v>0</v>
      </c>
      <c r="F1847" s="38" t="n">
        <v>655964.7</v>
      </c>
      <c r="G1847" s="38" t="n">
        <v>-655964.7</v>
      </c>
      <c r="H1847" s="40" t="inlineStr">
        <is>
          <t>Alacak</t>
        </is>
      </c>
      <c r="I1847" s="38" t="n">
        <v>0</v>
      </c>
      <c r="J1847" s="38" t="n">
        <v>655964.7</v>
      </c>
      <c r="K1847" s="38" t="n">
        <v>-655964.7</v>
      </c>
      <c r="L1847" s="40" t="inlineStr">
        <is>
          <t>Alacak</t>
        </is>
      </c>
    </row>
    <row r="1848" s="34">
      <c r="A1848" s="40" t="inlineStr">
        <is>
          <t>320.01.01.Y013</t>
        </is>
      </c>
      <c r="B1848" s="40" t="inlineStr">
        <is>
          <t>Yayla Sütem Süt Ürünleri San.Ve Tic.Ltd.</t>
        </is>
      </c>
      <c r="C1848" s="40" t="inlineStr">
        <is>
          <t>TRY</t>
        </is>
      </c>
      <c r="D1848" s="40" t="inlineStr">
        <is>
          <t>ROYAL SEGINUS</t>
        </is>
      </c>
      <c r="E1848" s="38" t="n">
        <v>0</v>
      </c>
      <c r="F1848" s="38" t="n">
        <v>706414.2</v>
      </c>
      <c r="G1848" s="38" t="n">
        <v>-706414.2</v>
      </c>
      <c r="H1848" s="40" t="inlineStr">
        <is>
          <t>Alacak</t>
        </is>
      </c>
      <c r="I1848" s="38" t="n">
        <v>0</v>
      </c>
      <c r="J1848" s="38" t="n">
        <v>706414.2</v>
      </c>
      <c r="K1848" s="38" t="n">
        <v>-706414.2</v>
      </c>
      <c r="L1848" s="40" t="inlineStr">
        <is>
          <t>Alacak</t>
        </is>
      </c>
    </row>
    <row r="1849" s="34">
      <c r="A1849" s="40" t="inlineStr">
        <is>
          <t>320.01.01.Y013</t>
        </is>
      </c>
      <c r="B1849" s="40" t="inlineStr">
        <is>
          <t>Yayla Sütem Süt Ürünleri San.Ve Tic.Ltd.</t>
        </is>
      </c>
      <c r="C1849" s="40" t="inlineStr">
        <is>
          <t>TRY</t>
        </is>
      </c>
      <c r="D1849" s="40" t="inlineStr">
        <is>
          <t>SERTAŞ MERKEZ</t>
        </is>
      </c>
      <c r="E1849" s="38" t="n">
        <v>1432087.08</v>
      </c>
      <c r="F1849" s="38" t="n">
        <v>0</v>
      </c>
      <c r="G1849" s="38" t="n">
        <v>1432087.08</v>
      </c>
      <c r="H1849" s="40" t="inlineStr">
        <is>
          <t>Borç</t>
        </is>
      </c>
      <c r="I1849" s="38" t="n">
        <v>1432087.08</v>
      </c>
      <c r="J1849" s="38" t="n">
        <v>0</v>
      </c>
      <c r="K1849" s="38" t="n">
        <v>1432087.08</v>
      </c>
      <c r="L1849" s="40" t="inlineStr">
        <is>
          <t>Borç</t>
        </is>
      </c>
    </row>
    <row r="1850" s="34">
      <c r="A1850" s="40" t="inlineStr">
        <is>
          <t>320.01.01.Y018</t>
        </is>
      </c>
      <c r="B1850" s="40" t="inlineStr">
        <is>
          <t>Yetişenler Dayanıklı Tüketim Mall. ve Mob.Malz.Ltd.Şti.</t>
        </is>
      </c>
      <c r="C1850" s="40" t="inlineStr">
        <is>
          <t>TRY</t>
        </is>
      </c>
      <c r="D1850" s="40" t="inlineStr">
        <is>
          <t>ROYAL ADAM EVE</t>
        </is>
      </c>
      <c r="E1850" s="38" t="n">
        <v>47400</v>
      </c>
      <c r="F1850" s="38" t="n">
        <v>0</v>
      </c>
      <c r="G1850" s="38" t="n">
        <v>47400</v>
      </c>
      <c r="H1850" s="40" t="inlineStr">
        <is>
          <t>Borç</t>
        </is>
      </c>
      <c r="I1850" s="38" t="n">
        <v>47400</v>
      </c>
      <c r="J1850" s="38" t="n">
        <v>0</v>
      </c>
      <c r="K1850" s="38" t="n">
        <v>47400</v>
      </c>
      <c r="L1850" s="40" t="inlineStr">
        <is>
          <t>Borç</t>
        </is>
      </c>
    </row>
    <row r="1851" s="34">
      <c r="A1851" s="40" t="inlineStr">
        <is>
          <t>320.01.01.Y030</t>
        </is>
      </c>
      <c r="B1851" s="40" t="inlineStr">
        <is>
          <t>Yıldız Han Gıda Teks.Tur.Tic.San.A.Ş.</t>
        </is>
      </c>
      <c r="C1851" s="40" t="inlineStr">
        <is>
          <t>TRY</t>
        </is>
      </c>
      <c r="D1851" s="40" t="inlineStr">
        <is>
          <t>GİTAŞ MERKEZ</t>
        </is>
      </c>
      <c r="E1851" s="38" t="n">
        <v>9746.5</v>
      </c>
      <c r="F1851" s="38" t="n">
        <v>0</v>
      </c>
      <c r="G1851" s="38" t="n">
        <v>9746.5</v>
      </c>
      <c r="H1851" s="40" t="inlineStr">
        <is>
          <t>Borç</t>
        </is>
      </c>
      <c r="I1851" s="38" t="n">
        <v>9746.5</v>
      </c>
      <c r="J1851" s="38" t="n">
        <v>0</v>
      </c>
      <c r="K1851" s="38" t="n">
        <v>9746.5</v>
      </c>
      <c r="L1851" s="40" t="inlineStr">
        <is>
          <t>Borç</t>
        </is>
      </c>
    </row>
    <row r="1852" s="34">
      <c r="A1852" s="40" t="inlineStr">
        <is>
          <t>320.01.01.Y030</t>
        </is>
      </c>
      <c r="B1852" s="40" t="inlineStr">
        <is>
          <t>Yıldız Han Gıda Teks.Tur.Tic.San.A.Ş.</t>
        </is>
      </c>
      <c r="C1852" s="40" t="inlineStr">
        <is>
          <t>TRY</t>
        </is>
      </c>
      <c r="D1852" s="40" t="inlineStr">
        <is>
          <t>ROYAL ADAM EVE</t>
        </is>
      </c>
      <c r="E1852" s="38" t="n">
        <v>1439.25</v>
      </c>
      <c r="F1852" s="38" t="n">
        <v>0</v>
      </c>
      <c r="G1852" s="38" t="n">
        <v>1439.25</v>
      </c>
      <c r="H1852" s="40" t="inlineStr">
        <is>
          <t>Borç</t>
        </is>
      </c>
      <c r="I1852" s="38" t="n">
        <v>1439.25</v>
      </c>
      <c r="J1852" s="38" t="n">
        <v>0</v>
      </c>
      <c r="K1852" s="38" t="n">
        <v>1439.25</v>
      </c>
      <c r="L1852" s="40" t="inlineStr">
        <is>
          <t>Borç</t>
        </is>
      </c>
    </row>
    <row r="1853" s="34">
      <c r="A1853" s="40" t="inlineStr">
        <is>
          <t>320.01.01.Y030</t>
        </is>
      </c>
      <c r="B1853" s="40" t="inlineStr">
        <is>
          <t>Yıldız Han Gıda Teks.Tur.Tic.San.A.Ş.</t>
        </is>
      </c>
      <c r="C1853" s="40" t="inlineStr">
        <is>
          <t>TRY</t>
        </is>
      </c>
      <c r="D1853" s="40" t="inlineStr">
        <is>
          <t>ROYAL HOLIDAY</t>
        </is>
      </c>
      <c r="E1853" s="38" t="n">
        <v>0</v>
      </c>
      <c r="F1853" s="38" t="n">
        <v>1717</v>
      </c>
      <c r="G1853" s="38" t="n">
        <v>-1717</v>
      </c>
      <c r="H1853" s="40" t="inlineStr">
        <is>
          <t>Alacak</t>
        </is>
      </c>
      <c r="I1853" s="38" t="n">
        <v>0</v>
      </c>
      <c r="J1853" s="38" t="n">
        <v>1717</v>
      </c>
      <c r="K1853" s="38" t="n">
        <v>-1717</v>
      </c>
      <c r="L1853" s="40" t="inlineStr">
        <is>
          <t>Alacak</t>
        </is>
      </c>
    </row>
    <row r="1854" s="34">
      <c r="A1854" s="40" t="inlineStr">
        <is>
          <t>320.01.01.Y030</t>
        </is>
      </c>
      <c r="B1854" s="40" t="inlineStr">
        <is>
          <t>Yıldız Han Gıda Teks.Tur.Tic.San.A.Ş.</t>
        </is>
      </c>
      <c r="C1854" s="40" t="inlineStr">
        <is>
          <t>TRY</t>
        </is>
      </c>
      <c r="D1854" s="40" t="inlineStr">
        <is>
          <t>SERTAŞ MERKEZ</t>
        </is>
      </c>
      <c r="E1854" s="38" t="n">
        <v>31916</v>
      </c>
      <c r="F1854" s="38" t="n">
        <v>0</v>
      </c>
      <c r="G1854" s="38" t="n">
        <v>31916</v>
      </c>
      <c r="H1854" s="40" t="inlineStr">
        <is>
          <t>Borç</t>
        </is>
      </c>
      <c r="I1854" s="38" t="n">
        <v>31916</v>
      </c>
      <c r="J1854" s="38" t="n">
        <v>0</v>
      </c>
      <c r="K1854" s="38" t="n">
        <v>31916</v>
      </c>
      <c r="L1854" s="40" t="inlineStr">
        <is>
          <t>Borç</t>
        </is>
      </c>
    </row>
    <row r="1855" s="34">
      <c r="A1855" s="40" t="inlineStr">
        <is>
          <t>320.01.01.Y032</t>
        </is>
      </c>
      <c r="B1855" s="40" t="inlineStr">
        <is>
          <t>Yıldız Semsiye İth.İhr.San.Tic. Ltd.Şti.</t>
        </is>
      </c>
      <c r="C1855" s="40" t="inlineStr">
        <is>
          <t>TRY</t>
        </is>
      </c>
      <c r="D1855" s="40" t="inlineStr">
        <is>
          <t>SERTAŞ MERKEZ</t>
        </is>
      </c>
      <c r="E1855" s="38" t="n">
        <v>250894.08</v>
      </c>
      <c r="F1855" s="38" t="n">
        <v>0</v>
      </c>
      <c r="G1855" s="38" t="n">
        <v>250894.08</v>
      </c>
      <c r="H1855" s="40" t="inlineStr">
        <is>
          <t>Borç</t>
        </is>
      </c>
      <c r="I1855" s="38" t="n">
        <v>250894.08</v>
      </c>
      <c r="J1855" s="38" t="n">
        <v>0</v>
      </c>
      <c r="K1855" s="38" t="n">
        <v>250894.08</v>
      </c>
      <c r="L1855" s="40" t="inlineStr">
        <is>
          <t>Borç</t>
        </is>
      </c>
    </row>
    <row r="1856" s="34">
      <c r="A1856" s="40" t="inlineStr">
        <is>
          <t>320.01.01.Y033</t>
        </is>
      </c>
      <c r="B1856" s="40" t="inlineStr">
        <is>
          <t>Yıldız Tas.Tur.Tic.Ve İnş.Ltd.Şti</t>
        </is>
      </c>
      <c r="C1856" s="40" t="inlineStr">
        <is>
          <t>TRY</t>
        </is>
      </c>
      <c r="D1856" s="40" t="inlineStr">
        <is>
          <t>GİTAŞ MERKEZ</t>
        </is>
      </c>
      <c r="E1856" s="38" t="n">
        <v>2332110</v>
      </c>
      <c r="F1856" s="38" t="n">
        <v>0</v>
      </c>
      <c r="G1856" s="38" t="n">
        <v>2332110</v>
      </c>
      <c r="H1856" s="40" t="inlineStr">
        <is>
          <t>Borç</t>
        </is>
      </c>
      <c r="I1856" s="38" t="n">
        <v>2332110</v>
      </c>
      <c r="J1856" s="38" t="n">
        <v>0</v>
      </c>
      <c r="K1856" s="38" t="n">
        <v>2332110</v>
      </c>
      <c r="L1856" s="40" t="inlineStr">
        <is>
          <t>Borç</t>
        </is>
      </c>
    </row>
    <row r="1857" s="34">
      <c r="A1857" s="40" t="inlineStr">
        <is>
          <t>320.01.01.Y035</t>
        </is>
      </c>
      <c r="B1857" s="40" t="inlineStr">
        <is>
          <t>Yıldızevent Organizasyon Turizm Ticaret Ltd.Şti.</t>
        </is>
      </c>
      <c r="C1857" s="40" t="inlineStr">
        <is>
          <t>TRY</t>
        </is>
      </c>
      <c r="D1857" s="40" t="inlineStr">
        <is>
          <t>ROYAL SEGINUS</t>
        </is>
      </c>
      <c r="E1857" s="38" t="n">
        <v>0</v>
      </c>
      <c r="F1857" s="38" t="n">
        <v>440.08</v>
      </c>
      <c r="G1857" s="38" t="n">
        <v>-440.08</v>
      </c>
      <c r="H1857" s="40" t="inlineStr">
        <is>
          <t>Alacak</t>
        </is>
      </c>
      <c r="I1857" s="38" t="n">
        <v>0</v>
      </c>
      <c r="J1857" s="38" t="n">
        <v>0</v>
      </c>
      <c r="K1857" s="38" t="n">
        <v>0</v>
      </c>
    </row>
    <row r="1858" s="34">
      <c r="A1858" s="40" t="inlineStr">
        <is>
          <t>320.01.01.Y035</t>
        </is>
      </c>
      <c r="B1858" s="40" t="inlineStr">
        <is>
          <t>Yıldızevent Organizasyon Turizm Ticaret Ltd.Şti.</t>
        </is>
      </c>
      <c r="C1858" s="40" t="inlineStr">
        <is>
          <t>TRY</t>
        </is>
      </c>
      <c r="D1858" s="40" t="inlineStr">
        <is>
          <t>SERTAŞ MERKEZ</t>
        </is>
      </c>
      <c r="E1858" s="38" t="n">
        <v>32042.52</v>
      </c>
      <c r="F1858" s="38" t="n">
        <v>774.98</v>
      </c>
      <c r="G1858" s="38" t="n">
        <v>31267.54</v>
      </c>
      <c r="H1858" s="40" t="inlineStr">
        <is>
          <t>Borç</t>
        </is>
      </c>
      <c r="I1858" s="38" t="n">
        <v>600</v>
      </c>
      <c r="J1858" s="38" t="n">
        <v>0</v>
      </c>
      <c r="K1858" s="38" t="n">
        <v>600</v>
      </c>
      <c r="L1858" s="40" t="inlineStr">
        <is>
          <t>Borç</t>
        </is>
      </c>
    </row>
    <row r="1859" s="34">
      <c r="A1859" s="40" t="inlineStr">
        <is>
          <t>320.01.01.Y036</t>
        </is>
      </c>
      <c r="B1859" s="40" t="inlineStr">
        <is>
          <t>Yıldız Art Turizm Organizasyon İnşaat Sanayi ve Ticaret Limited Şirketi</t>
        </is>
      </c>
      <c r="C1859" s="40" t="inlineStr">
        <is>
          <t>TRY</t>
        </is>
      </c>
      <c r="D1859" s="40" t="inlineStr">
        <is>
          <t>GİTAŞ MERKEZ</t>
        </is>
      </c>
      <c r="E1859" s="38" t="n">
        <v>790461.3100000001</v>
      </c>
      <c r="F1859" s="38" t="n">
        <v>0</v>
      </c>
      <c r="G1859" s="38" t="n">
        <v>790461.3100000001</v>
      </c>
      <c r="H1859" s="40" t="inlineStr">
        <is>
          <t>Borç</t>
        </is>
      </c>
      <c r="I1859" s="38" t="n">
        <v>14880</v>
      </c>
      <c r="J1859" s="38" t="n">
        <v>0</v>
      </c>
      <c r="K1859" s="38" t="n">
        <v>14880</v>
      </c>
      <c r="L1859" s="40" t="inlineStr">
        <is>
          <t>Borç</t>
        </is>
      </c>
    </row>
    <row r="1860" s="34">
      <c r="A1860" s="40" t="inlineStr">
        <is>
          <t>320.01.01.Y036</t>
        </is>
      </c>
      <c r="B1860" s="40" t="inlineStr">
        <is>
          <t>Yıldız Art Turizm Organizasyon İnşaat Sanayi ve Ticaret Limited Şirketi</t>
        </is>
      </c>
      <c r="C1860" s="40" t="inlineStr">
        <is>
          <t>TRY</t>
        </is>
      </c>
      <c r="D1860" s="40" t="inlineStr">
        <is>
          <t>ROYAL DRAGON</t>
        </is>
      </c>
      <c r="E1860" s="38" t="n">
        <v>1217.3</v>
      </c>
      <c r="F1860" s="38" t="n">
        <v>0</v>
      </c>
      <c r="G1860" s="38" t="n">
        <v>1217.3</v>
      </c>
      <c r="H1860" s="40" t="inlineStr">
        <is>
          <t>Borç</t>
        </is>
      </c>
      <c r="I1860" s="38" t="n">
        <v>0</v>
      </c>
      <c r="J1860" s="38" t="n">
        <v>0</v>
      </c>
      <c r="K1860" s="38" t="n">
        <v>0</v>
      </c>
    </row>
    <row r="1861" s="34">
      <c r="A1861" s="40" t="inlineStr">
        <is>
          <t>320.01.01.Y036</t>
        </is>
      </c>
      <c r="B1861" s="40" t="inlineStr">
        <is>
          <t>Yıldız Art Turizm Organizasyon İnşaat Sanayi ve Ticaret Limited Şirketi</t>
        </is>
      </c>
      <c r="C1861" s="40" t="inlineStr">
        <is>
          <t>TRY</t>
        </is>
      </c>
      <c r="D1861" s="40" t="inlineStr">
        <is>
          <t>SERTAŞ MERKEZ</t>
        </is>
      </c>
      <c r="E1861" s="38" t="n">
        <v>1534836.71</v>
      </c>
      <c r="F1861" s="38" t="n">
        <v>7148.05</v>
      </c>
      <c r="G1861" s="38" t="n">
        <v>1527688.66</v>
      </c>
      <c r="H1861" s="40" t="inlineStr">
        <is>
          <t>Borç</t>
        </is>
      </c>
      <c r="I1861" s="38" t="n">
        <v>28740</v>
      </c>
      <c r="J1861" s="38" t="n">
        <v>0</v>
      </c>
      <c r="K1861" s="38" t="n">
        <v>28740</v>
      </c>
      <c r="L1861" s="40" t="inlineStr">
        <is>
          <t>Borç</t>
        </is>
      </c>
    </row>
    <row r="1862" s="34">
      <c r="A1862" s="40" t="inlineStr">
        <is>
          <t>320.01.01.Y042</t>
        </is>
      </c>
      <c r="B1862" s="40" t="inlineStr">
        <is>
          <t>Yorukoğlu Süt Ve Ürünleri San.Tic. A.Ş.</t>
        </is>
      </c>
      <c r="C1862" s="40" t="inlineStr">
        <is>
          <t>TRY</t>
        </is>
      </c>
      <c r="D1862" s="40" t="inlineStr">
        <is>
          <t>GİTAŞ MERKEZ</t>
        </is>
      </c>
      <c r="E1862" s="38" t="n">
        <v>165090.56</v>
      </c>
      <c r="F1862" s="38" t="n">
        <v>0</v>
      </c>
      <c r="G1862" s="38" t="n">
        <v>165090.56</v>
      </c>
      <c r="H1862" s="40" t="inlineStr">
        <is>
          <t>Borç</t>
        </is>
      </c>
      <c r="I1862" s="38" t="n">
        <v>165090.56</v>
      </c>
      <c r="J1862" s="38" t="n">
        <v>0</v>
      </c>
      <c r="K1862" s="38" t="n">
        <v>165090.56</v>
      </c>
      <c r="L1862" s="40" t="inlineStr">
        <is>
          <t>Borç</t>
        </is>
      </c>
    </row>
    <row r="1863" s="34">
      <c r="A1863" s="40" t="inlineStr">
        <is>
          <t>320.01.01.Y042</t>
        </is>
      </c>
      <c r="B1863" s="40" t="inlineStr">
        <is>
          <t>Yorukoğlu Süt Ve Ürünleri San.Tic. A.Ş.</t>
        </is>
      </c>
      <c r="C1863" s="40" t="inlineStr">
        <is>
          <t>TRY</t>
        </is>
      </c>
      <c r="D1863" s="40" t="inlineStr">
        <is>
          <t>ROYAL ADAM EVE</t>
        </is>
      </c>
      <c r="E1863" s="38" t="n">
        <v>79224.39999999999</v>
      </c>
      <c r="F1863" s="38" t="n">
        <v>38218.4</v>
      </c>
      <c r="G1863" s="38" t="n">
        <v>41006</v>
      </c>
      <c r="H1863" s="40" t="inlineStr">
        <is>
          <t>Borç</t>
        </is>
      </c>
      <c r="I1863" s="38" t="n">
        <v>79224.39999999999</v>
      </c>
      <c r="J1863" s="38" t="n">
        <v>38218.4</v>
      </c>
      <c r="K1863" s="38" t="n">
        <v>41006</v>
      </c>
      <c r="L1863" s="40" t="inlineStr">
        <is>
          <t>Borç</t>
        </is>
      </c>
    </row>
    <row r="1864" s="34">
      <c r="A1864" s="40" t="inlineStr">
        <is>
          <t>320.01.01.Y042</t>
        </is>
      </c>
      <c r="B1864" s="40" t="inlineStr">
        <is>
          <t>Yorukoğlu Süt Ve Ürünleri San.Tic. A.Ş.</t>
        </is>
      </c>
      <c r="C1864" s="40" t="inlineStr">
        <is>
          <t>TRY</t>
        </is>
      </c>
      <c r="D1864" s="40" t="inlineStr">
        <is>
          <t>ROYAL ALHAMBRA</t>
        </is>
      </c>
      <c r="E1864" s="38" t="n">
        <v>0</v>
      </c>
      <c r="F1864" s="38" t="n">
        <v>157172.16</v>
      </c>
      <c r="G1864" s="38" t="n">
        <v>-157172.16</v>
      </c>
      <c r="H1864" s="40" t="inlineStr">
        <is>
          <t>Alacak</t>
        </is>
      </c>
      <c r="I1864" s="38" t="n">
        <v>0</v>
      </c>
      <c r="J1864" s="38" t="n">
        <v>157172.16</v>
      </c>
      <c r="K1864" s="38" t="n">
        <v>-157172.16</v>
      </c>
      <c r="L1864" s="40" t="inlineStr">
        <is>
          <t>Alacak</t>
        </is>
      </c>
    </row>
    <row r="1865" s="34">
      <c r="A1865" s="40" t="inlineStr">
        <is>
          <t>320.01.01.Y042</t>
        </is>
      </c>
      <c r="B1865" s="40" t="inlineStr">
        <is>
          <t>Yorukoğlu Süt Ve Ürünleri San.Tic. A.Ş.</t>
        </is>
      </c>
      <c r="C1865" s="40" t="inlineStr">
        <is>
          <t>TRY</t>
        </is>
      </c>
      <c r="D1865" s="40" t="inlineStr">
        <is>
          <t>ROYAL DRAGON</t>
        </is>
      </c>
      <c r="E1865" s="38" t="n">
        <v>0</v>
      </c>
      <c r="F1865" s="38" t="n">
        <v>45854</v>
      </c>
      <c r="G1865" s="38" t="n">
        <v>-45854</v>
      </c>
      <c r="H1865" s="40" t="inlineStr">
        <is>
          <t>Alacak</t>
        </is>
      </c>
      <c r="I1865" s="38" t="n">
        <v>0</v>
      </c>
      <c r="J1865" s="38" t="n">
        <v>45854</v>
      </c>
      <c r="K1865" s="38" t="n">
        <v>-45854</v>
      </c>
      <c r="L1865" s="40" t="inlineStr">
        <is>
          <t>Alacak</t>
        </is>
      </c>
    </row>
    <row r="1866" s="34">
      <c r="A1866" s="40" t="inlineStr">
        <is>
          <t>320.01.01.Y042</t>
        </is>
      </c>
      <c r="B1866" s="40" t="inlineStr">
        <is>
          <t>Yorukoğlu Süt Ve Ürünleri San.Tic. A.Ş.</t>
        </is>
      </c>
      <c r="C1866" s="40" t="inlineStr">
        <is>
          <t>TRY</t>
        </is>
      </c>
      <c r="D1866" s="40" t="inlineStr">
        <is>
          <t>ROYAL HOLIDAY</t>
        </is>
      </c>
      <c r="E1866" s="38" t="n">
        <v>0</v>
      </c>
      <c r="F1866" s="38" t="n">
        <v>242945.4</v>
      </c>
      <c r="G1866" s="38" t="n">
        <v>-242945.4</v>
      </c>
      <c r="H1866" s="40" t="inlineStr">
        <is>
          <t>Alacak</t>
        </is>
      </c>
      <c r="I1866" s="38" t="n">
        <v>0</v>
      </c>
      <c r="J1866" s="38" t="n">
        <v>242945.4</v>
      </c>
      <c r="K1866" s="38" t="n">
        <v>-242945.4</v>
      </c>
      <c r="L1866" s="40" t="inlineStr">
        <is>
          <t>Alacak</t>
        </is>
      </c>
    </row>
    <row r="1867" s="34">
      <c r="A1867" s="40" t="inlineStr">
        <is>
          <t>320.01.01.Y042</t>
        </is>
      </c>
      <c r="B1867" s="40" t="inlineStr">
        <is>
          <t>Yorukoğlu Süt Ve Ürünleri San.Tic. A.Ş.</t>
        </is>
      </c>
      <c r="C1867" s="40" t="inlineStr">
        <is>
          <t>TRY</t>
        </is>
      </c>
      <c r="D1867" s="40" t="inlineStr">
        <is>
          <t>ROYAL SEGINUS</t>
        </is>
      </c>
      <c r="E1867" s="38" t="n">
        <v>0</v>
      </c>
      <c r="F1867" s="38" t="n">
        <v>173162.48</v>
      </c>
      <c r="G1867" s="38" t="n">
        <v>-173162.48</v>
      </c>
      <c r="H1867" s="40" t="inlineStr">
        <is>
          <t>Alacak</t>
        </is>
      </c>
      <c r="I1867" s="38" t="n">
        <v>0</v>
      </c>
      <c r="J1867" s="38" t="n">
        <v>173162.48</v>
      </c>
      <c r="K1867" s="38" t="n">
        <v>-173162.48</v>
      </c>
      <c r="L1867" s="40" t="inlineStr">
        <is>
          <t>Alacak</t>
        </is>
      </c>
    </row>
    <row r="1868" s="34">
      <c r="A1868" s="40" t="inlineStr">
        <is>
          <t>320.01.01.Y042</t>
        </is>
      </c>
      <c r="B1868" s="40" t="inlineStr">
        <is>
          <t>Yorukoğlu Süt Ve Ürünleri San.Tic. A.Ş.</t>
        </is>
      </c>
      <c r="C1868" s="40" t="inlineStr">
        <is>
          <t>TRY</t>
        </is>
      </c>
      <c r="D1868" s="40" t="inlineStr">
        <is>
          <t>SERTAŞ MERKEZ</t>
        </is>
      </c>
      <c r="E1868" s="38" t="n">
        <v>288920.6</v>
      </c>
      <c r="F1868" s="38" t="n">
        <v>0</v>
      </c>
      <c r="G1868" s="38" t="n">
        <v>288920.6</v>
      </c>
      <c r="H1868" s="40" t="inlineStr">
        <is>
          <t>Borç</t>
        </is>
      </c>
      <c r="I1868" s="38" t="n">
        <v>288920.6</v>
      </c>
      <c r="J1868" s="38" t="n">
        <v>0</v>
      </c>
      <c r="K1868" s="38" t="n">
        <v>288920.6</v>
      </c>
      <c r="L1868" s="40" t="inlineStr">
        <is>
          <t>Borç</t>
        </is>
      </c>
    </row>
    <row r="1869" s="34">
      <c r="A1869" s="40" t="inlineStr">
        <is>
          <t>320.01.01.Y043</t>
        </is>
      </c>
      <c r="B1869" s="40" t="inlineStr">
        <is>
          <t>Yorunge Gıda San.İnş.Tur.Tic.Ltd.Şti.</t>
        </is>
      </c>
      <c r="C1869" s="40" t="inlineStr">
        <is>
          <t>TRY</t>
        </is>
      </c>
      <c r="D1869" s="40" t="inlineStr">
        <is>
          <t>GİTAŞ MERKEZ</t>
        </is>
      </c>
      <c r="E1869" s="38" t="n">
        <v>15869.92</v>
      </c>
      <c r="F1869" s="38" t="n">
        <v>0</v>
      </c>
      <c r="G1869" s="38" t="n">
        <v>15869.92</v>
      </c>
      <c r="H1869" s="40" t="inlineStr">
        <is>
          <t>Borç</t>
        </is>
      </c>
      <c r="I1869" s="38" t="n">
        <v>15869.92</v>
      </c>
      <c r="J1869" s="38" t="n">
        <v>0</v>
      </c>
      <c r="K1869" s="38" t="n">
        <v>15869.92</v>
      </c>
      <c r="L1869" s="40" t="inlineStr">
        <is>
          <t>Borç</t>
        </is>
      </c>
    </row>
    <row r="1870" s="34">
      <c r="A1870" s="40" t="inlineStr">
        <is>
          <t>320.01.01.Y043</t>
        </is>
      </c>
      <c r="B1870" s="40" t="inlineStr">
        <is>
          <t>Yorunge Gıda San.İnş.Tur.Tic.Ltd.Şti.</t>
        </is>
      </c>
      <c r="C1870" s="40" t="inlineStr">
        <is>
          <t>TRY</t>
        </is>
      </c>
      <c r="D1870" s="40" t="inlineStr">
        <is>
          <t>ROYAL ALHAMBRA</t>
        </is>
      </c>
      <c r="E1870" s="38" t="n">
        <v>0</v>
      </c>
      <c r="F1870" s="38" t="n">
        <v>24888.42</v>
      </c>
      <c r="G1870" s="38" t="n">
        <v>-24888.42</v>
      </c>
      <c r="H1870" s="40" t="inlineStr">
        <is>
          <t>Alacak</t>
        </is>
      </c>
      <c r="I1870" s="38" t="n">
        <v>0</v>
      </c>
      <c r="J1870" s="38" t="n">
        <v>24888.42</v>
      </c>
      <c r="K1870" s="38" t="n">
        <v>-24888.42</v>
      </c>
      <c r="L1870" s="40" t="inlineStr">
        <is>
          <t>Alacak</t>
        </is>
      </c>
    </row>
    <row r="1871" s="34">
      <c r="A1871" s="40" t="inlineStr">
        <is>
          <t>320.01.01.Y043</t>
        </is>
      </c>
      <c r="B1871" s="40" t="inlineStr">
        <is>
          <t>Yorunge Gıda San.İnş.Tur.Tic.Ltd.Şti.</t>
        </is>
      </c>
      <c r="C1871" s="40" t="inlineStr">
        <is>
          <t>TRY</t>
        </is>
      </c>
      <c r="D1871" s="40" t="inlineStr">
        <is>
          <t>ROYAL DRAGON</t>
        </is>
      </c>
      <c r="E1871" s="38" t="n">
        <v>0</v>
      </c>
      <c r="F1871" s="38" t="n">
        <v>4035.96</v>
      </c>
      <c r="G1871" s="38" t="n">
        <v>-4035.96</v>
      </c>
      <c r="H1871" s="40" t="inlineStr">
        <is>
          <t>Alacak</t>
        </is>
      </c>
      <c r="I1871" s="38" t="n">
        <v>0</v>
      </c>
      <c r="J1871" s="38" t="n">
        <v>4035.96</v>
      </c>
      <c r="K1871" s="38" t="n">
        <v>-4035.96</v>
      </c>
      <c r="L1871" s="40" t="inlineStr">
        <is>
          <t>Alacak</t>
        </is>
      </c>
    </row>
    <row r="1872" s="34">
      <c r="A1872" s="40" t="inlineStr">
        <is>
          <t>320.01.01.Y043</t>
        </is>
      </c>
      <c r="B1872" s="40" t="inlineStr">
        <is>
          <t>Yorunge Gıda San.İnş.Tur.Tic.Ltd.Şti.</t>
        </is>
      </c>
      <c r="C1872" s="40" t="inlineStr">
        <is>
          <t>TRY</t>
        </is>
      </c>
      <c r="D1872" s="40" t="inlineStr">
        <is>
          <t>ROYAL HOLIDAY</t>
        </is>
      </c>
      <c r="E1872" s="38" t="n">
        <v>0</v>
      </c>
      <c r="F1872" s="38" t="n">
        <v>28924.38</v>
      </c>
      <c r="G1872" s="38" t="n">
        <v>-28924.38</v>
      </c>
      <c r="H1872" s="40" t="inlineStr">
        <is>
          <t>Alacak</t>
        </is>
      </c>
      <c r="I1872" s="38" t="n">
        <v>0</v>
      </c>
      <c r="J1872" s="38" t="n">
        <v>28924.38</v>
      </c>
      <c r="K1872" s="38" t="n">
        <v>-28924.38</v>
      </c>
      <c r="L1872" s="40" t="inlineStr">
        <is>
          <t>Alacak</t>
        </is>
      </c>
    </row>
    <row r="1873" s="34">
      <c r="A1873" s="40" t="inlineStr">
        <is>
          <t>320.01.01.Y043</t>
        </is>
      </c>
      <c r="B1873" s="40" t="inlineStr">
        <is>
          <t>Yorunge Gıda San.İnş.Tur.Tic.Ltd.Şti.</t>
        </is>
      </c>
      <c r="C1873" s="40" t="inlineStr">
        <is>
          <t>TRY</t>
        </is>
      </c>
      <c r="D1873" s="40" t="inlineStr">
        <is>
          <t>ROYAL SEGINUS</t>
        </is>
      </c>
      <c r="E1873" s="38" t="n">
        <v>0</v>
      </c>
      <c r="F1873" s="38" t="n">
        <v>23543.1</v>
      </c>
      <c r="G1873" s="38" t="n">
        <v>-23543.1</v>
      </c>
      <c r="H1873" s="40" t="inlineStr">
        <is>
          <t>Alacak</t>
        </is>
      </c>
      <c r="I1873" s="38" t="n">
        <v>0</v>
      </c>
      <c r="J1873" s="38" t="n">
        <v>23543.1</v>
      </c>
      <c r="K1873" s="38" t="n">
        <v>-23543.1</v>
      </c>
      <c r="L1873" s="40" t="inlineStr">
        <is>
          <t>Alacak</t>
        </is>
      </c>
    </row>
    <row r="1874" s="34">
      <c r="A1874" s="40" t="inlineStr">
        <is>
          <t>320.01.01.Y043</t>
        </is>
      </c>
      <c r="B1874" s="40" t="inlineStr">
        <is>
          <t>Yorunge Gıda San.İnş.Tur.Tic.Ltd.Şti.</t>
        </is>
      </c>
      <c r="C1874" s="40" t="inlineStr">
        <is>
          <t>TRY</t>
        </is>
      </c>
      <c r="D1874" s="40" t="inlineStr">
        <is>
          <t>SERTAŞ MERKEZ</t>
        </is>
      </c>
      <c r="E1874" s="38" t="n">
        <v>38666.44</v>
      </c>
      <c r="F1874" s="38" t="n">
        <v>0</v>
      </c>
      <c r="G1874" s="38" t="n">
        <v>38666.44</v>
      </c>
      <c r="H1874" s="40" t="inlineStr">
        <is>
          <t>Borç</t>
        </is>
      </c>
      <c r="I1874" s="38" t="n">
        <v>38666.44</v>
      </c>
      <c r="J1874" s="38" t="n">
        <v>0</v>
      </c>
      <c r="K1874" s="38" t="n">
        <v>38666.44</v>
      </c>
      <c r="L1874" s="40" t="inlineStr">
        <is>
          <t>Borç</t>
        </is>
      </c>
    </row>
    <row r="1875" s="34">
      <c r="A1875" s="40" t="inlineStr">
        <is>
          <t>320.01.01.Y046</t>
        </is>
      </c>
      <c r="B1875" s="40" t="inlineStr">
        <is>
          <t>Yurtiçi Kargo Servisi A.Ş.</t>
        </is>
      </c>
      <c r="C1875" s="40" t="inlineStr">
        <is>
          <t>TRY</t>
        </is>
      </c>
      <c r="D1875" s="40" t="inlineStr">
        <is>
          <t>ROYAL ADAM EVE</t>
        </is>
      </c>
      <c r="E1875" s="38" t="n">
        <v>0</v>
      </c>
      <c r="F1875" s="38" t="n">
        <v>218.96</v>
      </c>
      <c r="G1875" s="38" t="n">
        <v>-218.96</v>
      </c>
      <c r="H1875" s="40" t="inlineStr">
        <is>
          <t>Alacak</t>
        </is>
      </c>
      <c r="I1875" s="38" t="n">
        <v>0</v>
      </c>
      <c r="J1875" s="38" t="n">
        <v>218.96</v>
      </c>
      <c r="K1875" s="38" t="n">
        <v>-218.96</v>
      </c>
      <c r="L1875" s="40" t="inlineStr">
        <is>
          <t>Alacak</t>
        </is>
      </c>
    </row>
    <row r="1876" s="34">
      <c r="A1876" s="40" t="inlineStr">
        <is>
          <t>320.01.01.Y052</t>
        </is>
      </c>
      <c r="B1876" s="40" t="inlineStr">
        <is>
          <t>Yalçın Dağ</t>
        </is>
      </c>
      <c r="C1876" s="40" t="inlineStr">
        <is>
          <t>TRY</t>
        </is>
      </c>
      <c r="D1876" s="40" t="inlineStr">
        <is>
          <t>SERTAŞ MERKEZ</t>
        </is>
      </c>
      <c r="E1876" s="38" t="n">
        <v>38012</v>
      </c>
      <c r="F1876" s="38" t="n">
        <v>9000</v>
      </c>
      <c r="G1876" s="38" t="n">
        <v>29012</v>
      </c>
      <c r="H1876" s="40" t="inlineStr">
        <is>
          <t>Borç</t>
        </is>
      </c>
      <c r="I1876" s="38" t="n">
        <v>38012</v>
      </c>
      <c r="J1876" s="38" t="n">
        <v>9000</v>
      </c>
      <c r="K1876" s="38" t="n">
        <v>29012</v>
      </c>
      <c r="L1876" s="40" t="inlineStr">
        <is>
          <t>Borç</t>
        </is>
      </c>
    </row>
    <row r="1877" s="34">
      <c r="A1877" s="40" t="inlineStr">
        <is>
          <t>320.01.01.Y054</t>
        </is>
      </c>
      <c r="B1877" s="40" t="inlineStr">
        <is>
          <t>Yıldırım Elektronik Ticaret ve Sanayi Ltd.Şti</t>
        </is>
      </c>
      <c r="C1877" s="40" t="inlineStr">
        <is>
          <t>TRY</t>
        </is>
      </c>
      <c r="D1877" s="40" t="inlineStr">
        <is>
          <t>ROYAL HOLIDAY</t>
        </is>
      </c>
      <c r="E1877" s="38" t="n">
        <v>2800</v>
      </c>
      <c r="F1877" s="38" t="n">
        <v>0</v>
      </c>
      <c r="G1877" s="38" t="n">
        <v>2800</v>
      </c>
      <c r="H1877" s="40" t="inlineStr">
        <is>
          <t>Borç</t>
        </is>
      </c>
      <c r="I1877" s="38" t="n">
        <v>2800</v>
      </c>
      <c r="J1877" s="38" t="n">
        <v>0</v>
      </c>
      <c r="K1877" s="38" t="n">
        <v>2800</v>
      </c>
      <c r="L1877" s="40" t="inlineStr">
        <is>
          <t>Borç</t>
        </is>
      </c>
    </row>
    <row r="1878" s="34">
      <c r="A1878" s="40" t="inlineStr">
        <is>
          <t>320.01.01.Z008</t>
        </is>
      </c>
      <c r="B1878" s="40" t="inlineStr">
        <is>
          <t>Zühal Erbektaş Genç</t>
        </is>
      </c>
      <c r="C1878" s="40" t="inlineStr">
        <is>
          <t>TRY</t>
        </is>
      </c>
      <c r="D1878" s="40" t="inlineStr">
        <is>
          <t>ROYAL SEGINUS</t>
        </is>
      </c>
      <c r="E1878" s="38" t="n">
        <v>0</v>
      </c>
      <c r="F1878" s="38" t="n">
        <v>33066.3</v>
      </c>
      <c r="G1878" s="38" t="n">
        <v>-33066.3</v>
      </c>
      <c r="H1878" s="40" t="inlineStr">
        <is>
          <t>Alacak</t>
        </is>
      </c>
      <c r="I1878" s="38" t="n">
        <v>0</v>
      </c>
      <c r="J1878" s="38" t="n">
        <v>33066.3</v>
      </c>
      <c r="K1878" s="38" t="n">
        <v>-33066.3</v>
      </c>
      <c r="L1878" s="40" t="inlineStr">
        <is>
          <t>Alacak</t>
        </is>
      </c>
    </row>
    <row r="1879" s="34">
      <c r="A1879" s="40" t="inlineStr">
        <is>
          <t>320.01.01.Z008</t>
        </is>
      </c>
      <c r="B1879" s="40" t="inlineStr">
        <is>
          <t>Zühal Erbektaş Genç</t>
        </is>
      </c>
      <c r="C1879" s="40" t="inlineStr">
        <is>
          <t>TRY</t>
        </is>
      </c>
      <c r="D1879" s="40" t="inlineStr">
        <is>
          <t>SERTAŞ MERKEZ</t>
        </is>
      </c>
      <c r="E1879" s="38" t="n">
        <v>33066.3</v>
      </c>
      <c r="F1879" s="38" t="n">
        <v>0</v>
      </c>
      <c r="G1879" s="38" t="n">
        <v>33066.3</v>
      </c>
      <c r="H1879" s="40" t="inlineStr">
        <is>
          <t>Borç</t>
        </is>
      </c>
      <c r="I1879" s="38" t="n">
        <v>33066.3</v>
      </c>
      <c r="J1879" s="38" t="n">
        <v>0</v>
      </c>
      <c r="K1879" s="38" t="n">
        <v>33066.3</v>
      </c>
      <c r="L1879" s="40" t="inlineStr">
        <is>
          <t>Borç</t>
        </is>
      </c>
    </row>
    <row r="1880" s="34">
      <c r="A1880" s="40" t="inlineStr">
        <is>
          <t>320.01.01.Z009</t>
        </is>
      </c>
      <c r="B1880" s="40" t="inlineStr">
        <is>
          <t>Zeynep Menek/Depar Tekstil</t>
        </is>
      </c>
      <c r="C1880" s="40" t="inlineStr">
        <is>
          <t>TRY</t>
        </is>
      </c>
      <c r="D1880" s="40" t="inlineStr">
        <is>
          <t>SERTAŞ MERKEZ</t>
        </is>
      </c>
      <c r="E1880" s="38" t="n">
        <v>2933.24</v>
      </c>
      <c r="F1880" s="38" t="n">
        <v>0</v>
      </c>
      <c r="G1880" s="38" t="n">
        <v>2933.24</v>
      </c>
      <c r="H1880" s="40" t="inlineStr">
        <is>
          <t>Borç</t>
        </is>
      </c>
      <c r="I1880" s="38" t="n">
        <v>2933.24</v>
      </c>
      <c r="J1880" s="38" t="n">
        <v>0</v>
      </c>
      <c r="K1880" s="38" t="n">
        <v>2933.24</v>
      </c>
      <c r="L1880" s="40" t="inlineStr">
        <is>
          <t>Borç</t>
        </is>
      </c>
    </row>
    <row r="1881" s="34">
      <c r="A1881" s="40" t="inlineStr">
        <is>
          <t>320.01.03</t>
        </is>
      </c>
      <c r="B1881" s="40" t="inlineStr">
        <is>
          <t>SATICILAR - GRUP İÇİ ŞİRKETLER</t>
        </is>
      </c>
      <c r="C1881" s="40" t="inlineStr">
        <is>
          <t>TRY</t>
        </is>
      </c>
      <c r="E1881" s="38" t="n">
        <v>70100</v>
      </c>
      <c r="F1881" s="38" t="n">
        <v>25400</v>
      </c>
      <c r="G1881" s="38" t="n">
        <v>44700</v>
      </c>
      <c r="I1881" s="38" t="n">
        <v>70100</v>
      </c>
      <c r="J1881" s="38" t="n">
        <v>25400</v>
      </c>
      <c r="K1881" s="38" t="n">
        <v>44700</v>
      </c>
    </row>
    <row r="1882" s="34">
      <c r="A1882" s="40" t="inlineStr">
        <is>
          <t>320.01.03.B057</t>
        </is>
      </c>
      <c r="B1882" s="40" t="inlineStr">
        <is>
          <t>Bekir Erguner</t>
        </is>
      </c>
      <c r="C1882" s="40" t="inlineStr">
        <is>
          <t>TRY</t>
        </is>
      </c>
      <c r="D1882" s="40" t="inlineStr">
        <is>
          <t>GİTAŞ MERKEZ</t>
        </is>
      </c>
      <c r="E1882" s="38" t="n">
        <v>2000</v>
      </c>
      <c r="F1882" s="38" t="n">
        <v>0</v>
      </c>
      <c r="G1882" s="38" t="n">
        <v>2000</v>
      </c>
      <c r="H1882" s="40" t="inlineStr">
        <is>
          <t>Borç</t>
        </is>
      </c>
      <c r="I1882" s="38" t="n">
        <v>2000</v>
      </c>
      <c r="J1882" s="38" t="n">
        <v>0</v>
      </c>
      <c r="K1882" s="38" t="n">
        <v>2000</v>
      </c>
      <c r="L1882" s="40" t="inlineStr">
        <is>
          <t>Borç</t>
        </is>
      </c>
    </row>
    <row r="1883" s="34">
      <c r="A1883" s="40" t="inlineStr">
        <is>
          <t>320.01.03.B057</t>
        </is>
      </c>
      <c r="B1883" s="40" t="inlineStr">
        <is>
          <t>Bekir Erguner</t>
        </is>
      </c>
      <c r="C1883" s="40" t="inlineStr">
        <is>
          <t>TRY</t>
        </is>
      </c>
      <c r="D1883" s="40" t="inlineStr">
        <is>
          <t>ROYAL ADAM EVE</t>
        </is>
      </c>
      <c r="E1883" s="38" t="n">
        <v>25400</v>
      </c>
      <c r="F1883" s="38" t="n">
        <v>25400</v>
      </c>
      <c r="G1883" s="38" t="n">
        <v>0</v>
      </c>
      <c r="I1883" s="38" t="n">
        <v>25400</v>
      </c>
      <c r="J1883" s="38" t="n">
        <v>25400</v>
      </c>
      <c r="K1883" s="38" t="n">
        <v>0</v>
      </c>
    </row>
    <row r="1884" s="34">
      <c r="A1884" s="40" t="inlineStr">
        <is>
          <t>320.01.03.B057</t>
        </is>
      </c>
      <c r="B1884" s="40" t="inlineStr">
        <is>
          <t>Bekir Erguner</t>
        </is>
      </c>
      <c r="C1884" s="40" t="inlineStr">
        <is>
          <t>TRY</t>
        </is>
      </c>
      <c r="D1884" s="40" t="inlineStr">
        <is>
          <t>SERTAŞ MERKEZ</t>
        </is>
      </c>
      <c r="E1884" s="38" t="n">
        <v>42700</v>
      </c>
      <c r="F1884" s="38" t="n">
        <v>0</v>
      </c>
      <c r="G1884" s="38" t="n">
        <v>42700</v>
      </c>
      <c r="H1884" s="40" t="inlineStr">
        <is>
          <t>Borç</t>
        </is>
      </c>
      <c r="I1884" s="38" t="n">
        <v>42700</v>
      </c>
      <c r="J1884" s="38" t="n">
        <v>0</v>
      </c>
      <c r="K1884" s="38" t="n">
        <v>42700</v>
      </c>
      <c r="L1884" s="40" t="inlineStr">
        <is>
          <t>Borç</t>
        </is>
      </c>
    </row>
    <row r="1885" s="34">
      <c r="A1885" s="40" t="inlineStr">
        <is>
          <t>320.02</t>
        </is>
      </c>
      <c r="B1885" s="40" t="inlineStr">
        <is>
          <t>SATICILAR - ENERJİ</t>
        </is>
      </c>
      <c r="C1885" s="40" t="inlineStr">
        <is>
          <t>TRY</t>
        </is>
      </c>
      <c r="E1885" s="38" t="n">
        <v>54641376</v>
      </c>
      <c r="F1885" s="38" t="n">
        <v>0</v>
      </c>
      <c r="G1885" s="38" t="n">
        <v>54641376</v>
      </c>
      <c r="I1885" s="38" t="n">
        <v>9592276</v>
      </c>
      <c r="J1885" s="38" t="n">
        <v>0</v>
      </c>
      <c r="K1885" s="38" t="n">
        <v>9592276</v>
      </c>
    </row>
    <row r="1886" s="34">
      <c r="A1886" s="40" t="inlineStr">
        <is>
          <t>320.02.01</t>
        </is>
      </c>
      <c r="B1886" s="40" t="inlineStr">
        <is>
          <t>SATICILAR - ENERJİ/ÇANAKKALE</t>
        </is>
      </c>
      <c r="C1886" s="40" t="inlineStr">
        <is>
          <t>TRY</t>
        </is>
      </c>
      <c r="E1886" s="38" t="n">
        <v>46049100</v>
      </c>
      <c r="F1886" s="38" t="n">
        <v>0</v>
      </c>
      <c r="G1886" s="38" t="n">
        <v>46049100</v>
      </c>
      <c r="I1886" s="38" t="n">
        <v>1000000</v>
      </c>
      <c r="J1886" s="38" t="n">
        <v>0</v>
      </c>
      <c r="K1886" s="38" t="n">
        <v>1000000</v>
      </c>
    </row>
    <row r="1887" s="34">
      <c r="A1887" s="40" t="inlineStr">
        <is>
          <t>320.02.01.H001</t>
        </is>
      </c>
      <c r="B1887" s="40" t="inlineStr">
        <is>
          <t>Hts Solar Madencilik Enerji Pvc Müşavirlik A.Ş.</t>
        </is>
      </c>
      <c r="C1887" s="40" t="inlineStr">
        <is>
          <t>USD</t>
        </is>
      </c>
      <c r="D1887" s="40" t="inlineStr">
        <is>
          <t>SERTAŞ MERKEZ</t>
        </is>
      </c>
      <c r="E1887" s="38" t="n">
        <v>46049100</v>
      </c>
      <c r="F1887" s="38" t="n">
        <v>0</v>
      </c>
      <c r="G1887" s="38" t="n">
        <v>46049100</v>
      </c>
      <c r="H1887" s="40" t="inlineStr">
        <is>
          <t>Borç</t>
        </is>
      </c>
      <c r="I1887" s="38" t="n">
        <v>1000000</v>
      </c>
      <c r="J1887" s="38" t="n">
        <v>0</v>
      </c>
      <c r="K1887" s="38" t="n">
        <v>1000000</v>
      </c>
      <c r="L1887" s="40" t="inlineStr">
        <is>
          <t>Borç</t>
        </is>
      </c>
    </row>
    <row r="1888" s="34">
      <c r="A1888" s="40" t="inlineStr">
        <is>
          <t>320.02.02</t>
        </is>
      </c>
      <c r="B1888" s="40" t="inlineStr">
        <is>
          <t>SATICILAR - ENERJİ/ERZURUM</t>
        </is>
      </c>
      <c r="C1888" s="40" t="inlineStr">
        <is>
          <t>TRY</t>
        </is>
      </c>
      <c r="E1888" s="38" t="n">
        <v>8592276</v>
      </c>
      <c r="F1888" s="38" t="n">
        <v>0</v>
      </c>
      <c r="G1888" s="38" t="n">
        <v>8592276</v>
      </c>
      <c r="I1888" s="38" t="n">
        <v>8592276</v>
      </c>
      <c r="J1888" s="38" t="n">
        <v>0</v>
      </c>
      <c r="K1888" s="38" t="n">
        <v>8592276</v>
      </c>
    </row>
    <row r="1889" s="34">
      <c r="A1889" s="40" t="inlineStr">
        <is>
          <t>320.02.02.E001</t>
        </is>
      </c>
      <c r="B1889" s="40" t="inlineStr">
        <is>
          <t>Enerji Piyasaları İşletme A.Ş.</t>
        </is>
      </c>
      <c r="C1889" s="40" t="inlineStr">
        <is>
          <t>TRY</t>
        </is>
      </c>
      <c r="D1889" s="40" t="inlineStr">
        <is>
          <t>SERTAŞ MERKEZ</t>
        </is>
      </c>
      <c r="E1889" s="38" t="n">
        <v>8592276</v>
      </c>
      <c r="F1889" s="38" t="n">
        <v>0</v>
      </c>
      <c r="G1889" s="38" t="n">
        <v>8592276</v>
      </c>
      <c r="H1889" s="40" t="inlineStr">
        <is>
          <t>Borç</t>
        </is>
      </c>
      <c r="I1889" s="38" t="n">
        <v>8592276</v>
      </c>
      <c r="J1889" s="38" t="n">
        <v>0</v>
      </c>
      <c r="K1889" s="38" t="n">
        <v>8592276</v>
      </c>
      <c r="L1889" s="40" t="inlineStr">
        <is>
          <t>Borç</t>
        </is>
      </c>
    </row>
    <row r="1890" s="34">
      <c r="A1890" s="40" t="inlineStr">
        <is>
          <t>326</t>
        </is>
      </c>
      <c r="B1890" s="40" t="inlineStr">
        <is>
          <t>ALINAN DEPOZİTO VE TEMİNATLAR HESABI</t>
        </is>
      </c>
      <c r="C1890" s="40" t="inlineStr">
        <is>
          <t>TRY</t>
        </is>
      </c>
      <c r="E1890" s="38" t="n">
        <v>40414200</v>
      </c>
      <c r="F1890" s="38" t="n">
        <v>0</v>
      </c>
      <c r="G1890" s="38" t="n">
        <v>40414200</v>
      </c>
      <c r="I1890" s="38" t="n">
        <v>40414200</v>
      </c>
      <c r="J1890" s="38" t="n">
        <v>0</v>
      </c>
      <c r="K1890" s="38" t="n">
        <v>40414200</v>
      </c>
    </row>
    <row r="1891" s="34">
      <c r="A1891" s="40" t="inlineStr">
        <is>
          <t>326.01</t>
        </is>
      </c>
      <c r="B1891" s="40" t="inlineStr">
        <is>
          <t>ALINAN DEPOZİTO VE TEMİNATLAR HESABI</t>
        </is>
      </c>
      <c r="C1891" s="40" t="inlineStr">
        <is>
          <t>TRY</t>
        </is>
      </c>
      <c r="E1891" s="38" t="n">
        <v>40414200</v>
      </c>
      <c r="F1891" s="38" t="n">
        <v>0</v>
      </c>
      <c r="G1891" s="38" t="n">
        <v>40414200</v>
      </c>
      <c r="I1891" s="38" t="n">
        <v>40414200</v>
      </c>
      <c r="J1891" s="38" t="n">
        <v>0</v>
      </c>
      <c r="K1891" s="38" t="n">
        <v>40414200</v>
      </c>
    </row>
    <row r="1892" s="34">
      <c r="A1892" s="40" t="inlineStr">
        <is>
          <t>326.01.01</t>
        </is>
      </c>
      <c r="B1892" s="40" t="inlineStr">
        <is>
          <t>ALINAN DEPOZİTO VE TEMİNATLAR HESABI</t>
        </is>
      </c>
      <c r="C1892" s="40" t="inlineStr">
        <is>
          <t>TRY</t>
        </is>
      </c>
      <c r="E1892" s="38" t="n">
        <v>40414200</v>
      </c>
      <c r="F1892" s="38" t="n">
        <v>0</v>
      </c>
      <c r="G1892" s="38" t="n">
        <v>40414200</v>
      </c>
      <c r="I1892" s="38" t="n">
        <v>40414200</v>
      </c>
      <c r="J1892" s="38" t="n">
        <v>0</v>
      </c>
      <c r="K1892" s="38" t="n">
        <v>40414200</v>
      </c>
    </row>
    <row r="1893" s="34">
      <c r="A1893" s="40" t="inlineStr">
        <is>
          <t>326.01.01.0001</t>
        </is>
      </c>
      <c r="B1893" s="40" t="inlineStr">
        <is>
          <t>Alınan Teminat Çekleri</t>
        </is>
      </c>
      <c r="C1893" s="40" t="inlineStr">
        <is>
          <t>TRY</t>
        </is>
      </c>
      <c r="D1893" s="40" t="inlineStr">
        <is>
          <t>ROYAL ADAM EVE</t>
        </is>
      </c>
      <c r="E1893" s="38" t="n">
        <v>18934200</v>
      </c>
      <c r="F1893" s="38" t="n">
        <v>0</v>
      </c>
      <c r="G1893" s="38" t="n">
        <v>18934200</v>
      </c>
      <c r="H1893" s="40" t="inlineStr">
        <is>
          <t>Borç</t>
        </is>
      </c>
      <c r="I1893" s="38" t="n">
        <v>18934200</v>
      </c>
      <c r="J1893" s="38" t="n">
        <v>0</v>
      </c>
      <c r="K1893" s="38" t="n">
        <v>18934200</v>
      </c>
      <c r="L1893" s="40" t="inlineStr">
        <is>
          <t>Borç</t>
        </is>
      </c>
    </row>
    <row r="1894" s="34">
      <c r="A1894" s="40" t="inlineStr">
        <is>
          <t>326.01.01.0001</t>
        </is>
      </c>
      <c r="B1894" s="40" t="inlineStr">
        <is>
          <t>Alınan Teminat Çekleri</t>
        </is>
      </c>
      <c r="C1894" s="40" t="inlineStr">
        <is>
          <t>TRY</t>
        </is>
      </c>
      <c r="D1894" s="40" t="inlineStr">
        <is>
          <t>ROYAL ALHAMBRA</t>
        </is>
      </c>
      <c r="E1894" s="38" t="n">
        <v>21480000</v>
      </c>
      <c r="F1894" s="38" t="n">
        <v>0</v>
      </c>
      <c r="G1894" s="38" t="n">
        <v>21480000</v>
      </c>
      <c r="H1894" s="40" t="inlineStr">
        <is>
          <t>Borç</t>
        </is>
      </c>
      <c r="I1894" s="38" t="n">
        <v>21480000</v>
      </c>
      <c r="J1894" s="38" t="n">
        <v>0</v>
      </c>
      <c r="K1894" s="38" t="n">
        <v>21480000</v>
      </c>
      <c r="L1894" s="40" t="inlineStr">
        <is>
          <t>Borç</t>
        </is>
      </c>
    </row>
    <row r="1895" s="34">
      <c r="A1895" s="40" t="inlineStr">
        <is>
          <t>33</t>
        </is>
      </c>
      <c r="B1895" s="40" t="inlineStr">
        <is>
          <t>DİĞER BORÇLAR</t>
        </is>
      </c>
      <c r="C1895" s="40" t="inlineStr">
        <is>
          <t>TRY</t>
        </is>
      </c>
      <c r="E1895" s="38" t="n">
        <v>118726874.34</v>
      </c>
      <c r="F1895" s="38" t="n">
        <v>340664177.89</v>
      </c>
      <c r="G1895" s="38" t="n">
        <v>-221937303.55</v>
      </c>
      <c r="I1895" s="38" t="n">
        <v>101972643.04</v>
      </c>
      <c r="J1895" s="38" t="n">
        <v>106865243.94</v>
      </c>
      <c r="K1895" s="38" t="n">
        <v>-4892600.9</v>
      </c>
    </row>
    <row r="1896" s="34">
      <c r="A1896" s="40" t="inlineStr">
        <is>
          <t>331</t>
        </is>
      </c>
      <c r="B1896" s="40" t="inlineStr">
        <is>
          <t>ORTAKLARA BORÇLAR HESABI</t>
        </is>
      </c>
      <c r="C1896" s="40" t="inlineStr">
        <is>
          <t>TRY</t>
        </is>
      </c>
      <c r="E1896" s="38" t="n">
        <v>16068086.25</v>
      </c>
      <c r="F1896" s="38" t="n">
        <v>16082310</v>
      </c>
      <c r="G1896" s="38" t="n">
        <v>-14223.75</v>
      </c>
      <c r="I1896" s="38" t="n">
        <v>299734.67</v>
      </c>
      <c r="J1896" s="38" t="n">
        <v>300000</v>
      </c>
      <c r="K1896" s="38" t="n">
        <v>-265.33</v>
      </c>
    </row>
    <row r="1897" s="34">
      <c r="A1897" s="40" t="inlineStr">
        <is>
          <t>331.01</t>
        </is>
      </c>
      <c r="B1897" s="40" t="inlineStr">
        <is>
          <t>ORTAKLARA BORÇLAR HESABI</t>
        </is>
      </c>
      <c r="C1897" s="40" t="inlineStr">
        <is>
          <t>TRY</t>
        </is>
      </c>
      <c r="E1897" s="38" t="n">
        <v>16068086.25</v>
      </c>
      <c r="F1897" s="38" t="n">
        <v>16082310</v>
      </c>
      <c r="G1897" s="38" t="n">
        <v>-14223.75</v>
      </c>
      <c r="I1897" s="38" t="n">
        <v>299734.67</v>
      </c>
      <c r="J1897" s="38" t="n">
        <v>300000</v>
      </c>
      <c r="K1897" s="38" t="n">
        <v>-265.33</v>
      </c>
    </row>
    <row r="1898" s="34">
      <c r="A1898" s="40" t="inlineStr">
        <is>
          <t>331.01.01</t>
        </is>
      </c>
      <c r="B1898" s="40" t="inlineStr">
        <is>
          <t>ORTAKLARA BORÇLAR HESABI</t>
        </is>
      </c>
      <c r="C1898" s="40" t="inlineStr">
        <is>
          <t>TRY</t>
        </is>
      </c>
      <c r="E1898" s="38" t="n">
        <v>16068086.25</v>
      </c>
      <c r="F1898" s="38" t="n">
        <v>16082310</v>
      </c>
      <c r="G1898" s="38" t="n">
        <v>-14223.75</v>
      </c>
      <c r="I1898" s="38" t="n">
        <v>299734.67</v>
      </c>
      <c r="J1898" s="38" t="n">
        <v>300000</v>
      </c>
      <c r="K1898" s="38" t="n">
        <v>-265.33</v>
      </c>
    </row>
    <row r="1899" s="34">
      <c r="A1899" s="40" t="inlineStr">
        <is>
          <t>331.01.01.0001</t>
        </is>
      </c>
      <c r="B1899" s="40" t="inlineStr">
        <is>
          <t>Rt Enerji Turizm San.Ve Tic.A.Ş.</t>
        </is>
      </c>
      <c r="C1899" s="40" t="inlineStr">
        <is>
          <t>EUR</t>
        </is>
      </c>
      <c r="D1899" s="40" t="inlineStr">
        <is>
          <t>GİTAŞ MERKEZ</t>
        </is>
      </c>
      <c r="E1899" s="38" t="n">
        <v>16068086.25</v>
      </c>
      <c r="F1899" s="38" t="n">
        <v>16082310</v>
      </c>
      <c r="G1899" s="38" t="n">
        <v>-14223.75</v>
      </c>
      <c r="H1899" s="40" t="inlineStr">
        <is>
          <t>Alacak</t>
        </is>
      </c>
      <c r="I1899" s="38" t="n">
        <v>299734.67</v>
      </c>
      <c r="J1899" s="38" t="n">
        <v>300000</v>
      </c>
      <c r="K1899" s="38" t="n">
        <v>-265.33</v>
      </c>
      <c r="L1899" s="40" t="inlineStr">
        <is>
          <t>Alacak</t>
        </is>
      </c>
    </row>
    <row r="1900" s="34">
      <c r="A1900" s="40" t="inlineStr">
        <is>
          <t>333</t>
        </is>
      </c>
      <c r="B1900" s="40" t="inlineStr">
        <is>
          <t>BAĞLI ORTAKLIKLARA BORÇLAR HESABI</t>
        </is>
      </c>
      <c r="C1900" s="40" t="inlineStr">
        <is>
          <t>TRY</t>
        </is>
      </c>
      <c r="E1900" s="38" t="n">
        <v>0</v>
      </c>
      <c r="F1900" s="38" t="n">
        <v>19093345.32</v>
      </c>
      <c r="G1900" s="38" t="n">
        <v>-19093345.32</v>
      </c>
      <c r="I1900" s="38" t="n">
        <v>0</v>
      </c>
      <c r="J1900" s="38" t="n">
        <v>19093345.32</v>
      </c>
      <c r="K1900" s="38" t="n">
        <v>-19093345.32</v>
      </c>
    </row>
    <row r="1901" s="34">
      <c r="A1901" s="40" t="inlineStr">
        <is>
          <t>333.01</t>
        </is>
      </c>
      <c r="B1901" s="40" t="inlineStr">
        <is>
          <t>BAĞLI ORTAKLIKLARA BORÇLAR HESABI</t>
        </is>
      </c>
      <c r="C1901" s="40" t="inlineStr">
        <is>
          <t>TRY</t>
        </is>
      </c>
      <c r="E1901" s="38" t="n">
        <v>0</v>
      </c>
      <c r="F1901" s="38" t="n">
        <v>19093345.32</v>
      </c>
      <c r="G1901" s="38" t="n">
        <v>-19093345.32</v>
      </c>
      <c r="I1901" s="38" t="n">
        <v>0</v>
      </c>
      <c r="J1901" s="38" t="n">
        <v>19093345.32</v>
      </c>
      <c r="K1901" s="38" t="n">
        <v>-19093345.32</v>
      </c>
    </row>
    <row r="1902" s="34">
      <c r="A1902" s="40" t="inlineStr">
        <is>
          <t>333.01.01</t>
        </is>
      </c>
      <c r="B1902" s="40" t="inlineStr">
        <is>
          <t>BAĞLI ORTAKLIKLARA BORÇLAR HESABI</t>
        </is>
      </c>
      <c r="C1902" s="40" t="inlineStr">
        <is>
          <t>TRY</t>
        </is>
      </c>
      <c r="E1902" s="38" t="n">
        <v>0</v>
      </c>
      <c r="F1902" s="38" t="n">
        <v>19093345.32</v>
      </c>
      <c r="G1902" s="38" t="n">
        <v>-19093345.32</v>
      </c>
      <c r="I1902" s="38" t="n">
        <v>0</v>
      </c>
      <c r="J1902" s="38" t="n">
        <v>19093345.32</v>
      </c>
      <c r="K1902" s="38" t="n">
        <v>-19093345.32</v>
      </c>
    </row>
    <row r="1903" s="34">
      <c r="A1903" s="40" t="inlineStr">
        <is>
          <t>333.01.01.0001</t>
        </is>
      </c>
      <c r="B1903" s="40" t="inlineStr">
        <is>
          <t>Tg Otelcilik İnş.Ve Turz.İşl.A.Ş.(TL)</t>
        </is>
      </c>
      <c r="C1903" s="40" t="inlineStr">
        <is>
          <t>TRY</t>
        </is>
      </c>
      <c r="D1903" s="40" t="inlineStr">
        <is>
          <t>SERTAŞ MERKEZ</t>
        </is>
      </c>
      <c r="E1903" s="38" t="n">
        <v>0</v>
      </c>
      <c r="F1903" s="38" t="n">
        <v>19093345.32</v>
      </c>
      <c r="G1903" s="38" t="n">
        <v>-19093345.32</v>
      </c>
      <c r="H1903" s="40" t="inlineStr">
        <is>
          <t>Alacak</t>
        </is>
      </c>
      <c r="I1903" s="38" t="n">
        <v>0</v>
      </c>
      <c r="J1903" s="38" t="n">
        <v>19093345.32</v>
      </c>
      <c r="K1903" s="38" t="n">
        <v>-19093345.32</v>
      </c>
      <c r="L1903" s="40" t="inlineStr">
        <is>
          <t>Alacak</t>
        </is>
      </c>
    </row>
    <row r="1904" s="34">
      <c r="A1904" s="40" t="inlineStr">
        <is>
          <t>335</t>
        </is>
      </c>
      <c r="B1904" s="40" t="inlineStr">
        <is>
          <t>PERSONELE BORÇLAR HESABI</t>
        </is>
      </c>
      <c r="C1904" s="40" t="inlineStr">
        <is>
          <t>TRY</t>
        </is>
      </c>
      <c r="E1904" s="38" t="n">
        <v>101653952.86</v>
      </c>
      <c r="F1904" s="38" t="n">
        <v>8626.26</v>
      </c>
      <c r="G1904" s="38" t="n">
        <v>101645326.6</v>
      </c>
      <c r="I1904" s="38" t="n">
        <v>101653952.86</v>
      </c>
      <c r="J1904" s="38" t="n">
        <v>8626.26</v>
      </c>
      <c r="K1904" s="38" t="n">
        <v>101645326.6</v>
      </c>
    </row>
    <row r="1905" s="34">
      <c r="A1905" s="40" t="inlineStr">
        <is>
          <t>335.01</t>
        </is>
      </c>
      <c r="B1905" s="40" t="inlineStr">
        <is>
          <t>PERSONELE BORÇLAR HESABI</t>
        </is>
      </c>
      <c r="C1905" s="40" t="inlineStr">
        <is>
          <t>TRY</t>
        </is>
      </c>
      <c r="E1905" s="38" t="n">
        <v>101653952.86</v>
      </c>
      <c r="F1905" s="38" t="n">
        <v>8626.26</v>
      </c>
      <c r="G1905" s="38" t="n">
        <v>101645326.6</v>
      </c>
      <c r="I1905" s="38" t="n">
        <v>101653952.86</v>
      </c>
      <c r="J1905" s="38" t="n">
        <v>8626.26</v>
      </c>
      <c r="K1905" s="38" t="n">
        <v>101645326.6</v>
      </c>
    </row>
    <row r="1906" s="34">
      <c r="A1906" s="40" t="inlineStr">
        <is>
          <t>335.01.01</t>
        </is>
      </c>
      <c r="B1906" s="40" t="inlineStr">
        <is>
          <t>PERSONELE BORÇLAR HESABI</t>
        </is>
      </c>
      <c r="C1906" s="40" t="inlineStr">
        <is>
          <t>TRY</t>
        </is>
      </c>
      <c r="E1906" s="38" t="n">
        <v>101653952.86</v>
      </c>
      <c r="F1906" s="38" t="n">
        <v>8626.26</v>
      </c>
      <c r="G1906" s="38" t="n">
        <v>101645326.6</v>
      </c>
      <c r="I1906" s="38" t="n">
        <v>101653952.86</v>
      </c>
      <c r="J1906" s="38" t="n">
        <v>8626.26</v>
      </c>
      <c r="K1906" s="38" t="n">
        <v>101645326.6</v>
      </c>
    </row>
    <row r="1907" s="34">
      <c r="A1907" s="40" t="inlineStr">
        <is>
          <t>335.01.01.0003</t>
        </is>
      </c>
      <c r="B1907" s="40" t="inlineStr">
        <is>
          <t>Mart Ödenecek ÜcreTLer</t>
        </is>
      </c>
      <c r="C1907" s="40" t="inlineStr">
        <is>
          <t>TRY</t>
        </is>
      </c>
      <c r="D1907" s="40" t="inlineStr">
        <is>
          <t>GİTAŞ MERKEZ</t>
        </is>
      </c>
      <c r="E1907" s="38" t="n">
        <v>1175.03</v>
      </c>
      <c r="F1907" s="38" t="n">
        <v>0</v>
      </c>
      <c r="G1907" s="38" t="n">
        <v>1175.03</v>
      </c>
      <c r="H1907" s="40" t="inlineStr">
        <is>
          <t>Borç</t>
        </is>
      </c>
      <c r="I1907" s="38" t="n">
        <v>1175.03</v>
      </c>
      <c r="J1907" s="38" t="n">
        <v>0</v>
      </c>
      <c r="K1907" s="38" t="n">
        <v>1175.03</v>
      </c>
      <c r="L1907" s="40" t="inlineStr">
        <is>
          <t>Borç</t>
        </is>
      </c>
    </row>
    <row r="1908" s="34">
      <c r="A1908" s="40" t="inlineStr">
        <is>
          <t>335.01.01.0005</t>
        </is>
      </c>
      <c r="B1908" s="40" t="inlineStr">
        <is>
          <t>Mayıs Ödenecek ÜcreTLer</t>
        </is>
      </c>
      <c r="C1908" s="40" t="inlineStr">
        <is>
          <t>TRY</t>
        </is>
      </c>
      <c r="D1908" s="40" t="inlineStr">
        <is>
          <t>GİTAŞ MERKEZ</t>
        </is>
      </c>
      <c r="E1908" s="38" t="n">
        <v>30901630.6</v>
      </c>
      <c r="F1908" s="38" t="n">
        <v>3762.26</v>
      </c>
      <c r="G1908" s="38" t="n">
        <v>30897868.34</v>
      </c>
      <c r="H1908" s="40" t="inlineStr">
        <is>
          <t>Borç</t>
        </is>
      </c>
      <c r="I1908" s="38" t="n">
        <v>30901630.6</v>
      </c>
      <c r="J1908" s="38" t="n">
        <v>3762.26</v>
      </c>
      <c r="K1908" s="38" t="n">
        <v>30897868.34</v>
      </c>
      <c r="L1908" s="40" t="inlineStr">
        <is>
          <t>Borç</t>
        </is>
      </c>
    </row>
    <row r="1909" s="34">
      <c r="A1909" s="40" t="inlineStr">
        <is>
          <t>335.01.01.0005</t>
        </is>
      </c>
      <c r="B1909" s="40" t="inlineStr">
        <is>
          <t>Mayıs Ödenecek ÜcreTLer</t>
        </is>
      </c>
      <c r="C1909" s="40" t="inlineStr">
        <is>
          <t>TRY</t>
        </is>
      </c>
      <c r="D1909" s="40" t="inlineStr">
        <is>
          <t>ROYAL ADAM EVE</t>
        </is>
      </c>
      <c r="E1909" s="38" t="n">
        <v>19670356.53</v>
      </c>
      <c r="F1909" s="38" t="n">
        <v>0</v>
      </c>
      <c r="G1909" s="38" t="n">
        <v>19670356.53</v>
      </c>
      <c r="H1909" s="40" t="inlineStr">
        <is>
          <t>Borç</t>
        </is>
      </c>
      <c r="I1909" s="38" t="n">
        <v>19670356.53</v>
      </c>
      <c r="J1909" s="38" t="n">
        <v>0</v>
      </c>
      <c r="K1909" s="38" t="n">
        <v>19670356.53</v>
      </c>
      <c r="L1909" s="40" t="inlineStr">
        <is>
          <t>Borç</t>
        </is>
      </c>
    </row>
    <row r="1910" s="34">
      <c r="A1910" s="40" t="inlineStr">
        <is>
          <t>335.01.01.0005</t>
        </is>
      </c>
      <c r="B1910" s="40" t="inlineStr">
        <is>
          <t>Mayıs Ödenecek ÜcreTLer</t>
        </is>
      </c>
      <c r="C1910" s="40" t="inlineStr">
        <is>
          <t>TRY</t>
        </is>
      </c>
      <c r="D1910" s="40" t="inlineStr">
        <is>
          <t>SERTAŞ MERKEZ</t>
        </is>
      </c>
      <c r="E1910" s="38" t="n">
        <v>51080790.7</v>
      </c>
      <c r="F1910" s="38" t="n">
        <v>4864</v>
      </c>
      <c r="G1910" s="38" t="n">
        <v>51075926.7</v>
      </c>
      <c r="H1910" s="40" t="inlineStr">
        <is>
          <t>Borç</t>
        </is>
      </c>
      <c r="I1910" s="38" t="n">
        <v>51080790.7</v>
      </c>
      <c r="J1910" s="38" t="n">
        <v>4864</v>
      </c>
      <c r="K1910" s="38" t="n">
        <v>51075926.7</v>
      </c>
      <c r="L1910" s="40" t="inlineStr">
        <is>
          <t>Borç</t>
        </is>
      </c>
    </row>
    <row r="1911" s="34">
      <c r="A1911" s="40" t="inlineStr">
        <is>
          <t>336</t>
        </is>
      </c>
      <c r="B1911" s="40" t="inlineStr">
        <is>
          <t>DİĞER ÇEŞİTLİ BORÇLAR HESABI</t>
        </is>
      </c>
      <c r="C1911" s="40" t="inlineStr">
        <is>
          <t>TRY</t>
        </is>
      </c>
      <c r="E1911" s="38" t="n">
        <v>1004835.23</v>
      </c>
      <c r="F1911" s="38" t="n">
        <v>305479896.31</v>
      </c>
      <c r="G1911" s="38" t="n">
        <v>-304475061.08</v>
      </c>
      <c r="I1911" s="38" t="n">
        <v>18955.51</v>
      </c>
      <c r="J1911" s="38" t="n">
        <v>87463272.36</v>
      </c>
      <c r="K1911" s="38" t="n">
        <v>-87444316.84999999</v>
      </c>
    </row>
    <row r="1912" s="34">
      <c r="A1912" s="40" t="inlineStr">
        <is>
          <t>336.01</t>
        </is>
      </c>
      <c r="B1912" s="40" t="inlineStr">
        <is>
          <t>DİĞER ÇEŞİTLİ BORÇLAR HESABI</t>
        </is>
      </c>
      <c r="C1912" s="40" t="inlineStr">
        <is>
          <t>TRY</t>
        </is>
      </c>
      <c r="E1912" s="38" t="n">
        <v>0</v>
      </c>
      <c r="F1912" s="38" t="n">
        <v>84401254.66</v>
      </c>
      <c r="G1912" s="38" t="n">
        <v>-84401254.66</v>
      </c>
      <c r="I1912" s="38" t="n">
        <v>0</v>
      </c>
      <c r="J1912" s="38" t="n">
        <v>83309662.61</v>
      </c>
      <c r="K1912" s="38" t="n">
        <v>-83309662.61</v>
      </c>
    </row>
    <row r="1913" s="34">
      <c r="A1913" s="40" t="inlineStr">
        <is>
          <t>336.01.01</t>
        </is>
      </c>
      <c r="B1913" s="40" t="inlineStr">
        <is>
          <t>DİĞER ÇEŞİTLİ BORÇLAR HESABI</t>
        </is>
      </c>
      <c r="C1913" s="40" t="inlineStr">
        <is>
          <t>TRY</t>
        </is>
      </c>
      <c r="E1913" s="38" t="n">
        <v>0</v>
      </c>
      <c r="F1913" s="38" t="n">
        <v>84401254.66</v>
      </c>
      <c r="G1913" s="38" t="n">
        <v>-84401254.66</v>
      </c>
      <c r="I1913" s="38" t="n">
        <v>0</v>
      </c>
      <c r="J1913" s="38" t="n">
        <v>83309662.61</v>
      </c>
      <c r="K1913" s="38" t="n">
        <v>-83309662.61</v>
      </c>
    </row>
    <row r="1914" s="34">
      <c r="A1914" s="40" t="inlineStr">
        <is>
          <t>336.01.01.0001</t>
        </is>
      </c>
      <c r="B1914" s="40" t="inlineStr">
        <is>
          <t>Gitaş Turizm Tic.İnş.Taah.Ve San.A.Ş.TL</t>
        </is>
      </c>
      <c r="C1914" s="40" t="inlineStr">
        <is>
          <t>TRY</t>
        </is>
      </c>
      <c r="D1914" s="40" t="inlineStr">
        <is>
          <t>ROYAL ADAM EVE</t>
        </is>
      </c>
      <c r="E1914" s="38" t="n">
        <v>0</v>
      </c>
      <c r="F1914" s="38" t="n">
        <v>2157333.29</v>
      </c>
      <c r="G1914" s="38" t="n">
        <v>-2157333.29</v>
      </c>
      <c r="H1914" s="40" t="inlineStr">
        <is>
          <t>Alacak</t>
        </is>
      </c>
      <c r="I1914" s="38" t="n">
        <v>0</v>
      </c>
      <c r="J1914" s="38" t="n">
        <v>2157333.29</v>
      </c>
      <c r="K1914" s="38" t="n">
        <v>-2157333.29</v>
      </c>
      <c r="L1914" s="40" t="inlineStr">
        <is>
          <t>Alacak</t>
        </is>
      </c>
    </row>
    <row r="1915" s="34">
      <c r="A1915" s="40" t="inlineStr">
        <is>
          <t>336.01.01.0002</t>
        </is>
      </c>
      <c r="B1915" s="40" t="inlineStr">
        <is>
          <t>Sertaş Turizm Yatırım Ve İşl. A.Ş.(TL)</t>
        </is>
      </c>
      <c r="C1915" s="40" t="inlineStr">
        <is>
          <t>TRY</t>
        </is>
      </c>
      <c r="D1915" s="40" t="inlineStr">
        <is>
          <t>GİTAŞ MERKEZ</t>
        </is>
      </c>
      <c r="E1915" s="38" t="n">
        <v>0</v>
      </c>
      <c r="F1915" s="38" t="n">
        <v>8998000</v>
      </c>
      <c r="G1915" s="38" t="n">
        <v>-8998000</v>
      </c>
      <c r="H1915" s="40" t="inlineStr">
        <is>
          <t>Alacak</t>
        </is>
      </c>
      <c r="I1915" s="38" t="n">
        <v>0</v>
      </c>
      <c r="J1915" s="38" t="n">
        <v>8998000</v>
      </c>
      <c r="K1915" s="38" t="n">
        <v>-8998000</v>
      </c>
      <c r="L1915" s="40" t="inlineStr">
        <is>
          <t>Alacak</t>
        </is>
      </c>
    </row>
    <row r="1916" s="34">
      <c r="A1916" s="40" t="inlineStr">
        <is>
          <t>336.01.01.0002</t>
        </is>
      </c>
      <c r="B1916" s="40" t="inlineStr">
        <is>
          <t>Sertaş Turizm Yatırım Ve İşl. A.Ş.(TL)</t>
        </is>
      </c>
      <c r="C1916" s="40" t="inlineStr">
        <is>
          <t>TRY</t>
        </is>
      </c>
      <c r="D1916" s="40" t="inlineStr">
        <is>
          <t>ROYAL ADAM EVE</t>
        </is>
      </c>
      <c r="E1916" s="38" t="n">
        <v>0</v>
      </c>
      <c r="F1916" s="38" t="n">
        <v>71432998.01000001</v>
      </c>
      <c r="G1916" s="38" t="n">
        <v>-71432998.01000001</v>
      </c>
      <c r="H1916" s="40" t="inlineStr">
        <is>
          <t>Alacak</t>
        </is>
      </c>
      <c r="I1916" s="38" t="n">
        <v>0</v>
      </c>
      <c r="J1916" s="38" t="n">
        <v>71432998.01000001</v>
      </c>
      <c r="K1916" s="38" t="n">
        <v>-71432998.01000001</v>
      </c>
      <c r="L1916" s="40" t="inlineStr">
        <is>
          <t>Alacak</t>
        </is>
      </c>
    </row>
    <row r="1917" s="34">
      <c r="A1917" s="40" t="inlineStr">
        <is>
          <t>336.01.01.0005</t>
        </is>
      </c>
      <c r="B1917" s="40" t="inlineStr">
        <is>
          <t>Tg Otelc.İnş.Ve Tur.İşl. A.Ş./ TL</t>
        </is>
      </c>
      <c r="C1917" s="40" t="inlineStr">
        <is>
          <t>TRY</t>
        </is>
      </c>
      <c r="D1917" s="40" t="inlineStr">
        <is>
          <t>GİTAŞ MERKEZ</t>
        </is>
      </c>
      <c r="E1917" s="38" t="n">
        <v>0</v>
      </c>
      <c r="F1917" s="38" t="n">
        <v>1422185.16</v>
      </c>
      <c r="G1917" s="38" t="n">
        <v>-1422185.16</v>
      </c>
      <c r="H1917" s="40" t="inlineStr">
        <is>
          <t>Alacak</t>
        </is>
      </c>
      <c r="I1917" s="38" t="n">
        <v>0</v>
      </c>
      <c r="J1917" s="38" t="n">
        <v>330593.11</v>
      </c>
      <c r="K1917" s="38" t="n">
        <v>-330593.11</v>
      </c>
      <c r="L1917" s="40" t="inlineStr">
        <is>
          <t>Alacak</t>
        </is>
      </c>
    </row>
    <row r="1918" s="34">
      <c r="A1918" s="40" t="inlineStr">
        <is>
          <t>336.01.01.0005</t>
        </is>
      </c>
      <c r="B1918" s="40" t="inlineStr">
        <is>
          <t>Tg Otelc.İnş.Ve Tur.İşl. A.Ş./ TL</t>
        </is>
      </c>
      <c r="C1918" s="40" t="inlineStr">
        <is>
          <t>TRY</t>
        </is>
      </c>
      <c r="D1918" s="40" t="inlineStr">
        <is>
          <t>ROYAL ADAM EVE</t>
        </is>
      </c>
      <c r="E1918" s="38" t="n">
        <v>0</v>
      </c>
      <c r="F1918" s="38" t="n">
        <v>390738.2</v>
      </c>
      <c r="G1918" s="38" t="n">
        <v>-390738.2</v>
      </c>
      <c r="H1918" s="40" t="inlineStr">
        <is>
          <t>Alacak</t>
        </is>
      </c>
      <c r="I1918" s="38" t="n">
        <v>0</v>
      </c>
      <c r="J1918" s="38" t="n">
        <v>390738.2</v>
      </c>
      <c r="K1918" s="38" t="n">
        <v>-390738.2</v>
      </c>
      <c r="L1918" s="40" t="inlineStr">
        <is>
          <t>Alacak</t>
        </is>
      </c>
    </row>
    <row r="1919" s="34">
      <c r="A1919" s="40" t="inlineStr">
        <is>
          <t>336.02.01</t>
        </is>
      </c>
      <c r="B1919" s="40" t="inlineStr">
        <is>
          <t>DİĞER ÇEŞİTLİ BORÇLAR HESABI</t>
        </is>
      </c>
      <c r="C1919" s="40" t="inlineStr">
        <is>
          <t>TRY</t>
        </is>
      </c>
      <c r="E1919" s="38" t="n">
        <v>1004835.23</v>
      </c>
      <c r="F1919" s="38" t="n">
        <v>221078641.65</v>
      </c>
      <c r="G1919" s="38" t="n">
        <v>-220073806.42</v>
      </c>
      <c r="I1919" s="38" t="n">
        <v>18955.51</v>
      </c>
      <c r="J1919" s="38" t="n">
        <v>4153609.75</v>
      </c>
      <c r="K1919" s="38" t="n">
        <v>-4134654.24</v>
      </c>
    </row>
    <row r="1920" s="34">
      <c r="A1920" s="40" t="inlineStr">
        <is>
          <t>336.02.01.0001</t>
        </is>
      </c>
      <c r="B1920" s="40" t="inlineStr">
        <is>
          <t>Gitaş Turizm Tic.İnş.Taah.Ve San.A.Ş.(Euro)</t>
        </is>
      </c>
      <c r="C1920" s="40" t="inlineStr">
        <is>
          <t>EUR</t>
        </is>
      </c>
      <c r="D1920" s="40" t="inlineStr">
        <is>
          <t>ROYAL SEGINUS</t>
        </is>
      </c>
      <c r="E1920" s="38" t="n">
        <v>0</v>
      </c>
      <c r="F1920" s="38" t="n">
        <v>4835.23</v>
      </c>
      <c r="G1920" s="38" t="n">
        <v>-4835.23</v>
      </c>
      <c r="H1920" s="40" t="inlineStr">
        <is>
          <t>Alacak</t>
        </is>
      </c>
      <c r="I1920" s="38" t="n">
        <v>0</v>
      </c>
      <c r="J1920" s="38" t="n">
        <v>91</v>
      </c>
      <c r="K1920" s="38" t="n">
        <v>-91</v>
      </c>
      <c r="L1920" s="40" t="inlineStr">
        <is>
          <t>Alacak</t>
        </is>
      </c>
    </row>
    <row r="1921" s="34">
      <c r="A1921" s="40" t="inlineStr">
        <is>
          <t>336.02.01.0001</t>
        </is>
      </c>
      <c r="B1921" s="40" t="inlineStr">
        <is>
          <t>Gitaş Turizm Tic.İnş.Taah.Ve San.A.Ş.(Euro)</t>
        </is>
      </c>
      <c r="C1921" s="40" t="inlineStr">
        <is>
          <t>EUR</t>
        </is>
      </c>
      <c r="D1921" s="40" t="inlineStr">
        <is>
          <t>SERTAŞ MERKEZ</t>
        </is>
      </c>
      <c r="E1921" s="38" t="n">
        <v>1000000</v>
      </c>
      <c r="F1921" s="38" t="n">
        <v>142611281.26</v>
      </c>
      <c r="G1921" s="38" t="n">
        <v>-141611281.26</v>
      </c>
      <c r="H1921" s="40" t="inlineStr">
        <is>
          <t>Alacak</t>
        </is>
      </c>
      <c r="I1921" s="38" t="n">
        <v>18864.51</v>
      </c>
      <c r="J1921" s="38" t="n">
        <v>2680008.16</v>
      </c>
      <c r="K1921" s="38" t="n">
        <v>-2661143.65</v>
      </c>
      <c r="L1921" s="40" t="inlineStr">
        <is>
          <t>Alacak</t>
        </is>
      </c>
    </row>
    <row r="1922" s="34">
      <c r="A1922" s="40" t="inlineStr">
        <is>
          <t>336.02.01.0002</t>
        </is>
      </c>
      <c r="B1922" s="40" t="inlineStr">
        <is>
          <t>Sertaş Turizm Yatırım Ve İşl. A.Ş.(Euro)</t>
        </is>
      </c>
      <c r="C1922" s="40" t="inlineStr">
        <is>
          <t>EUR</t>
        </is>
      </c>
      <c r="D1922" s="40" t="inlineStr">
        <is>
          <t>GİTAŞ MERKEZ</t>
        </is>
      </c>
      <c r="E1922" s="38" t="n">
        <v>0</v>
      </c>
      <c r="F1922" s="38" t="n">
        <v>78430000</v>
      </c>
      <c r="G1922" s="38" t="n">
        <v>-78430000</v>
      </c>
      <c r="H1922" s="40" t="inlineStr">
        <is>
          <t>Alacak</t>
        </is>
      </c>
      <c r="I1922" s="38" t="n">
        <v>0</v>
      </c>
      <c r="J1922" s="38" t="n">
        <v>1472898.32</v>
      </c>
      <c r="K1922" s="38" t="n">
        <v>-1472898.32</v>
      </c>
      <c r="L1922" s="40" t="inlineStr">
        <is>
          <t>Alacak</t>
        </is>
      </c>
    </row>
    <row r="1923" s="34">
      <c r="A1923" s="40" t="inlineStr">
        <is>
          <t>336.02.01.0002</t>
        </is>
      </c>
      <c r="B1923" s="40" t="inlineStr">
        <is>
          <t>Sertaş Turizm Yatırım Ve İşl. A.Ş.(Euro)</t>
        </is>
      </c>
      <c r="C1923" s="40" t="inlineStr">
        <is>
          <t>EUR</t>
        </is>
      </c>
      <c r="D1923" s="40" t="inlineStr">
        <is>
          <t>ROYAL ALHAMBRA</t>
        </is>
      </c>
      <c r="E1923" s="38" t="n">
        <v>427.8</v>
      </c>
      <c r="F1923" s="38" t="n">
        <v>0</v>
      </c>
      <c r="G1923" s="38" t="n">
        <v>427.8</v>
      </c>
      <c r="H1923" s="40" t="inlineStr">
        <is>
          <t>Borç</t>
        </is>
      </c>
      <c r="I1923" s="38" t="n">
        <v>8.029999999999999</v>
      </c>
      <c r="J1923" s="38" t="n">
        <v>0</v>
      </c>
      <c r="K1923" s="38" t="n">
        <v>8.029999999999999</v>
      </c>
      <c r="L1923" s="40" t="inlineStr">
        <is>
          <t>Borç</t>
        </is>
      </c>
    </row>
    <row r="1924" s="34">
      <c r="A1924" s="40" t="inlineStr">
        <is>
          <t>336.02.01.0002</t>
        </is>
      </c>
      <c r="B1924" s="40" t="inlineStr">
        <is>
          <t>Sertaş Turizm Yatırım Ve İşl. A.Ş.(Euro)</t>
        </is>
      </c>
      <c r="C1924" s="40" t="inlineStr">
        <is>
          <t>EUR</t>
        </is>
      </c>
      <c r="D1924" s="40" t="inlineStr">
        <is>
          <t>ROYAL DRAGON</t>
        </is>
      </c>
      <c r="E1924" s="38" t="n">
        <v>4407.43</v>
      </c>
      <c r="F1924" s="38" t="n">
        <v>32525.16</v>
      </c>
      <c r="G1924" s="38" t="n">
        <v>-28117.73</v>
      </c>
      <c r="H1924" s="40" t="inlineStr">
        <is>
          <t>Alacak</t>
        </is>
      </c>
      <c r="I1924" s="38" t="n">
        <v>82.97</v>
      </c>
      <c r="J1924" s="38" t="n">
        <v>612.27</v>
      </c>
      <c r="K1924" s="38" t="n">
        <v>-529.3</v>
      </c>
      <c r="L1924" s="40" t="inlineStr">
        <is>
          <t>Alacak</t>
        </is>
      </c>
    </row>
    <row r="1925" s="34">
      <c r="A1925" s="40" t="inlineStr">
        <is>
          <t>34</t>
        </is>
      </c>
      <c r="B1925" s="40" t="inlineStr">
        <is>
          <t>ALINAN AVANSLAR</t>
        </is>
      </c>
      <c r="C1925" s="40" t="inlineStr">
        <is>
          <t>TRY</t>
        </is>
      </c>
      <c r="E1925" s="38" t="n">
        <v>249827745.44</v>
      </c>
      <c r="F1925" s="38" t="n">
        <v>455890325.53</v>
      </c>
      <c r="G1925" s="38" t="n">
        <v>-206062580.09</v>
      </c>
      <c r="I1925" s="38" t="n">
        <v>12655563.88</v>
      </c>
      <c r="J1925" s="38" t="n">
        <v>48854961.2</v>
      </c>
      <c r="K1925" s="38" t="n">
        <v>-36199397.32</v>
      </c>
    </row>
    <row r="1926" s="34">
      <c r="A1926" s="40" t="inlineStr">
        <is>
          <t>340</t>
        </is>
      </c>
      <c r="B1926" s="40" t="inlineStr">
        <is>
          <t>ALINAN AVANSLAR</t>
        </is>
      </c>
      <c r="C1926" s="40" t="inlineStr">
        <is>
          <t>TRY</t>
        </is>
      </c>
      <c r="E1926" s="38" t="n">
        <v>249827745.44</v>
      </c>
      <c r="F1926" s="38" t="n">
        <v>455890325.53</v>
      </c>
      <c r="G1926" s="38" t="n">
        <v>-206062580.09</v>
      </c>
      <c r="I1926" s="38" t="n">
        <v>12655563.88</v>
      </c>
      <c r="J1926" s="38" t="n">
        <v>48854961.2</v>
      </c>
      <c r="K1926" s="38" t="n">
        <v>-36199397.32</v>
      </c>
    </row>
    <row r="1927" s="34">
      <c r="A1927" s="40" t="inlineStr">
        <is>
          <t>340.01</t>
        </is>
      </c>
      <c r="B1927" s="40" t="inlineStr">
        <is>
          <t>ALINAN AVANSLAR</t>
        </is>
      </c>
      <c r="C1927" s="40" t="inlineStr">
        <is>
          <t>TRY</t>
        </is>
      </c>
      <c r="E1927" s="38" t="n">
        <v>249827745.44</v>
      </c>
      <c r="F1927" s="38" t="n">
        <v>455890325.53</v>
      </c>
      <c r="G1927" s="38" t="n">
        <v>-206062580.09</v>
      </c>
      <c r="I1927" s="38" t="n">
        <v>12655563.88</v>
      </c>
      <c r="J1927" s="38" t="n">
        <v>48854961.2</v>
      </c>
      <c r="K1927" s="38" t="n">
        <v>-36199397.32</v>
      </c>
    </row>
    <row r="1928" s="34">
      <c r="A1928" s="40" t="inlineStr">
        <is>
          <t>340.01.01</t>
        </is>
      </c>
      <c r="B1928" s="40" t="inlineStr">
        <is>
          <t>ALINAN AVANSLAR - ACENTE</t>
        </is>
      </c>
      <c r="C1928" s="40" t="inlineStr">
        <is>
          <t>TRY</t>
        </is>
      </c>
      <c r="E1928" s="38" t="n">
        <v>248164568.75</v>
      </c>
      <c r="F1928" s="38" t="n">
        <v>435705497.23</v>
      </c>
      <c r="G1928" s="38" t="n">
        <v>-187540928.48</v>
      </c>
      <c r="I1928" s="38" t="n">
        <v>12270519.29</v>
      </c>
      <c r="J1928" s="38" t="n">
        <v>46905826.95</v>
      </c>
      <c r="K1928" s="38" t="n">
        <v>-34635307.66</v>
      </c>
    </row>
    <row r="1929" s="34">
      <c r="A1929" s="40" t="inlineStr">
        <is>
          <t>340.01.01.A001</t>
        </is>
      </c>
      <c r="B1929" s="40" t="inlineStr">
        <is>
          <t>ANB SEYAHAT ACENT.TAŞ.EML.GIDA MAD.SAN.VE TİC.LTD.ŞTİ.</t>
        </is>
      </c>
      <c r="C1929" s="40" t="inlineStr">
        <is>
          <t>EUR</t>
        </is>
      </c>
      <c r="D1929" s="40" t="inlineStr">
        <is>
          <t>SERTAŞ MERKEZ</t>
        </is>
      </c>
      <c r="E1929" s="38" t="n">
        <v>340241.49</v>
      </c>
      <c r="F1929" s="38" t="n">
        <v>764580.25</v>
      </c>
      <c r="G1929" s="38" t="n">
        <v>-424338.76</v>
      </c>
      <c r="H1929" s="40" t="inlineStr">
        <is>
          <t>Alacak</t>
        </is>
      </c>
      <c r="I1929" s="38" t="n">
        <v>6411</v>
      </c>
      <c r="J1929" s="38" t="n">
        <v>14454</v>
      </c>
      <c r="K1929" s="38" t="n">
        <v>-8043</v>
      </c>
      <c r="L1929" s="40" t="inlineStr">
        <is>
          <t>Alacak</t>
        </is>
      </c>
    </row>
    <row r="1930" s="34">
      <c r="A1930" s="40" t="inlineStr">
        <is>
          <t>340.01.01.A005</t>
        </is>
      </c>
      <c r="B1930" s="40" t="inlineStr">
        <is>
          <t>Aktiv Turizm Seyahat ve Kargo Taş.Tic.Ltd.Şti.</t>
        </is>
      </c>
      <c r="C1930" s="40" t="inlineStr">
        <is>
          <t>EUR</t>
        </is>
      </c>
      <c r="D1930" s="40" t="inlineStr">
        <is>
          <t>SERTAŞ MERKEZ</t>
        </is>
      </c>
      <c r="E1930" s="38" t="n">
        <v>0</v>
      </c>
      <c r="F1930" s="38" t="n">
        <v>5311430</v>
      </c>
      <c r="G1930" s="38" t="n">
        <v>-5311430</v>
      </c>
      <c r="H1930" s="40" t="inlineStr">
        <is>
          <t>Alacak</t>
        </is>
      </c>
      <c r="I1930" s="38" t="n">
        <v>0</v>
      </c>
      <c r="J1930" s="38" t="n">
        <v>100000</v>
      </c>
      <c r="K1930" s="38" t="n">
        <v>-100000</v>
      </c>
      <c r="L1930" s="40" t="inlineStr">
        <is>
          <t>Alacak</t>
        </is>
      </c>
    </row>
    <row r="1931" s="34">
      <c r="A1931" s="40" t="inlineStr">
        <is>
          <t>340.01.01.A007</t>
        </is>
      </c>
      <c r="B1931" s="40" t="inlineStr">
        <is>
          <t>Aska Konaklama Tesisleri ve Turizm Yatırımları A.ş.</t>
        </is>
      </c>
      <c r="C1931" s="40" t="inlineStr">
        <is>
          <t>EUR</t>
        </is>
      </c>
      <c r="D1931" s="40" t="inlineStr">
        <is>
          <t>SERTAŞ MERKEZ</t>
        </is>
      </c>
      <c r="E1931" s="38" t="n">
        <v>0</v>
      </c>
      <c r="F1931" s="38" t="n">
        <v>538901.84</v>
      </c>
      <c r="G1931" s="38" t="n">
        <v>-538901.84</v>
      </c>
      <c r="H1931" s="40" t="inlineStr">
        <is>
          <t>Alacak</t>
        </is>
      </c>
      <c r="I1931" s="38" t="n">
        <v>0</v>
      </c>
      <c r="J1931" s="38" t="n">
        <v>10212</v>
      </c>
      <c r="K1931" s="38" t="n">
        <v>-10212</v>
      </c>
      <c r="L1931" s="40" t="inlineStr">
        <is>
          <t>Alacak</t>
        </is>
      </c>
    </row>
    <row r="1932" s="34">
      <c r="A1932" s="40" t="inlineStr">
        <is>
          <t>340.01.01.A008</t>
        </is>
      </c>
      <c r="B1932" s="40" t="inlineStr">
        <is>
          <t>Adn İstanbul Turizm Anonim Şirketi</t>
        </is>
      </c>
      <c r="C1932" s="40" t="inlineStr">
        <is>
          <t>EUR</t>
        </is>
      </c>
      <c r="D1932" s="40" t="inlineStr">
        <is>
          <t>ROYAL ADAM EVE</t>
        </is>
      </c>
      <c r="E1932" s="38" t="n">
        <v>366320.56</v>
      </c>
      <c r="F1932" s="38" t="n">
        <v>366684.71</v>
      </c>
      <c r="G1932" s="38" t="n">
        <v>-364.15</v>
      </c>
      <c r="H1932" s="40" t="inlineStr">
        <is>
          <t>Alacak</t>
        </is>
      </c>
      <c r="I1932" s="38" t="n">
        <v>6872.75</v>
      </c>
      <c r="J1932" s="38" t="n">
        <v>6872.75</v>
      </c>
      <c r="K1932" s="38" t="n">
        <v>0</v>
      </c>
    </row>
    <row r="1933" s="34">
      <c r="A1933" s="40" t="inlineStr">
        <is>
          <t>340.01.01.A009</t>
        </is>
      </c>
      <c r="B1933" s="40" t="inlineStr">
        <is>
          <t>Aviumtours Turizm İth.İhr.Tic.ve San. Ltd.Şti.</t>
        </is>
      </c>
      <c r="C1933" s="40" t="inlineStr">
        <is>
          <t>EUR</t>
        </is>
      </c>
      <c r="D1933" s="40" t="inlineStr">
        <is>
          <t>GİTAŞ MERKEZ</t>
        </is>
      </c>
      <c r="E1933" s="38" t="n">
        <v>409848.01</v>
      </c>
      <c r="F1933" s="38" t="n">
        <v>450599.3</v>
      </c>
      <c r="G1933" s="38" t="n">
        <v>-40751.29</v>
      </c>
      <c r="H1933" s="40" t="inlineStr">
        <is>
          <t>Alacak</t>
        </is>
      </c>
      <c r="I1933" s="38" t="n">
        <v>7698.24</v>
      </c>
      <c r="J1933" s="38" t="n">
        <v>8502.790000000001</v>
      </c>
      <c r="K1933" s="38" t="n">
        <v>-804.55</v>
      </c>
      <c r="L1933" s="40" t="inlineStr">
        <is>
          <t>Alacak</t>
        </is>
      </c>
    </row>
    <row r="1934" s="34">
      <c r="A1934" s="40" t="inlineStr">
        <is>
          <t>340.01.01.A009</t>
        </is>
      </c>
      <c r="B1934" s="40" t="inlineStr">
        <is>
          <t>Aviumtours Turizm İth.İhr.Tic.ve San. Ltd.Şti.</t>
        </is>
      </c>
      <c r="C1934" s="40" t="inlineStr">
        <is>
          <t>EUR</t>
        </is>
      </c>
      <c r="D1934" s="40" t="inlineStr">
        <is>
          <t>ROYAL ADAM EVE</t>
        </is>
      </c>
      <c r="E1934" s="38" t="n">
        <v>871026.87</v>
      </c>
      <c r="F1934" s="38" t="n">
        <v>841421.26</v>
      </c>
      <c r="G1934" s="38" t="n">
        <v>29605.61</v>
      </c>
      <c r="H1934" s="40" t="inlineStr">
        <is>
          <t>Borç</t>
        </is>
      </c>
      <c r="I1934" s="38" t="n">
        <v>16290</v>
      </c>
      <c r="J1934" s="38" t="n">
        <v>15781.5</v>
      </c>
      <c r="K1934" s="38" t="n">
        <v>508.5</v>
      </c>
      <c r="L1934" s="40" t="inlineStr">
        <is>
          <t>Borç</t>
        </is>
      </c>
    </row>
    <row r="1935" s="34">
      <c r="A1935" s="40" t="inlineStr">
        <is>
          <t>340.01.01.A009</t>
        </is>
      </c>
      <c r="B1935" s="40" t="inlineStr">
        <is>
          <t>Aviumtours Turizm İth.İhr.Tic.ve San. Ltd.Şti.</t>
        </is>
      </c>
      <c r="C1935" s="40" t="inlineStr">
        <is>
          <t>EUR</t>
        </is>
      </c>
      <c r="D1935" s="40" t="inlineStr">
        <is>
          <t>SERTAŞ MERKEZ</t>
        </is>
      </c>
      <c r="E1935" s="38" t="n">
        <v>1235194.82</v>
      </c>
      <c r="F1935" s="38" t="n">
        <v>977310.21</v>
      </c>
      <c r="G1935" s="38" t="n">
        <v>257884.61</v>
      </c>
      <c r="H1935" s="40" t="inlineStr">
        <is>
          <t>Borç</t>
        </is>
      </c>
      <c r="I1935" s="38" t="n">
        <v>23170.2</v>
      </c>
      <c r="J1935" s="38" t="n">
        <v>18287.65</v>
      </c>
      <c r="K1935" s="38" t="n">
        <v>4882.55</v>
      </c>
      <c r="L1935" s="40" t="inlineStr">
        <is>
          <t>Borç</t>
        </is>
      </c>
    </row>
    <row r="1936" s="34">
      <c r="A1936" s="40" t="inlineStr">
        <is>
          <t>340.01.01.A010</t>
        </is>
      </c>
      <c r="B1936" s="40" t="inlineStr">
        <is>
          <t>Akay İnş.Turizm Otelcilik ve Yatırım A.Ş.</t>
        </is>
      </c>
      <c r="C1936" s="40" t="inlineStr">
        <is>
          <t>EUR</t>
        </is>
      </c>
      <c r="D1936" s="40" t="inlineStr">
        <is>
          <t>GİTAŞ MERKEZ</t>
        </is>
      </c>
      <c r="E1936" s="38" t="n">
        <v>10624480</v>
      </c>
      <c r="F1936" s="38" t="n">
        <v>0</v>
      </c>
      <c r="G1936" s="38" t="n">
        <v>10624480</v>
      </c>
      <c r="H1936" s="40" t="inlineStr">
        <is>
          <t>Borç</t>
        </is>
      </c>
      <c r="I1936" s="38" t="n">
        <v>200000</v>
      </c>
      <c r="J1936" s="38" t="n">
        <v>0</v>
      </c>
      <c r="K1936" s="38" t="n">
        <v>200000</v>
      </c>
      <c r="L1936" s="40" t="inlineStr">
        <is>
          <t>Borç</t>
        </is>
      </c>
    </row>
    <row r="1937" s="34">
      <c r="A1937" s="40" t="inlineStr">
        <is>
          <t>340.01.01.A010</t>
        </is>
      </c>
      <c r="B1937" s="40" t="inlineStr">
        <is>
          <t>Akay İnş.Turizm Otelcilik ve Yatırım A.Ş.</t>
        </is>
      </c>
      <c r="C1937" s="40" t="inlineStr">
        <is>
          <t>EUR</t>
        </is>
      </c>
      <c r="D1937" s="40" t="inlineStr">
        <is>
          <t>ROYAL ADAM EVE</t>
        </is>
      </c>
      <c r="E1937" s="38" t="n">
        <v>5312240</v>
      </c>
      <c r="F1937" s="38" t="n">
        <v>0</v>
      </c>
      <c r="G1937" s="38" t="n">
        <v>5312240</v>
      </c>
      <c r="H1937" s="40" t="inlineStr">
        <is>
          <t>Borç</t>
        </is>
      </c>
      <c r="I1937" s="38" t="n">
        <v>100000</v>
      </c>
      <c r="J1937" s="38" t="n">
        <v>0</v>
      </c>
      <c r="K1937" s="38" t="n">
        <v>100000</v>
      </c>
      <c r="L1937" s="40" t="inlineStr">
        <is>
          <t>Borç</t>
        </is>
      </c>
    </row>
    <row r="1938" s="34">
      <c r="A1938" s="40" t="inlineStr">
        <is>
          <t>340.01.01.A010</t>
        </is>
      </c>
      <c r="B1938" s="40" t="inlineStr">
        <is>
          <t>Akay İnş.Turizm Otelcilik ve Yatırım A.Ş.</t>
        </is>
      </c>
      <c r="C1938" s="40" t="inlineStr">
        <is>
          <t>EUR</t>
        </is>
      </c>
      <c r="D1938" s="40" t="inlineStr">
        <is>
          <t>ROYAL ALHAMBRA</t>
        </is>
      </c>
      <c r="E1938" s="38" t="n">
        <v>5312240</v>
      </c>
      <c r="F1938" s="38" t="n">
        <v>0</v>
      </c>
      <c r="G1938" s="38" t="n">
        <v>5312240</v>
      </c>
      <c r="H1938" s="40" t="inlineStr">
        <is>
          <t>Borç</t>
        </is>
      </c>
      <c r="I1938" s="38" t="n">
        <v>100000</v>
      </c>
      <c r="J1938" s="38" t="n">
        <v>0</v>
      </c>
      <c r="K1938" s="38" t="n">
        <v>100000</v>
      </c>
      <c r="L1938" s="40" t="inlineStr">
        <is>
          <t>Borç</t>
        </is>
      </c>
    </row>
    <row r="1939" s="34">
      <c r="A1939" s="40" t="inlineStr">
        <is>
          <t>340.01.01.A010</t>
        </is>
      </c>
      <c r="B1939" s="40" t="inlineStr">
        <is>
          <t>Akay İnş.Turizm Otelcilik ve Yatırım A.Ş.</t>
        </is>
      </c>
      <c r="C1939" s="40" t="inlineStr">
        <is>
          <t>EUR</t>
        </is>
      </c>
      <c r="D1939" s="40" t="inlineStr">
        <is>
          <t>SERTAŞ MERKEZ</t>
        </is>
      </c>
      <c r="E1939" s="38" t="n">
        <v>10624480</v>
      </c>
      <c r="F1939" s="38" t="n">
        <v>0</v>
      </c>
      <c r="G1939" s="38" t="n">
        <v>10624480</v>
      </c>
      <c r="H1939" s="40" t="inlineStr">
        <is>
          <t>Borç</t>
        </is>
      </c>
      <c r="I1939" s="38" t="n">
        <v>200000</v>
      </c>
      <c r="J1939" s="38" t="n">
        <v>0</v>
      </c>
      <c r="K1939" s="38" t="n">
        <v>200000</v>
      </c>
      <c r="L1939" s="40" t="inlineStr">
        <is>
          <t>Borç</t>
        </is>
      </c>
    </row>
    <row r="1940" s="34">
      <c r="A1940" s="40" t="inlineStr">
        <is>
          <t>340.01.01.A013</t>
        </is>
      </c>
      <c r="B1940" s="40" t="inlineStr">
        <is>
          <t>Asece Tur.Sey.Taş.Paz.Dan.Rek.Gıda İnş.San.Ltd.Şti</t>
        </is>
      </c>
      <c r="C1940" s="40" t="inlineStr">
        <is>
          <t>EUR</t>
        </is>
      </c>
      <c r="D1940" s="40" t="inlineStr">
        <is>
          <t>SERTAŞ MERKEZ</t>
        </is>
      </c>
      <c r="E1940" s="38" t="n">
        <v>159600.53</v>
      </c>
      <c r="F1940" s="38" t="n">
        <v>0</v>
      </c>
      <c r="G1940" s="38" t="n">
        <v>159600.53</v>
      </c>
      <c r="H1940" s="40" t="inlineStr">
        <is>
          <t>Borç</t>
        </is>
      </c>
      <c r="I1940" s="38" t="n">
        <v>2976.75</v>
      </c>
      <c r="J1940" s="38" t="n">
        <v>0</v>
      </c>
      <c r="K1940" s="38" t="n">
        <v>2976.75</v>
      </c>
      <c r="L1940" s="40" t="inlineStr">
        <is>
          <t>Borç</t>
        </is>
      </c>
    </row>
    <row r="1941" s="34">
      <c r="A1941" s="40" t="inlineStr">
        <is>
          <t>340.01.01.A014</t>
        </is>
      </c>
      <c r="B1941" s="40" t="inlineStr">
        <is>
          <t>Azul Global Turizm Seyehat Acentesi ve Emlak Tic.Ltd.Şti.</t>
        </is>
      </c>
      <c r="C1941" s="40" t="inlineStr">
        <is>
          <t>EUR</t>
        </is>
      </c>
      <c r="D1941" s="40" t="inlineStr">
        <is>
          <t>SERTAŞ MERKEZ</t>
        </is>
      </c>
      <c r="E1941" s="38" t="n">
        <v>436709.21</v>
      </c>
      <c r="F1941" s="38" t="n">
        <v>152546.61</v>
      </c>
      <c r="G1941" s="38" t="n">
        <v>284162.6</v>
      </c>
      <c r="H1941" s="40" t="inlineStr">
        <is>
          <t>Borç</t>
        </is>
      </c>
      <c r="I1941" s="38" t="n">
        <v>8169</v>
      </c>
      <c r="J1941" s="38" t="n">
        <v>2865</v>
      </c>
      <c r="K1941" s="38" t="n">
        <v>5304</v>
      </c>
      <c r="L1941" s="40" t="inlineStr">
        <is>
          <t>Borç</t>
        </is>
      </c>
    </row>
    <row r="1942" s="34">
      <c r="A1942" s="40" t="inlineStr">
        <is>
          <t>340.01.01.A022</t>
        </is>
      </c>
      <c r="B1942" s="40" t="inlineStr">
        <is>
          <t>Alıa Seyahat Turizm Limited Sırketı</t>
        </is>
      </c>
      <c r="C1942" s="40" t="inlineStr">
        <is>
          <t>EUR</t>
        </is>
      </c>
      <c r="D1942" s="40" t="inlineStr">
        <is>
          <t>GİTAŞ MERKEZ</t>
        </is>
      </c>
      <c r="E1942" s="38" t="n">
        <v>32986.45</v>
      </c>
      <c r="F1942" s="38" t="n">
        <v>339777.58</v>
      </c>
      <c r="G1942" s="38" t="n">
        <v>-306791.13</v>
      </c>
      <c r="H1942" s="40" t="inlineStr">
        <is>
          <t>Alacak</t>
        </is>
      </c>
      <c r="I1942" s="38" t="n">
        <v>615</v>
      </c>
      <c r="J1942" s="38" t="n">
        <v>6408</v>
      </c>
      <c r="K1942" s="38" t="n">
        <v>-5793</v>
      </c>
      <c r="L1942" s="40" t="inlineStr">
        <is>
          <t>Alacak</t>
        </is>
      </c>
    </row>
    <row r="1943" s="34">
      <c r="A1943" s="40" t="inlineStr">
        <is>
          <t>340.01.01.A022</t>
        </is>
      </c>
      <c r="B1943" s="40" t="inlineStr">
        <is>
          <t>Alıa Seyahat Turizm Limited Sırketı</t>
        </is>
      </c>
      <c r="C1943" s="40" t="inlineStr">
        <is>
          <t>EUR</t>
        </is>
      </c>
      <c r="D1943" s="40" t="inlineStr">
        <is>
          <t>SERTAŞ MERKEZ</t>
        </is>
      </c>
      <c r="E1943" s="38" t="n">
        <v>0</v>
      </c>
      <c r="F1943" s="38" t="n">
        <v>70675.59</v>
      </c>
      <c r="G1943" s="38" t="n">
        <v>-70675.59</v>
      </c>
      <c r="H1943" s="40" t="inlineStr">
        <is>
          <t>Alacak</t>
        </is>
      </c>
      <c r="I1943" s="38" t="n">
        <v>0</v>
      </c>
      <c r="J1943" s="38" t="n">
        <v>1341.9</v>
      </c>
      <c r="K1943" s="38" t="n">
        <v>-1341.9</v>
      </c>
      <c r="L1943" s="40" t="inlineStr">
        <is>
          <t>Alacak</t>
        </is>
      </c>
    </row>
    <row r="1944" s="34">
      <c r="A1944" s="40" t="inlineStr">
        <is>
          <t>340.01.01.A029</t>
        </is>
      </c>
      <c r="B1944" s="40" t="inlineStr">
        <is>
          <t>Anexservices Turizm Organizasyon Taşımacılık A.Ş.</t>
        </is>
      </c>
      <c r="C1944" s="40" t="inlineStr">
        <is>
          <t>EUR</t>
        </is>
      </c>
      <c r="D1944" s="40" t="inlineStr">
        <is>
          <t>GİTAŞ MERKEZ</t>
        </is>
      </c>
      <c r="E1944" s="38" t="n">
        <v>106244800</v>
      </c>
      <c r="F1944" s="38" t="n">
        <v>0</v>
      </c>
      <c r="G1944" s="38" t="n">
        <v>106244800</v>
      </c>
      <c r="H1944" s="40" t="inlineStr">
        <is>
          <t>Borç</t>
        </is>
      </c>
      <c r="I1944" s="38" t="n">
        <v>2000000</v>
      </c>
      <c r="J1944" s="38" t="n">
        <v>0</v>
      </c>
      <c r="K1944" s="38" t="n">
        <v>2000000</v>
      </c>
      <c r="L1944" s="40" t="inlineStr">
        <is>
          <t>Borç</t>
        </is>
      </c>
    </row>
    <row r="1945" s="34">
      <c r="A1945" s="40" t="inlineStr">
        <is>
          <t>340.01.01.A029</t>
        </is>
      </c>
      <c r="B1945" s="40" t="inlineStr">
        <is>
          <t>Anexservices Turizm Organizasyon Taşımacılık A.Ş.</t>
        </is>
      </c>
      <c r="C1945" s="40" t="inlineStr">
        <is>
          <t>EUR</t>
        </is>
      </c>
      <c r="D1945" s="40" t="inlineStr">
        <is>
          <t>SERTAŞ MERKEZ</t>
        </is>
      </c>
      <c r="E1945" s="38" t="n">
        <v>0</v>
      </c>
      <c r="F1945" s="38" t="n">
        <v>146064325</v>
      </c>
      <c r="G1945" s="38" t="n">
        <v>-146064325</v>
      </c>
      <c r="H1945" s="40" t="inlineStr">
        <is>
          <t>Alacak</t>
        </is>
      </c>
      <c r="I1945" s="38" t="n">
        <v>0</v>
      </c>
      <c r="J1945" s="38" t="n">
        <v>2750000</v>
      </c>
      <c r="K1945" s="38" t="n">
        <v>-2750000</v>
      </c>
      <c r="L1945" s="40" t="inlineStr">
        <is>
          <t>Alacak</t>
        </is>
      </c>
    </row>
    <row r="1946" s="34">
      <c r="A1946" s="40" t="inlineStr">
        <is>
          <t>340.01.01.A032</t>
        </is>
      </c>
      <c r="B1946" s="40" t="inlineStr">
        <is>
          <t>Aquasun Turizm İşl.Taş.İth.İhr.</t>
        </is>
      </c>
      <c r="C1946" s="40" t="inlineStr">
        <is>
          <t>EUR</t>
        </is>
      </c>
      <c r="D1946" s="40" t="inlineStr">
        <is>
          <t>GİTAŞ MERKEZ</t>
        </is>
      </c>
      <c r="E1946" s="38" t="n">
        <v>0</v>
      </c>
      <c r="F1946" s="38" t="n">
        <v>90023.38</v>
      </c>
      <c r="G1946" s="38" t="n">
        <v>-90023.38</v>
      </c>
      <c r="H1946" s="40" t="inlineStr">
        <is>
          <t>Alacak</t>
        </is>
      </c>
      <c r="I1946" s="38" t="n">
        <v>0</v>
      </c>
      <c r="J1946" s="38" t="n">
        <v>1707.65</v>
      </c>
      <c r="K1946" s="38" t="n">
        <v>-1707.65</v>
      </c>
      <c r="L1946" s="40" t="inlineStr">
        <is>
          <t>Alacak</t>
        </is>
      </c>
    </row>
    <row r="1947" s="34">
      <c r="A1947" s="40" t="inlineStr">
        <is>
          <t>340.01.01.A032</t>
        </is>
      </c>
      <c r="B1947" s="40" t="inlineStr">
        <is>
          <t>Aquasun Turizm İşl.Taş.İth.İhr.</t>
        </is>
      </c>
      <c r="C1947" s="40" t="inlineStr">
        <is>
          <t>EUR</t>
        </is>
      </c>
      <c r="D1947" s="40" t="inlineStr">
        <is>
          <t>SERTAŞ MERKEZ</t>
        </is>
      </c>
      <c r="E1947" s="38" t="n">
        <v>0</v>
      </c>
      <c r="F1947" s="38" t="n">
        <v>48268.33</v>
      </c>
      <c r="G1947" s="38" t="n">
        <v>-48268.33</v>
      </c>
      <c r="H1947" s="40" t="inlineStr">
        <is>
          <t>Alacak</t>
        </is>
      </c>
      <c r="I1947" s="38" t="n">
        <v>0</v>
      </c>
      <c r="J1947" s="38" t="n">
        <v>915.6</v>
      </c>
      <c r="K1947" s="38" t="n">
        <v>-915.6</v>
      </c>
      <c r="L1947" s="40" t="inlineStr">
        <is>
          <t>Alacak</t>
        </is>
      </c>
    </row>
    <row r="1948" s="34">
      <c r="A1948" s="40" t="inlineStr">
        <is>
          <t>340.01.01.A036</t>
        </is>
      </c>
      <c r="B1948" s="40" t="inlineStr">
        <is>
          <t>ARESS TURİZM TEDARİK ARAÇ KİRALAMA İNŞAAT DANIŞMANLIK EĞİTİM İTHALAT İHRACAT TİCARET LİMİTED ŞİRKETİ</t>
        </is>
      </c>
      <c r="C1948" s="40" t="inlineStr">
        <is>
          <t>TRY</t>
        </is>
      </c>
      <c r="D1948" s="40" t="inlineStr">
        <is>
          <t>ROYAL ADAM EVE</t>
        </is>
      </c>
      <c r="E1948" s="38" t="n">
        <v>32224</v>
      </c>
      <c r="F1948" s="38" t="n">
        <v>32224</v>
      </c>
      <c r="G1948" s="38" t="n">
        <v>0</v>
      </c>
      <c r="I1948" s="38" t="n">
        <v>32224</v>
      </c>
      <c r="J1948" s="38" t="n">
        <v>32224</v>
      </c>
      <c r="K1948" s="38" t="n">
        <v>0</v>
      </c>
    </row>
    <row r="1949" s="34">
      <c r="A1949" s="40" t="inlineStr">
        <is>
          <t>340.01.01.A049</t>
        </is>
      </c>
      <c r="B1949" s="40" t="inlineStr">
        <is>
          <t>Ayax Turizm Org. Oto Kir.Taş.Eml.İnş. Tic.Ltd.Şti.</t>
        </is>
      </c>
      <c r="C1949" s="40" t="inlineStr">
        <is>
          <t>EUR</t>
        </is>
      </c>
      <c r="D1949" s="40" t="inlineStr">
        <is>
          <t>GİTAŞ MERKEZ</t>
        </is>
      </c>
      <c r="E1949" s="38" t="n">
        <v>0</v>
      </c>
      <c r="F1949" s="38" t="n">
        <v>146571.54</v>
      </c>
      <c r="G1949" s="38" t="n">
        <v>-146571.54</v>
      </c>
      <c r="H1949" s="40" t="inlineStr">
        <is>
          <t>Alacak</t>
        </is>
      </c>
      <c r="I1949" s="38" t="n">
        <v>0</v>
      </c>
      <c r="J1949" s="38" t="n">
        <v>2765</v>
      </c>
      <c r="K1949" s="38" t="n">
        <v>-2765</v>
      </c>
      <c r="L1949" s="40" t="inlineStr">
        <is>
          <t>Alacak</t>
        </is>
      </c>
    </row>
    <row r="1950" s="34">
      <c r="A1950" s="40" t="inlineStr">
        <is>
          <t>340.01.01.A049</t>
        </is>
      </c>
      <c r="B1950" s="40" t="inlineStr">
        <is>
          <t>Ayax Turizm Org. Oto Kir.Taş.Eml.İnş. Tic.Ltd.Şti.</t>
        </is>
      </c>
      <c r="C1950" s="40" t="inlineStr">
        <is>
          <t>EUR</t>
        </is>
      </c>
      <c r="D1950" s="40" t="inlineStr">
        <is>
          <t>ROYAL ADAM EVE</t>
        </is>
      </c>
      <c r="E1950" s="38" t="n">
        <v>0</v>
      </c>
      <c r="F1950" s="38" t="n">
        <v>87332.69</v>
      </c>
      <c r="G1950" s="38" t="n">
        <v>-87332.69</v>
      </c>
      <c r="H1950" s="40" t="inlineStr">
        <is>
          <t>Alacak</t>
        </is>
      </c>
      <c r="I1950" s="38" t="n">
        <v>0</v>
      </c>
      <c r="J1950" s="38" t="n">
        <v>1650</v>
      </c>
      <c r="K1950" s="38" t="n">
        <v>-1650</v>
      </c>
      <c r="L1950" s="40" t="inlineStr">
        <is>
          <t>Alacak</t>
        </is>
      </c>
    </row>
    <row r="1951" s="34">
      <c r="A1951" s="40" t="inlineStr">
        <is>
          <t>340.01.01.A049</t>
        </is>
      </c>
      <c r="B1951" s="40" t="inlineStr">
        <is>
          <t>Ayax Turizm Org. Oto Kir.Taş.Eml.İnş. Tic.Ltd.Şti.</t>
        </is>
      </c>
      <c r="C1951" s="40" t="inlineStr">
        <is>
          <t>EUR</t>
        </is>
      </c>
      <c r="D1951" s="40" t="inlineStr">
        <is>
          <t>SERTAŞ MERKEZ</t>
        </is>
      </c>
      <c r="E1951" s="38" t="n">
        <v>287431.79</v>
      </c>
      <c r="F1951" s="38" t="n">
        <v>874363</v>
      </c>
      <c r="G1951" s="38" t="n">
        <v>-586931.21</v>
      </c>
      <c r="H1951" s="40" t="inlineStr">
        <is>
          <t>Alacak</t>
        </is>
      </c>
      <c r="I1951" s="38" t="n">
        <v>5391.75</v>
      </c>
      <c r="J1951" s="38" t="n">
        <v>16479.75</v>
      </c>
      <c r="K1951" s="38" t="n">
        <v>-11088</v>
      </c>
      <c r="L1951" s="40" t="inlineStr">
        <is>
          <t>Alacak</t>
        </is>
      </c>
    </row>
    <row r="1952" s="34">
      <c r="A1952" s="40" t="inlineStr">
        <is>
          <t>340.01.01.A058</t>
        </is>
      </c>
      <c r="B1952" s="40" t="inlineStr">
        <is>
          <t>Antsey Turizm /Habitat</t>
        </is>
      </c>
      <c r="C1952" s="40" t="inlineStr">
        <is>
          <t>EUR</t>
        </is>
      </c>
      <c r="D1952" s="40" t="inlineStr">
        <is>
          <t>SERTAŞ MERKEZ</t>
        </is>
      </c>
      <c r="E1952" s="38" t="n">
        <v>169586.46</v>
      </c>
      <c r="F1952" s="38" t="n">
        <v>129705.66</v>
      </c>
      <c r="G1952" s="38" t="n">
        <v>39880.8</v>
      </c>
      <c r="H1952" s="40" t="inlineStr">
        <is>
          <t>Borç</t>
        </is>
      </c>
      <c r="I1952" s="38" t="n">
        <v>3163</v>
      </c>
      <c r="J1952" s="38" t="n">
        <v>2451</v>
      </c>
      <c r="K1952" s="38" t="n">
        <v>712</v>
      </c>
      <c r="L1952" s="40" t="inlineStr">
        <is>
          <t>Borç</t>
        </is>
      </c>
    </row>
    <row r="1953" s="34">
      <c r="A1953" s="40" t="inlineStr">
        <is>
          <t>340.01.01.A060</t>
        </is>
      </c>
      <c r="B1953" s="40" t="inlineStr">
        <is>
          <t>Arena Halkla İlişkiler Enerji Turizm Org. Emlak Kuyumculuk İnş. Tekstil San. Ve Tic.Ltd.Şti.</t>
        </is>
      </c>
      <c r="C1953" s="40" t="inlineStr">
        <is>
          <t>EUR</t>
        </is>
      </c>
      <c r="D1953" s="40" t="inlineStr">
        <is>
          <t>ROYAL ADAM EVE</t>
        </is>
      </c>
      <c r="E1953" s="38" t="n">
        <v>52080.21</v>
      </c>
      <c r="F1953" s="38" t="n">
        <v>51944.88</v>
      </c>
      <c r="G1953" s="38" t="n">
        <v>135.33</v>
      </c>
      <c r="H1953" s="40" t="inlineStr">
        <is>
          <t>Borç</t>
        </is>
      </c>
      <c r="I1953" s="38" t="n">
        <v>975</v>
      </c>
      <c r="J1953" s="38" t="n">
        <v>975</v>
      </c>
      <c r="K1953" s="38" t="n">
        <v>0</v>
      </c>
    </row>
    <row r="1954" s="34">
      <c r="A1954" s="40" t="inlineStr">
        <is>
          <t>340.01.01.B003</t>
        </is>
      </c>
      <c r="B1954" s="40" t="inlineStr">
        <is>
          <t>Trıana Tur. İnş. Gıda Oyun Park San.Ve Ltd.Şti.</t>
        </is>
      </c>
      <c r="C1954" s="40" t="inlineStr">
        <is>
          <t>EUR</t>
        </is>
      </c>
      <c r="D1954" s="40" t="inlineStr">
        <is>
          <t>SERTAŞ MERKEZ</t>
        </is>
      </c>
      <c r="E1954" s="38" t="n">
        <v>142832.23</v>
      </c>
      <c r="F1954" s="38" t="n">
        <v>141944.15</v>
      </c>
      <c r="G1954" s="38" t="n">
        <v>888.08</v>
      </c>
      <c r="H1954" s="40" t="inlineStr">
        <is>
          <t>Borç</t>
        </is>
      </c>
      <c r="I1954" s="38" t="n">
        <v>2664</v>
      </c>
      <c r="J1954" s="38" t="n">
        <v>2664</v>
      </c>
      <c r="K1954" s="38" t="n">
        <v>0</v>
      </c>
    </row>
    <row r="1955" s="34">
      <c r="A1955" s="40" t="inlineStr">
        <is>
          <t>340.01.01.B005</t>
        </is>
      </c>
      <c r="B1955" s="40" t="inlineStr">
        <is>
          <t>Breezes Turizm Sey.Taş.Org.Tar.İnş.ve San.Tic.Ltd.Şti.</t>
        </is>
      </c>
      <c r="C1955" s="40" t="inlineStr">
        <is>
          <t>EUR</t>
        </is>
      </c>
      <c r="D1955" s="40" t="inlineStr">
        <is>
          <t>ROYAL ADAM EVE</t>
        </is>
      </c>
      <c r="E1955" s="38" t="n">
        <v>57325.91</v>
      </c>
      <c r="F1955" s="38" t="n">
        <v>0</v>
      </c>
      <c r="G1955" s="38" t="n">
        <v>57325.91</v>
      </c>
      <c r="H1955" s="40" t="inlineStr">
        <is>
          <t>Borç</t>
        </is>
      </c>
      <c r="I1955" s="38" t="n">
        <v>1069.2</v>
      </c>
      <c r="J1955" s="38" t="n">
        <v>0</v>
      </c>
      <c r="K1955" s="38" t="n">
        <v>1069.2</v>
      </c>
      <c r="L1955" s="40" t="inlineStr">
        <is>
          <t>Borç</t>
        </is>
      </c>
    </row>
    <row r="1956" s="34">
      <c r="A1956" s="40" t="inlineStr">
        <is>
          <t>340.01.01.B013</t>
        </is>
      </c>
      <c r="B1956" s="40" t="inlineStr">
        <is>
          <t>Beril Otelcilik Turizm Tic. Ltd.Şti.</t>
        </is>
      </c>
      <c r="C1956" s="40" t="inlineStr">
        <is>
          <t>EUR</t>
        </is>
      </c>
      <c r="D1956" s="40" t="inlineStr">
        <is>
          <t>GİTAŞ MERKEZ</t>
        </is>
      </c>
      <c r="E1956" s="38" t="n">
        <v>0</v>
      </c>
      <c r="F1956" s="38" t="n">
        <v>4247439.78</v>
      </c>
      <c r="G1956" s="38" t="n">
        <v>-4247439.78</v>
      </c>
      <c r="H1956" s="40" t="inlineStr">
        <is>
          <t>Alacak</t>
        </is>
      </c>
      <c r="I1956" s="38" t="n">
        <v>0</v>
      </c>
      <c r="J1956" s="38" t="n">
        <v>79996.56</v>
      </c>
      <c r="K1956" s="38" t="n">
        <v>-79996.56</v>
      </c>
      <c r="L1956" s="40" t="inlineStr">
        <is>
          <t>Alacak</t>
        </is>
      </c>
    </row>
    <row r="1957" s="34">
      <c r="A1957" s="40" t="inlineStr">
        <is>
          <t>340.01.01.B013</t>
        </is>
      </c>
      <c r="B1957" s="40" t="inlineStr">
        <is>
          <t>Beril Otelcilik Turizm Tic. Ltd.Şti.</t>
        </is>
      </c>
      <c r="C1957" s="40" t="inlineStr">
        <is>
          <t>EUR</t>
        </is>
      </c>
      <c r="D1957" s="40" t="inlineStr">
        <is>
          <t>ROYAL ADAM EVE</t>
        </is>
      </c>
      <c r="E1957" s="38" t="n">
        <v>0</v>
      </c>
      <c r="F1957" s="38" t="n">
        <v>1008801.64</v>
      </c>
      <c r="G1957" s="38" t="n">
        <v>-1008801.64</v>
      </c>
      <c r="H1957" s="40" t="inlineStr">
        <is>
          <t>Alacak</t>
        </is>
      </c>
      <c r="I1957" s="38" t="n">
        <v>0</v>
      </c>
      <c r="J1957" s="38" t="n">
        <v>18998.28</v>
      </c>
      <c r="K1957" s="38" t="n">
        <v>-18998.28</v>
      </c>
      <c r="L1957" s="40" t="inlineStr">
        <is>
          <t>Alacak</t>
        </is>
      </c>
    </row>
    <row r="1958" s="34">
      <c r="A1958" s="40" t="inlineStr">
        <is>
          <t>340.01.01.B013</t>
        </is>
      </c>
      <c r="B1958" s="40" t="inlineStr">
        <is>
          <t>Beril Otelcilik Turizm Tic. Ltd.Şti.</t>
        </is>
      </c>
      <c r="C1958" s="40" t="inlineStr">
        <is>
          <t>EUR</t>
        </is>
      </c>
      <c r="D1958" s="40" t="inlineStr">
        <is>
          <t>SERTAŞ MERKEZ</t>
        </is>
      </c>
      <c r="E1958" s="38" t="n">
        <v>0</v>
      </c>
      <c r="F1958" s="38" t="n">
        <v>4831822.28</v>
      </c>
      <c r="G1958" s="38" t="n">
        <v>-4831822.28</v>
      </c>
      <c r="H1958" s="40" t="inlineStr">
        <is>
          <t>Alacak</t>
        </is>
      </c>
      <c r="I1958" s="38" t="n">
        <v>0</v>
      </c>
      <c r="J1958" s="38" t="n">
        <v>90996.56</v>
      </c>
      <c r="K1958" s="38" t="n">
        <v>-90996.56</v>
      </c>
      <c r="L1958" s="40" t="inlineStr">
        <is>
          <t>Alacak</t>
        </is>
      </c>
    </row>
    <row r="1959" s="34">
      <c r="A1959" s="40" t="inlineStr">
        <is>
          <t>340.01.01.B017</t>
        </is>
      </c>
      <c r="B1959" s="40" t="inlineStr">
        <is>
          <t>Bilkon Kongre Org. Tic. Ltd. Şti.</t>
        </is>
      </c>
      <c r="C1959" s="40" t="inlineStr">
        <is>
          <t>EUR</t>
        </is>
      </c>
      <c r="D1959" s="40" t="inlineStr">
        <is>
          <t>ROYAL ADAM EVE</t>
        </is>
      </c>
      <c r="E1959" s="38" t="n">
        <v>409549.82</v>
      </c>
      <c r="F1959" s="38" t="n">
        <v>0</v>
      </c>
      <c r="G1959" s="38" t="n">
        <v>409549.82</v>
      </c>
      <c r="H1959" s="40" t="inlineStr">
        <is>
          <t>Borç</t>
        </is>
      </c>
      <c r="I1959" s="38" t="n">
        <v>7680</v>
      </c>
      <c r="J1959" s="38" t="n">
        <v>0</v>
      </c>
      <c r="K1959" s="38" t="n">
        <v>7680</v>
      </c>
      <c r="L1959" s="40" t="inlineStr">
        <is>
          <t>Borç</t>
        </is>
      </c>
    </row>
    <row r="1960" s="34">
      <c r="A1960" s="40" t="inlineStr">
        <is>
          <t>340.01.01.B022</t>
        </is>
      </c>
      <c r="B1960" s="40" t="inlineStr">
        <is>
          <t>Bluebird Turizm Tic. Ltd. Şti.</t>
        </is>
      </c>
      <c r="C1960" s="40" t="inlineStr">
        <is>
          <t>EUR</t>
        </is>
      </c>
      <c r="D1960" s="40" t="inlineStr">
        <is>
          <t>GİTAŞ MERKEZ</t>
        </is>
      </c>
      <c r="E1960" s="38" t="n">
        <v>318622.02</v>
      </c>
      <c r="F1960" s="38" t="n">
        <v>49154.15</v>
      </c>
      <c r="G1960" s="38" t="n">
        <v>269467.87</v>
      </c>
      <c r="H1960" s="40" t="inlineStr">
        <is>
          <t>Borç</t>
        </is>
      </c>
      <c r="I1960" s="38" t="n">
        <v>5942.7</v>
      </c>
      <c r="J1960" s="38" t="n">
        <v>920.7</v>
      </c>
      <c r="K1960" s="38" t="n">
        <v>5022</v>
      </c>
      <c r="L1960" s="40" t="inlineStr">
        <is>
          <t>Borç</t>
        </is>
      </c>
    </row>
    <row r="1961" s="34">
      <c r="A1961" s="40" t="inlineStr">
        <is>
          <t>340.01.01.B022</t>
        </is>
      </c>
      <c r="B1961" s="40" t="inlineStr">
        <is>
          <t>Bluebird Turizm Tic. Ltd. Şti.</t>
        </is>
      </c>
      <c r="C1961" s="40" t="inlineStr">
        <is>
          <t>EUR</t>
        </is>
      </c>
      <c r="D1961" s="40" t="inlineStr">
        <is>
          <t>SERTAŞ MERKEZ</t>
        </is>
      </c>
      <c r="E1961" s="38" t="n">
        <v>0</v>
      </c>
      <c r="F1961" s="38" t="n">
        <v>150025.65</v>
      </c>
      <c r="G1961" s="38" t="n">
        <v>-150025.65</v>
      </c>
      <c r="H1961" s="40" t="inlineStr">
        <is>
          <t>Alacak</t>
        </is>
      </c>
      <c r="I1961" s="38" t="n">
        <v>0</v>
      </c>
      <c r="J1961" s="38" t="n">
        <v>2835</v>
      </c>
      <c r="K1961" s="38" t="n">
        <v>-2835</v>
      </c>
      <c r="L1961" s="40" t="inlineStr">
        <is>
          <t>Alacak</t>
        </is>
      </c>
    </row>
    <row r="1962" s="34">
      <c r="A1962" s="40" t="inlineStr">
        <is>
          <t>340.01.01.C009</t>
        </is>
      </c>
      <c r="B1962" s="40" t="inlineStr">
        <is>
          <t>Club Jolly Turizm Ve Tic.A.Ş.</t>
        </is>
      </c>
      <c r="C1962" s="40" t="inlineStr">
        <is>
          <t>TRY</t>
        </is>
      </c>
      <c r="D1962" s="40" t="inlineStr">
        <is>
          <t>GİTAŞ MERKEZ</t>
        </is>
      </c>
      <c r="E1962" s="38" t="n">
        <v>0</v>
      </c>
      <c r="F1962" s="38" t="n">
        <v>6439267.67</v>
      </c>
      <c r="G1962" s="38" t="n">
        <v>-6439267.67</v>
      </c>
      <c r="H1962" s="40" t="inlineStr">
        <is>
          <t>Alacak</t>
        </is>
      </c>
      <c r="I1962" s="38" t="n">
        <v>0</v>
      </c>
      <c r="J1962" s="38" t="n">
        <v>6439267.67</v>
      </c>
      <c r="K1962" s="38" t="n">
        <v>-6439267.67</v>
      </c>
      <c r="L1962" s="40" t="inlineStr">
        <is>
          <t>Alacak</t>
        </is>
      </c>
    </row>
    <row r="1963" s="34">
      <c r="A1963" s="40" t="inlineStr">
        <is>
          <t>340.01.01.C009</t>
        </is>
      </c>
      <c r="B1963" s="40" t="inlineStr">
        <is>
          <t>Club Jolly Turizm Ve Tic.A.Ş.</t>
        </is>
      </c>
      <c r="C1963" s="40" t="inlineStr">
        <is>
          <t>TRY</t>
        </is>
      </c>
      <c r="D1963" s="40" t="inlineStr">
        <is>
          <t>ROYAL ADAM EVE</t>
        </is>
      </c>
      <c r="E1963" s="38" t="n">
        <v>0</v>
      </c>
      <c r="F1963" s="38" t="n">
        <v>2420749.25</v>
      </c>
      <c r="G1963" s="38" t="n">
        <v>-2420749.25</v>
      </c>
      <c r="H1963" s="40" t="inlineStr">
        <is>
          <t>Alacak</t>
        </is>
      </c>
      <c r="I1963" s="38" t="n">
        <v>0</v>
      </c>
      <c r="J1963" s="38" t="n">
        <v>2420749.25</v>
      </c>
      <c r="K1963" s="38" t="n">
        <v>-2420749.25</v>
      </c>
      <c r="L1963" s="40" t="inlineStr">
        <is>
          <t>Alacak</t>
        </is>
      </c>
    </row>
    <row r="1964" s="34">
      <c r="A1964" s="40" t="inlineStr">
        <is>
          <t>340.01.01.C012</t>
        </is>
      </c>
      <c r="B1964" s="40" t="inlineStr">
        <is>
          <t>Coral Seyahat A.Ş</t>
        </is>
      </c>
      <c r="C1964" s="40" t="inlineStr">
        <is>
          <t>TRY</t>
        </is>
      </c>
      <c r="D1964" s="40" t="inlineStr">
        <is>
          <t>GİTAŞ MERKEZ</t>
        </is>
      </c>
      <c r="E1964" s="38" t="n">
        <v>0</v>
      </c>
      <c r="F1964" s="38" t="n">
        <v>32310</v>
      </c>
      <c r="G1964" s="38" t="n">
        <v>-32310</v>
      </c>
      <c r="H1964" s="40" t="inlineStr">
        <is>
          <t>Alacak</t>
        </is>
      </c>
      <c r="I1964" s="38" t="n">
        <v>0</v>
      </c>
      <c r="J1964" s="38" t="n">
        <v>32310</v>
      </c>
      <c r="K1964" s="38" t="n">
        <v>-32310</v>
      </c>
      <c r="L1964" s="40" t="inlineStr">
        <is>
          <t>Alacak</t>
        </is>
      </c>
    </row>
    <row r="1965" s="34">
      <c r="A1965" s="40" t="inlineStr">
        <is>
          <t>340.01.01.C012</t>
        </is>
      </c>
      <c r="B1965" s="40" t="inlineStr">
        <is>
          <t>Coral Seyahat A.Ş</t>
        </is>
      </c>
      <c r="C1965" s="40" t="inlineStr">
        <is>
          <t>TRY</t>
        </is>
      </c>
      <c r="D1965" s="40" t="inlineStr">
        <is>
          <t>ROYAL ADAM EVE</t>
        </is>
      </c>
      <c r="E1965" s="38" t="n">
        <v>0</v>
      </c>
      <c r="F1965" s="38" t="n">
        <v>28555.25</v>
      </c>
      <c r="G1965" s="38" t="n">
        <v>-28555.25</v>
      </c>
      <c r="H1965" s="40" t="inlineStr">
        <is>
          <t>Alacak</t>
        </is>
      </c>
      <c r="I1965" s="38" t="n">
        <v>0</v>
      </c>
      <c r="J1965" s="38" t="n">
        <v>28555.25</v>
      </c>
      <c r="K1965" s="38" t="n">
        <v>-28555.25</v>
      </c>
      <c r="L1965" s="40" t="inlineStr">
        <is>
          <t>Alacak</t>
        </is>
      </c>
    </row>
    <row r="1966" s="34">
      <c r="A1966" s="40" t="inlineStr">
        <is>
          <t>340.01.01.C016</t>
        </is>
      </c>
      <c r="B1966" s="40" t="inlineStr">
        <is>
          <t>Corendon Internatıonal Travel Bv</t>
        </is>
      </c>
      <c r="C1966" s="40" t="inlineStr">
        <is>
          <t>EUR</t>
        </is>
      </c>
      <c r="D1966" s="40" t="inlineStr">
        <is>
          <t>GİTAŞ MERKEZ</t>
        </is>
      </c>
      <c r="E1966" s="38" t="n">
        <v>0</v>
      </c>
      <c r="F1966" s="38" t="n">
        <v>854955.51</v>
      </c>
      <c r="G1966" s="38" t="n">
        <v>-854955.51</v>
      </c>
      <c r="H1966" s="40" t="inlineStr">
        <is>
          <t>Alacak</t>
        </is>
      </c>
      <c r="I1966" s="38" t="n">
        <v>0</v>
      </c>
      <c r="J1966" s="38" t="n">
        <v>16050</v>
      </c>
      <c r="K1966" s="38" t="n">
        <v>-16050</v>
      </c>
      <c r="L1966" s="40" t="inlineStr">
        <is>
          <t>Alacak</t>
        </is>
      </c>
    </row>
    <row r="1967" s="34">
      <c r="A1967" s="40" t="inlineStr">
        <is>
          <t>340.01.01.C016</t>
        </is>
      </c>
      <c r="B1967" s="40" t="inlineStr">
        <is>
          <t>Corendon Internatıonal Travel Bv</t>
        </is>
      </c>
      <c r="C1967" s="40" t="inlineStr">
        <is>
          <t>EUR</t>
        </is>
      </c>
      <c r="D1967" s="40" t="inlineStr">
        <is>
          <t>ROYAL ADAM EVE</t>
        </is>
      </c>
      <c r="E1967" s="38" t="n">
        <v>0</v>
      </c>
      <c r="F1967" s="38" t="n">
        <v>364811.79</v>
      </c>
      <c r="G1967" s="38" t="n">
        <v>-364811.79</v>
      </c>
      <c r="H1967" s="40" t="inlineStr">
        <is>
          <t>Alacak</t>
        </is>
      </c>
      <c r="I1967" s="38" t="n">
        <v>0</v>
      </c>
      <c r="J1967" s="38" t="n">
        <v>6850</v>
      </c>
      <c r="K1967" s="38" t="n">
        <v>-6850</v>
      </c>
      <c r="L1967" s="40" t="inlineStr">
        <is>
          <t>Alacak</t>
        </is>
      </c>
    </row>
    <row r="1968" s="34">
      <c r="A1968" s="40" t="inlineStr">
        <is>
          <t>340.01.01.C016</t>
        </is>
      </c>
      <c r="B1968" s="40" t="inlineStr">
        <is>
          <t>Corendon Internatıonal Travel Bv</t>
        </is>
      </c>
      <c r="C1968" s="40" t="inlineStr">
        <is>
          <t>EUR</t>
        </is>
      </c>
      <c r="D1968" s="40" t="inlineStr">
        <is>
          <t>SERTAŞ MERKEZ</t>
        </is>
      </c>
      <c r="E1968" s="38" t="n">
        <v>0</v>
      </c>
      <c r="F1968" s="38" t="n">
        <v>3792032.66</v>
      </c>
      <c r="G1968" s="38" t="n">
        <v>-3792032.66</v>
      </c>
      <c r="H1968" s="40" t="inlineStr">
        <is>
          <t>Alacak</t>
        </is>
      </c>
      <c r="I1968" s="38" t="n">
        <v>0</v>
      </c>
      <c r="J1968" s="38" t="n">
        <v>71200</v>
      </c>
      <c r="K1968" s="38" t="n">
        <v>-71200</v>
      </c>
      <c r="L1968" s="40" t="inlineStr">
        <is>
          <t>Alacak</t>
        </is>
      </c>
    </row>
    <row r="1969" s="34">
      <c r="A1969" s="40" t="inlineStr">
        <is>
          <t>340.01.01.D005</t>
        </is>
      </c>
      <c r="B1969" s="40" t="inlineStr">
        <is>
          <t>Deha Turizm Tic.A.Ş.</t>
        </is>
      </c>
      <c r="C1969" s="40" t="inlineStr">
        <is>
          <t>EUR</t>
        </is>
      </c>
      <c r="D1969" s="40" t="inlineStr">
        <is>
          <t>GİTAŞ MERKEZ</t>
        </is>
      </c>
      <c r="E1969" s="38" t="n">
        <v>0</v>
      </c>
      <c r="F1969" s="38" t="n">
        <v>795161.4</v>
      </c>
      <c r="G1969" s="38" t="n">
        <v>-795161.4</v>
      </c>
      <c r="H1969" s="40" t="inlineStr">
        <is>
          <t>Alacak</t>
        </is>
      </c>
      <c r="I1969" s="38" t="n">
        <v>0</v>
      </c>
      <c r="J1969" s="38" t="n">
        <v>15000</v>
      </c>
      <c r="K1969" s="38" t="n">
        <v>-15000</v>
      </c>
      <c r="L1969" s="40" t="inlineStr">
        <is>
          <t>Alacak</t>
        </is>
      </c>
    </row>
    <row r="1970" s="34">
      <c r="A1970" s="40" t="inlineStr">
        <is>
          <t>340.01.01.D005</t>
        </is>
      </c>
      <c r="B1970" s="40" t="inlineStr">
        <is>
          <t>Deha Turizm Tic.A.Ş.</t>
        </is>
      </c>
      <c r="C1970" s="40" t="inlineStr">
        <is>
          <t>EUR</t>
        </is>
      </c>
      <c r="D1970" s="40" t="inlineStr">
        <is>
          <t>SERTAŞ MERKEZ</t>
        </is>
      </c>
      <c r="E1970" s="38" t="n">
        <v>0</v>
      </c>
      <c r="F1970" s="38" t="n">
        <v>744269.98</v>
      </c>
      <c r="G1970" s="38" t="n">
        <v>-744269.98</v>
      </c>
      <c r="H1970" s="40" t="inlineStr">
        <is>
          <t>Alacak</t>
        </is>
      </c>
      <c r="I1970" s="38" t="n">
        <v>0</v>
      </c>
      <c r="J1970" s="38" t="n">
        <v>14024.26</v>
      </c>
      <c r="K1970" s="38" t="n">
        <v>-14024.26</v>
      </c>
      <c r="L1970" s="40" t="inlineStr">
        <is>
          <t>Alacak</t>
        </is>
      </c>
    </row>
    <row r="1971" s="34">
      <c r="A1971" s="40" t="inlineStr">
        <is>
          <t>340.01.01.D006</t>
        </is>
      </c>
      <c r="B1971" s="40" t="inlineStr">
        <is>
          <t>Dossodossi Fuarcılık Anonim Şirketi</t>
        </is>
      </c>
      <c r="C1971" s="40" t="inlineStr">
        <is>
          <t>EUR</t>
        </is>
      </c>
      <c r="D1971" s="40" t="inlineStr">
        <is>
          <t>SERTAŞ MERKEZ</t>
        </is>
      </c>
      <c r="E1971" s="38" t="n">
        <v>0</v>
      </c>
      <c r="F1971" s="38" t="n">
        <v>28484122.9</v>
      </c>
      <c r="G1971" s="38" t="n">
        <v>-28484122.9</v>
      </c>
      <c r="H1971" s="40" t="inlineStr">
        <is>
          <t>Alacak</t>
        </is>
      </c>
      <c r="I1971" s="38" t="n">
        <v>0</v>
      </c>
      <c r="J1971" s="38" t="n">
        <v>533430</v>
      </c>
      <c r="K1971" s="38" t="n">
        <v>-533430</v>
      </c>
      <c r="L1971" s="40" t="inlineStr">
        <is>
          <t>Alacak</t>
        </is>
      </c>
    </row>
    <row r="1972" s="34">
      <c r="A1972" s="40" t="inlineStr">
        <is>
          <t>340.01.01.D008</t>
        </is>
      </c>
      <c r="B1972" s="40" t="inlineStr">
        <is>
          <t>Destınatıon Services Turkey Seyahat A.Ş.</t>
        </is>
      </c>
      <c r="C1972" s="40" t="inlineStr">
        <is>
          <t>EUR</t>
        </is>
      </c>
      <c r="D1972" s="40" t="inlineStr">
        <is>
          <t>SERTAŞ MERKEZ</t>
        </is>
      </c>
      <c r="E1972" s="38" t="n">
        <v>86181.39999999999</v>
      </c>
      <c r="F1972" s="38" t="n">
        <v>86499.28999999999</v>
      </c>
      <c r="G1972" s="38" t="n">
        <v>-317.89</v>
      </c>
      <c r="H1972" s="40" t="inlineStr">
        <is>
          <t>Alacak</t>
        </is>
      </c>
      <c r="I1972" s="38" t="n">
        <v>1628.55</v>
      </c>
      <c r="J1972" s="38" t="n">
        <v>1628.55</v>
      </c>
      <c r="K1972" s="38" t="n">
        <v>0</v>
      </c>
    </row>
    <row r="1973" s="34">
      <c r="A1973" s="40" t="inlineStr">
        <is>
          <t>340.01.01.D010</t>
        </is>
      </c>
      <c r="B1973" s="40" t="inlineStr">
        <is>
          <t>Destination Turistik Hizmetleri Ticaret Ltd.Şti.</t>
        </is>
      </c>
      <c r="C1973" s="40" t="inlineStr">
        <is>
          <t>EUR</t>
        </is>
      </c>
      <c r="D1973" s="40" t="inlineStr">
        <is>
          <t>GİTAŞ MERKEZ</t>
        </is>
      </c>
      <c r="E1973" s="38" t="n">
        <v>0</v>
      </c>
      <c r="F1973" s="38" t="n">
        <v>26670.25</v>
      </c>
      <c r="G1973" s="38" t="n">
        <v>-26670.25</v>
      </c>
      <c r="H1973" s="40" t="inlineStr">
        <is>
          <t>Alacak</t>
        </is>
      </c>
      <c r="I1973" s="38" t="n">
        <v>0</v>
      </c>
      <c r="J1973" s="38" t="n">
        <v>502.12</v>
      </c>
      <c r="K1973" s="38" t="n">
        <v>-502.12</v>
      </c>
      <c r="L1973" s="40" t="inlineStr">
        <is>
          <t>Alacak</t>
        </is>
      </c>
    </row>
    <row r="1974" s="34">
      <c r="A1974" s="40" t="inlineStr">
        <is>
          <t>340.01.01.D010</t>
        </is>
      </c>
      <c r="B1974" s="40" t="inlineStr">
        <is>
          <t>Destination Turistik Hizmetleri Ticaret Ltd.Şti.</t>
        </is>
      </c>
      <c r="C1974" s="40" t="inlineStr">
        <is>
          <t>EUR</t>
        </is>
      </c>
      <c r="D1974" s="40" t="inlineStr">
        <is>
          <t>ROYAL ADAM EVE</t>
        </is>
      </c>
      <c r="E1974" s="38" t="n">
        <v>0</v>
      </c>
      <c r="F1974" s="38" t="n">
        <v>156370.07</v>
      </c>
      <c r="G1974" s="38" t="n">
        <v>-156370.07</v>
      </c>
      <c r="H1974" s="40" t="inlineStr">
        <is>
          <t>Alacak</t>
        </is>
      </c>
      <c r="I1974" s="38" t="n">
        <v>0</v>
      </c>
      <c r="J1974" s="38" t="n">
        <v>2941.05</v>
      </c>
      <c r="K1974" s="38" t="n">
        <v>-2941.05</v>
      </c>
      <c r="L1974" s="40" t="inlineStr">
        <is>
          <t>Alacak</t>
        </is>
      </c>
    </row>
    <row r="1975" s="34">
      <c r="A1975" s="40" t="inlineStr">
        <is>
          <t>340.01.01.D010</t>
        </is>
      </c>
      <c r="B1975" s="40" t="inlineStr">
        <is>
          <t>Destination Turistik Hizmetleri Ticaret Ltd.Şti.</t>
        </is>
      </c>
      <c r="C1975" s="40" t="inlineStr">
        <is>
          <t>EUR</t>
        </is>
      </c>
      <c r="D1975" s="40" t="inlineStr">
        <is>
          <t>SERTAŞ MERKEZ</t>
        </is>
      </c>
      <c r="E1975" s="38" t="n">
        <v>0</v>
      </c>
      <c r="F1975" s="38" t="n">
        <v>375651.06</v>
      </c>
      <c r="G1975" s="38" t="n">
        <v>-375651.06</v>
      </c>
      <c r="H1975" s="40" t="inlineStr">
        <is>
          <t>Alacak</t>
        </is>
      </c>
      <c r="I1975" s="38" t="n">
        <v>0</v>
      </c>
      <c r="J1975" s="38" t="n">
        <v>7072.37</v>
      </c>
      <c r="K1975" s="38" t="n">
        <v>-7072.37</v>
      </c>
      <c r="L1975" s="40" t="inlineStr">
        <is>
          <t>Alacak</t>
        </is>
      </c>
    </row>
    <row r="1976" s="34">
      <c r="A1976" s="40" t="inlineStr">
        <is>
          <t>340.01.01.D014</t>
        </is>
      </c>
      <c r="B1976" s="40" t="inlineStr">
        <is>
          <t>Diana Turizm Otelcilik Tic. Ve San. A.Ş.</t>
        </is>
      </c>
      <c r="C1976" s="40" t="inlineStr">
        <is>
          <t>EUR</t>
        </is>
      </c>
      <c r="D1976" s="40" t="inlineStr">
        <is>
          <t>GİTAŞ MERKEZ</t>
        </is>
      </c>
      <c r="E1976" s="38" t="n">
        <v>594447.67</v>
      </c>
      <c r="F1976" s="38" t="n">
        <v>731800.2</v>
      </c>
      <c r="G1976" s="38" t="n">
        <v>-137352.53</v>
      </c>
      <c r="H1976" s="40" t="inlineStr">
        <is>
          <t>Alacak</t>
        </is>
      </c>
      <c r="I1976" s="38" t="n">
        <v>11131.91</v>
      </c>
      <c r="J1976" s="38" t="n">
        <v>13811.84</v>
      </c>
      <c r="K1976" s="38" t="n">
        <v>-2679.93</v>
      </c>
      <c r="L1976" s="40" t="inlineStr">
        <is>
          <t>Alacak</t>
        </is>
      </c>
    </row>
    <row r="1977" s="34">
      <c r="A1977" s="40" t="inlineStr">
        <is>
          <t>340.01.01.D014</t>
        </is>
      </c>
      <c r="B1977" s="40" t="inlineStr">
        <is>
          <t>Diana Turizm Otelcilik Tic. Ve San. A.Ş.</t>
        </is>
      </c>
      <c r="C1977" s="40" t="inlineStr">
        <is>
          <t>EUR</t>
        </is>
      </c>
      <c r="D1977" s="40" t="inlineStr">
        <is>
          <t>SERTAŞ MERKEZ</t>
        </is>
      </c>
      <c r="E1977" s="38" t="n">
        <v>2060727.8</v>
      </c>
      <c r="F1977" s="38" t="n">
        <v>2012788</v>
      </c>
      <c r="G1977" s="38" t="n">
        <v>47939.8</v>
      </c>
      <c r="H1977" s="40" t="inlineStr">
        <is>
          <t>Borç</t>
        </is>
      </c>
      <c r="I1977" s="38" t="n">
        <v>38642.35</v>
      </c>
      <c r="J1977" s="38" t="n">
        <v>37950.98</v>
      </c>
      <c r="K1977" s="38" t="n">
        <v>691.37</v>
      </c>
      <c r="L1977" s="40" t="inlineStr">
        <is>
          <t>Borç</t>
        </is>
      </c>
    </row>
    <row r="1978" s="34">
      <c r="A1978" s="40" t="inlineStr">
        <is>
          <t>340.01.01.D017</t>
        </is>
      </c>
      <c r="B1978" s="40" t="inlineStr">
        <is>
          <t>Dlt Turizm Ve Ticaret A.Ş.</t>
        </is>
      </c>
      <c r="C1978" s="40" t="inlineStr">
        <is>
          <t>TRY</t>
        </is>
      </c>
      <c r="D1978" s="40" t="inlineStr">
        <is>
          <t>GİTAŞ MERKEZ</t>
        </is>
      </c>
      <c r="E1978" s="38" t="n">
        <v>596544.16</v>
      </c>
      <c r="F1978" s="38" t="n">
        <v>1133828.68</v>
      </c>
      <c r="G1978" s="38" t="n">
        <v>-537284.52</v>
      </c>
      <c r="H1978" s="40" t="inlineStr">
        <is>
          <t>Alacak</t>
        </is>
      </c>
      <c r="I1978" s="38" t="n">
        <v>596544.16</v>
      </c>
      <c r="J1978" s="38" t="n">
        <v>1133828.68</v>
      </c>
      <c r="K1978" s="38" t="n">
        <v>-537284.52</v>
      </c>
      <c r="L1978" s="40" t="inlineStr">
        <is>
          <t>Alacak</t>
        </is>
      </c>
    </row>
    <row r="1979" s="34">
      <c r="A1979" s="40" t="inlineStr">
        <is>
          <t>340.01.01.D017</t>
        </is>
      </c>
      <c r="B1979" s="40" t="inlineStr">
        <is>
          <t>Dlt Turizm Ve Ticaret A.Ş.</t>
        </is>
      </c>
      <c r="C1979" s="40" t="inlineStr">
        <is>
          <t>TRY</t>
        </is>
      </c>
      <c r="D1979" s="40" t="inlineStr">
        <is>
          <t>ROYAL ADAM EVE</t>
        </is>
      </c>
      <c r="E1979" s="38" t="n">
        <v>752025.25</v>
      </c>
      <c r="F1979" s="38" t="n">
        <v>1154768.4</v>
      </c>
      <c r="G1979" s="38" t="n">
        <v>-402743.15</v>
      </c>
      <c r="H1979" s="40" t="inlineStr">
        <is>
          <t>Alacak</t>
        </is>
      </c>
      <c r="I1979" s="38" t="n">
        <v>752025.25</v>
      </c>
      <c r="J1979" s="38" t="n">
        <v>1154768.4</v>
      </c>
      <c r="K1979" s="38" t="n">
        <v>-402743.15</v>
      </c>
      <c r="L1979" s="40" t="inlineStr">
        <is>
          <t>Alacak</t>
        </is>
      </c>
    </row>
    <row r="1980" s="34">
      <c r="A1980" s="40" t="inlineStr">
        <is>
          <t>340.01.01.D017</t>
        </is>
      </c>
      <c r="B1980" s="40" t="inlineStr">
        <is>
          <t>Dlt Turizm Ve Ticaret A.Ş.</t>
        </is>
      </c>
      <c r="C1980" s="40" t="inlineStr">
        <is>
          <t>TRY</t>
        </is>
      </c>
      <c r="D1980" s="40" t="inlineStr">
        <is>
          <t>SERTAŞ MERKEZ</t>
        </is>
      </c>
      <c r="E1980" s="38" t="n">
        <v>924107.52</v>
      </c>
      <c r="F1980" s="38" t="n">
        <v>1740866.9</v>
      </c>
      <c r="G1980" s="38" t="n">
        <v>-816759.38</v>
      </c>
      <c r="H1980" s="40" t="inlineStr">
        <is>
          <t>Alacak</t>
        </is>
      </c>
      <c r="I1980" s="38" t="n">
        <v>924107.52</v>
      </c>
      <c r="J1980" s="38" t="n">
        <v>1740866.9</v>
      </c>
      <c r="K1980" s="38" t="n">
        <v>-816759.38</v>
      </c>
      <c r="L1980" s="40" t="inlineStr">
        <is>
          <t>Alacak</t>
        </is>
      </c>
    </row>
    <row r="1981" s="34">
      <c r="A1981" s="40" t="inlineStr">
        <is>
          <t>340.01.01.D023</t>
        </is>
      </c>
      <c r="B1981" s="40" t="inlineStr">
        <is>
          <t>Dertour Deutschlan Gmbh</t>
        </is>
      </c>
      <c r="C1981" s="40" t="inlineStr">
        <is>
          <t>EUR</t>
        </is>
      </c>
      <c r="D1981" s="40" t="inlineStr">
        <is>
          <t>GİTAŞ MERKEZ</t>
        </is>
      </c>
      <c r="E1981" s="38" t="n">
        <v>9492747.25</v>
      </c>
      <c r="F1981" s="38" t="n">
        <v>11007691.82</v>
      </c>
      <c r="G1981" s="38" t="n">
        <v>-1514944.57</v>
      </c>
      <c r="H1981" s="40" t="inlineStr">
        <is>
          <t>Alacak</t>
        </is>
      </c>
      <c r="I1981" s="38" t="n">
        <v>178599.94</v>
      </c>
      <c r="J1981" s="38" t="n">
        <v>208255</v>
      </c>
      <c r="K1981" s="38" t="n">
        <v>-29655.06</v>
      </c>
      <c r="L1981" s="40" t="inlineStr">
        <is>
          <t>Alacak</t>
        </is>
      </c>
    </row>
    <row r="1982" s="34">
      <c r="A1982" s="40" t="inlineStr">
        <is>
          <t>340.01.01.D023</t>
        </is>
      </c>
      <c r="B1982" s="40" t="inlineStr">
        <is>
          <t>Dertour Deutschlan Gmbh</t>
        </is>
      </c>
      <c r="C1982" s="40" t="inlineStr">
        <is>
          <t>EUR</t>
        </is>
      </c>
      <c r="D1982" s="40" t="inlineStr">
        <is>
          <t>ROYAL ADAM EVE</t>
        </is>
      </c>
      <c r="E1982" s="38" t="n">
        <v>960521.87</v>
      </c>
      <c r="F1982" s="38" t="n">
        <v>960696.8100000001</v>
      </c>
      <c r="G1982" s="38" t="n">
        <v>-174.94</v>
      </c>
      <c r="H1982" s="40" t="inlineStr">
        <is>
          <t>Alacak</t>
        </is>
      </c>
      <c r="I1982" s="38" t="n">
        <v>18163.92</v>
      </c>
      <c r="J1982" s="38" t="n">
        <v>18163.92</v>
      </c>
      <c r="K1982" s="38" t="n">
        <v>0</v>
      </c>
    </row>
    <row r="1983" s="34">
      <c r="A1983" s="40" t="inlineStr">
        <is>
          <t>340.01.01.D023</t>
        </is>
      </c>
      <c r="B1983" s="40" t="inlineStr">
        <is>
          <t>Dertour Deutschlan Gmbh</t>
        </is>
      </c>
      <c r="C1983" s="40" t="inlineStr">
        <is>
          <t>EUR</t>
        </is>
      </c>
      <c r="D1983" s="40" t="inlineStr">
        <is>
          <t>SERTAŞ MERKEZ</t>
        </is>
      </c>
      <c r="E1983" s="38" t="n">
        <v>7200542.5</v>
      </c>
      <c r="F1983" s="38" t="n">
        <v>9089430.060000001</v>
      </c>
      <c r="G1983" s="38" t="n">
        <v>-1888887.56</v>
      </c>
      <c r="H1983" s="40" t="inlineStr">
        <is>
          <t>Alacak</t>
        </is>
      </c>
      <c r="I1983" s="38" t="n">
        <v>135242.94</v>
      </c>
      <c r="J1983" s="38" t="n">
        <v>172079</v>
      </c>
      <c r="K1983" s="38" t="n">
        <v>-36836.06</v>
      </c>
      <c r="L1983" s="40" t="inlineStr">
        <is>
          <t>Alacak</t>
        </is>
      </c>
    </row>
    <row r="1984" s="34">
      <c r="A1984" s="40" t="inlineStr">
        <is>
          <t>340.01.01.E006</t>
        </is>
      </c>
      <c r="B1984" s="40" t="inlineStr">
        <is>
          <t>Eksperto Turizm İnş.İth.İhr.San.Ve Tic.Ltd. Şti.</t>
        </is>
      </c>
      <c r="C1984" s="40" t="inlineStr">
        <is>
          <t>EUR</t>
        </is>
      </c>
      <c r="D1984" s="40" t="inlineStr">
        <is>
          <t>GİTAŞ MERKEZ</t>
        </is>
      </c>
      <c r="E1984" s="38" t="n">
        <v>75579.00999999999</v>
      </c>
      <c r="F1984" s="38" t="n">
        <v>532641.02</v>
      </c>
      <c r="G1984" s="38" t="n">
        <v>-457062.01</v>
      </c>
      <c r="H1984" s="40" t="inlineStr">
        <is>
          <t>Alacak</t>
        </is>
      </c>
      <c r="I1984" s="38" t="n">
        <v>1435</v>
      </c>
      <c r="J1984" s="38" t="n">
        <v>10054.19</v>
      </c>
      <c r="K1984" s="38" t="n">
        <v>-8619.190000000001</v>
      </c>
      <c r="L1984" s="40" t="inlineStr">
        <is>
          <t>Alacak</t>
        </is>
      </c>
    </row>
    <row r="1985" s="34">
      <c r="A1985" s="40" t="inlineStr">
        <is>
          <t>340.01.01.E006</t>
        </is>
      </c>
      <c r="B1985" s="40" t="inlineStr">
        <is>
          <t>Eksperto Turizm İnş.İth.İhr.San.Ve Tic.Ltd. Şti.</t>
        </is>
      </c>
      <c r="C1985" s="40" t="inlineStr">
        <is>
          <t>EUR</t>
        </is>
      </c>
      <c r="D1985" s="40" t="inlineStr">
        <is>
          <t>ROYAL ADAM EVE</t>
        </is>
      </c>
      <c r="E1985" s="38" t="n">
        <v>46118.35</v>
      </c>
      <c r="F1985" s="38" t="n">
        <v>46274.08</v>
      </c>
      <c r="G1985" s="38" t="n">
        <v>-155.73</v>
      </c>
      <c r="H1985" s="40" t="inlineStr">
        <is>
          <t>Alacak</t>
        </is>
      </c>
      <c r="I1985" s="38" t="n">
        <v>870</v>
      </c>
      <c r="J1985" s="38" t="n">
        <v>870</v>
      </c>
      <c r="K1985" s="38" t="n">
        <v>0</v>
      </c>
    </row>
    <row r="1986" s="34">
      <c r="A1986" s="40" t="inlineStr">
        <is>
          <t>340.01.01.E006</t>
        </is>
      </c>
      <c r="B1986" s="40" t="inlineStr">
        <is>
          <t>Eksperto Turizm İnş.İth.İhr.San.Ve Tic.Ltd. Şti.</t>
        </is>
      </c>
      <c r="C1986" s="40" t="inlineStr">
        <is>
          <t>EUR</t>
        </is>
      </c>
      <c r="D1986" s="40" t="inlineStr">
        <is>
          <t>SERTAŞ MERKEZ</t>
        </is>
      </c>
      <c r="E1986" s="38" t="n">
        <v>136023.25</v>
      </c>
      <c r="F1986" s="38" t="n">
        <v>484912.68</v>
      </c>
      <c r="G1986" s="38" t="n">
        <v>-348889.43</v>
      </c>
      <c r="H1986" s="40" t="inlineStr">
        <is>
          <t>Alacak</t>
        </is>
      </c>
      <c r="I1986" s="38" t="n">
        <v>2570.4</v>
      </c>
      <c r="J1986" s="38" t="n">
        <v>9172.1</v>
      </c>
      <c r="K1986" s="38" t="n">
        <v>-6601.7</v>
      </c>
      <c r="L1986" s="40" t="inlineStr">
        <is>
          <t>Alacak</t>
        </is>
      </c>
    </row>
    <row r="1987" s="34">
      <c r="A1987" s="40" t="inlineStr">
        <is>
          <t>340.01.01.E007</t>
        </is>
      </c>
      <c r="B1987" s="40" t="inlineStr">
        <is>
          <t>Etc Seyahat Turizm Tıcaret Ltd.Şti.</t>
        </is>
      </c>
      <c r="C1987" s="40" t="inlineStr">
        <is>
          <t>EUR</t>
        </is>
      </c>
      <c r="D1987" s="40" t="inlineStr">
        <is>
          <t>GİTAŞ MERKEZ</t>
        </is>
      </c>
      <c r="E1987" s="38" t="n">
        <v>57594.93</v>
      </c>
      <c r="F1987" s="38" t="n">
        <v>57955.97</v>
      </c>
      <c r="G1987" s="38" t="n">
        <v>-361.04</v>
      </c>
      <c r="H1987" s="40" t="inlineStr">
        <is>
          <t>Alacak</t>
        </is>
      </c>
      <c r="I1987" s="38" t="n">
        <v>1086.5</v>
      </c>
      <c r="J1987" s="38" t="n">
        <v>1086.5</v>
      </c>
      <c r="K1987" s="38" t="n">
        <v>0</v>
      </c>
    </row>
    <row r="1988" s="34">
      <c r="A1988" s="40" t="inlineStr">
        <is>
          <t>340.01.01.E007</t>
        </is>
      </c>
      <c r="B1988" s="40" t="inlineStr">
        <is>
          <t>Etc Seyahat Turizm Tıcaret Ltd.Şti.</t>
        </is>
      </c>
      <c r="C1988" s="40" t="inlineStr">
        <is>
          <t>EUR</t>
        </is>
      </c>
      <c r="D1988" s="40" t="inlineStr">
        <is>
          <t>ROYAL ADAM EVE</t>
        </is>
      </c>
      <c r="E1988" s="38" t="n">
        <v>63431.88</v>
      </c>
      <c r="F1988" s="38" t="n">
        <v>85885.82000000001</v>
      </c>
      <c r="G1988" s="38" t="n">
        <v>-22453.94</v>
      </c>
      <c r="H1988" s="40" t="inlineStr">
        <is>
          <t>Alacak</t>
        </is>
      </c>
      <c r="I1988" s="38" t="n">
        <v>1200</v>
      </c>
      <c r="J1988" s="38" t="n">
        <v>1617</v>
      </c>
      <c r="K1988" s="38" t="n">
        <v>-417</v>
      </c>
      <c r="L1988" s="40" t="inlineStr">
        <is>
          <t>Alacak</t>
        </is>
      </c>
    </row>
    <row r="1989" s="34">
      <c r="A1989" s="40" t="inlineStr">
        <is>
          <t>340.01.01.E007</t>
        </is>
      </c>
      <c r="B1989" s="40" t="inlineStr">
        <is>
          <t>Etc Seyahat Turizm Tıcaret Ltd.Şti.</t>
        </is>
      </c>
      <c r="C1989" s="40" t="inlineStr">
        <is>
          <t>EUR</t>
        </is>
      </c>
      <c r="D1989" s="40" t="inlineStr">
        <is>
          <t>SERTAŞ MERKEZ</t>
        </is>
      </c>
      <c r="E1989" s="38" t="n">
        <v>63746.88</v>
      </c>
      <c r="F1989" s="38" t="n">
        <v>189361.29</v>
      </c>
      <c r="G1989" s="38" t="n">
        <v>-125614.41</v>
      </c>
      <c r="H1989" s="40" t="inlineStr">
        <is>
          <t>Alacak</t>
        </is>
      </c>
      <c r="I1989" s="38" t="n">
        <v>1200</v>
      </c>
      <c r="J1989" s="38" t="n">
        <v>3588.75</v>
      </c>
      <c r="K1989" s="38" t="n">
        <v>-2388.75</v>
      </c>
      <c r="L1989" s="40" t="inlineStr">
        <is>
          <t>Alacak</t>
        </is>
      </c>
    </row>
    <row r="1990" s="34">
      <c r="A1990" s="40" t="inlineStr">
        <is>
          <t>340.01.01.E008</t>
        </is>
      </c>
      <c r="B1990" s="40" t="inlineStr">
        <is>
          <t>Embassy of the Kingdom of the Netherlands</t>
        </is>
      </c>
      <c r="C1990" s="40" t="inlineStr">
        <is>
          <t>EUR</t>
        </is>
      </c>
      <c r="D1990" s="40" t="inlineStr">
        <is>
          <t>SERTAŞ MERKEZ</t>
        </is>
      </c>
      <c r="E1990" s="38" t="n">
        <v>0</v>
      </c>
      <c r="F1990" s="38" t="n">
        <v>164742.81</v>
      </c>
      <c r="G1990" s="38" t="n">
        <v>-164742.81</v>
      </c>
      <c r="H1990" s="40" t="inlineStr">
        <is>
          <t>Alacak</t>
        </is>
      </c>
      <c r="I1990" s="38" t="n">
        <v>0</v>
      </c>
      <c r="J1990" s="38" t="n">
        <v>3125</v>
      </c>
      <c r="K1990" s="38" t="n">
        <v>-3125</v>
      </c>
      <c r="L1990" s="40" t="inlineStr">
        <is>
          <t>Alacak</t>
        </is>
      </c>
    </row>
    <row r="1991" s="34">
      <c r="A1991" s="40" t="inlineStr">
        <is>
          <t>340.01.01.E027</t>
        </is>
      </c>
      <c r="B1991" s="40" t="inlineStr">
        <is>
          <t>Ets Ersoy Turistik Servis A.Ş.</t>
        </is>
      </c>
      <c r="C1991" s="40" t="inlineStr">
        <is>
          <t>TRY</t>
        </is>
      </c>
      <c r="D1991" s="40" t="inlineStr">
        <is>
          <t>GİTAŞ MERKEZ</t>
        </is>
      </c>
      <c r="E1991" s="38" t="n">
        <v>0</v>
      </c>
      <c r="F1991" s="38" t="n">
        <v>2934078.41</v>
      </c>
      <c r="G1991" s="38" t="n">
        <v>-2934078.41</v>
      </c>
      <c r="H1991" s="40" t="inlineStr">
        <is>
          <t>Alacak</t>
        </is>
      </c>
      <c r="I1991" s="38" t="n">
        <v>0</v>
      </c>
      <c r="J1991" s="38" t="n">
        <v>2934078.41</v>
      </c>
      <c r="K1991" s="38" t="n">
        <v>-2934078.41</v>
      </c>
      <c r="L1991" s="40" t="inlineStr">
        <is>
          <t>Alacak</t>
        </is>
      </c>
    </row>
    <row r="1992" s="34">
      <c r="A1992" s="40" t="inlineStr">
        <is>
          <t>340.01.01.E027</t>
        </is>
      </c>
      <c r="B1992" s="40" t="inlineStr">
        <is>
          <t>Ets Ersoy Turistik Servis A.Ş.</t>
        </is>
      </c>
      <c r="C1992" s="40" t="inlineStr">
        <is>
          <t>TRY</t>
        </is>
      </c>
      <c r="D1992" s="40" t="inlineStr">
        <is>
          <t>ROYAL ADAM EVE</t>
        </is>
      </c>
      <c r="E1992" s="38" t="n">
        <v>0</v>
      </c>
      <c r="F1992" s="38" t="n">
        <v>6082836.95</v>
      </c>
      <c r="G1992" s="38" t="n">
        <v>-6082836.95</v>
      </c>
      <c r="H1992" s="40" t="inlineStr">
        <is>
          <t>Alacak</t>
        </is>
      </c>
      <c r="I1992" s="38" t="n">
        <v>0</v>
      </c>
      <c r="J1992" s="38" t="n">
        <v>6082836.95</v>
      </c>
      <c r="K1992" s="38" t="n">
        <v>-6082836.95</v>
      </c>
      <c r="L1992" s="40" t="inlineStr">
        <is>
          <t>Alacak</t>
        </is>
      </c>
    </row>
    <row r="1993" s="34">
      <c r="A1993" s="40" t="inlineStr">
        <is>
          <t>340.01.01.E027</t>
        </is>
      </c>
      <c r="B1993" s="40" t="inlineStr">
        <is>
          <t>Ets Ersoy Turistik Servis A.Ş.</t>
        </is>
      </c>
      <c r="C1993" s="40" t="inlineStr">
        <is>
          <t>TRY</t>
        </is>
      </c>
      <c r="D1993" s="40" t="inlineStr">
        <is>
          <t>SERTAŞ MERKEZ</t>
        </is>
      </c>
      <c r="E1993" s="38" t="n">
        <v>0</v>
      </c>
      <c r="F1993" s="38" t="n">
        <v>9307695.939999999</v>
      </c>
      <c r="G1993" s="38" t="n">
        <v>-9307695.939999999</v>
      </c>
      <c r="H1993" s="40" t="inlineStr">
        <is>
          <t>Alacak</t>
        </is>
      </c>
      <c r="I1993" s="38" t="n">
        <v>0</v>
      </c>
      <c r="J1993" s="38" t="n">
        <v>9307695.939999999</v>
      </c>
      <c r="K1993" s="38" t="n">
        <v>-9307695.939999999</v>
      </c>
      <c r="L1993" s="40" t="inlineStr">
        <is>
          <t>Alacak</t>
        </is>
      </c>
    </row>
    <row r="1994" s="34">
      <c r="A1994" s="40" t="inlineStr">
        <is>
          <t>340.01.01.E038</t>
        </is>
      </c>
      <c r="B1994" s="40" t="inlineStr">
        <is>
          <t>Evronas Organizasyon Danışmanlık ve İş Geliştirme Ticareti A.Ş.</t>
        </is>
      </c>
      <c r="C1994" s="40" t="inlineStr">
        <is>
          <t>EUR</t>
        </is>
      </c>
      <c r="D1994" s="40" t="inlineStr">
        <is>
          <t>SERTAŞ MERKEZ</t>
        </is>
      </c>
      <c r="E1994" s="38" t="n">
        <v>0</v>
      </c>
      <c r="F1994" s="38" t="n">
        <v>5314850</v>
      </c>
      <c r="G1994" s="38" t="n">
        <v>-5314850</v>
      </c>
      <c r="H1994" s="40" t="inlineStr">
        <is>
          <t>Alacak</t>
        </is>
      </c>
      <c r="I1994" s="38" t="n">
        <v>0</v>
      </c>
      <c r="J1994" s="38" t="n">
        <v>100000</v>
      </c>
      <c r="K1994" s="38" t="n">
        <v>-100000</v>
      </c>
      <c r="L1994" s="40" t="inlineStr">
        <is>
          <t>Alacak</t>
        </is>
      </c>
    </row>
    <row r="1995" s="34">
      <c r="A1995" s="40" t="inlineStr">
        <is>
          <t>340.01.01.F001</t>
        </is>
      </c>
      <c r="B1995" s="40" t="inlineStr">
        <is>
          <t>Face Tour Emlak Ins San Tic Limited Şti</t>
        </is>
      </c>
      <c r="C1995" s="40" t="inlineStr">
        <is>
          <t>EUR</t>
        </is>
      </c>
      <c r="D1995" s="40" t="inlineStr">
        <is>
          <t>SERTAŞ MERKEZ</t>
        </is>
      </c>
      <c r="E1995" s="38" t="n">
        <v>0</v>
      </c>
      <c r="F1995" s="38" t="n">
        <v>92994.02</v>
      </c>
      <c r="G1995" s="38" t="n">
        <v>-92994.02</v>
      </c>
      <c r="H1995" s="40" t="inlineStr">
        <is>
          <t>Alacak</t>
        </is>
      </c>
      <c r="I1995" s="38" t="n">
        <v>0</v>
      </c>
      <c r="J1995" s="38" t="n">
        <v>1764</v>
      </c>
      <c r="K1995" s="38" t="n">
        <v>-1764</v>
      </c>
      <c r="L1995" s="40" t="inlineStr">
        <is>
          <t>Alacak</t>
        </is>
      </c>
    </row>
    <row r="1996" s="34">
      <c r="A1996" s="40" t="inlineStr">
        <is>
          <t>340.01.01.F002</t>
        </is>
      </c>
      <c r="B1996" s="40" t="inlineStr">
        <is>
          <t>Falcon Organizasyon Turizm San. ve Tic. Ltd. Şti.</t>
        </is>
      </c>
      <c r="C1996" s="40" t="inlineStr">
        <is>
          <t>EUR</t>
        </is>
      </c>
      <c r="D1996" s="40" t="inlineStr">
        <is>
          <t>GİTAŞ MERKEZ</t>
        </is>
      </c>
      <c r="E1996" s="38" t="n">
        <v>21099.39</v>
      </c>
      <c r="F1996" s="38" t="n">
        <v>0</v>
      </c>
      <c r="G1996" s="38" t="n">
        <v>21099.39</v>
      </c>
      <c r="H1996" s="40" t="inlineStr">
        <is>
          <t>Borç</t>
        </is>
      </c>
      <c r="I1996" s="38" t="n">
        <v>393.53</v>
      </c>
      <c r="J1996" s="38" t="n">
        <v>0</v>
      </c>
      <c r="K1996" s="38" t="n">
        <v>393.53</v>
      </c>
      <c r="L1996" s="40" t="inlineStr">
        <is>
          <t>Borç</t>
        </is>
      </c>
    </row>
    <row r="1997" s="34">
      <c r="A1997" s="40" t="inlineStr">
        <is>
          <t>340.01.01.F009</t>
        </is>
      </c>
      <c r="B1997" s="40" t="inlineStr">
        <is>
          <t>Fer Organizasyon Turizm Tic. Ltd.Şti</t>
        </is>
      </c>
      <c r="C1997" s="40" t="inlineStr">
        <is>
          <t>EUR</t>
        </is>
      </c>
      <c r="D1997" s="40" t="inlineStr">
        <is>
          <t>ROYAL ADAM EVE</t>
        </is>
      </c>
      <c r="E1997" s="38" t="n">
        <v>139400.82</v>
      </c>
      <c r="F1997" s="38" t="n">
        <v>138774</v>
      </c>
      <c r="G1997" s="38" t="n">
        <v>626.8200000000001</v>
      </c>
      <c r="H1997" s="40" t="inlineStr">
        <is>
          <t>Borç</t>
        </is>
      </c>
      <c r="I1997" s="38" t="n">
        <v>2600</v>
      </c>
      <c r="J1997" s="38" t="n">
        <v>2600</v>
      </c>
      <c r="K1997" s="38" t="n">
        <v>0</v>
      </c>
    </row>
    <row r="1998" s="34">
      <c r="A1998" s="40" t="inlineStr">
        <is>
          <t>340.01.01.F009</t>
        </is>
      </c>
      <c r="B1998" s="40" t="inlineStr">
        <is>
          <t>Fer Organizasyon Turizm Tic. Ltd.Şti</t>
        </is>
      </c>
      <c r="C1998" s="40" t="inlineStr">
        <is>
          <t>EUR</t>
        </is>
      </c>
      <c r="D1998" s="40" t="inlineStr">
        <is>
          <t>SERTAŞ MERKEZ</t>
        </is>
      </c>
      <c r="E1998" s="38" t="n">
        <v>0</v>
      </c>
      <c r="F1998" s="38" t="n">
        <v>89949.58</v>
      </c>
      <c r="G1998" s="38" t="n">
        <v>-89949.58</v>
      </c>
      <c r="H1998" s="40" t="inlineStr">
        <is>
          <t>Alacak</t>
        </is>
      </c>
      <c r="I1998" s="38" t="n">
        <v>0</v>
      </c>
      <c r="J1998" s="38" t="n">
        <v>1706.25</v>
      </c>
      <c r="K1998" s="38" t="n">
        <v>-1706.25</v>
      </c>
      <c r="L1998" s="40" t="inlineStr">
        <is>
          <t>Alacak</t>
        </is>
      </c>
    </row>
    <row r="1999" s="34">
      <c r="A1999" s="40" t="inlineStr">
        <is>
          <t>340.01.01.F011</t>
        </is>
      </c>
      <c r="B1999" s="40" t="inlineStr">
        <is>
          <t>Feron Turizm Sanayı Ve Ticaret Ltd.Şti.</t>
        </is>
      </c>
      <c r="C1999" s="40" t="inlineStr">
        <is>
          <t>EUR</t>
        </is>
      </c>
      <c r="D1999" s="40" t="inlineStr">
        <is>
          <t>ROYAL ADAM EVE</t>
        </is>
      </c>
      <c r="E1999" s="38" t="n">
        <v>0</v>
      </c>
      <c r="F1999" s="38" t="n">
        <v>138628.32</v>
      </c>
      <c r="G1999" s="38" t="n">
        <v>-138628.32</v>
      </c>
      <c r="H1999" s="40" t="inlineStr">
        <is>
          <t>Alacak</t>
        </is>
      </c>
      <c r="I1999" s="38" t="n">
        <v>0</v>
      </c>
      <c r="J1999" s="38" t="n">
        <v>2610</v>
      </c>
      <c r="K1999" s="38" t="n">
        <v>-2610</v>
      </c>
      <c r="L1999" s="40" t="inlineStr">
        <is>
          <t>Alacak</t>
        </is>
      </c>
    </row>
    <row r="2000" s="34">
      <c r="A2000" s="40" t="inlineStr">
        <is>
          <t>340.01.01.F011</t>
        </is>
      </c>
      <c r="B2000" s="40" t="inlineStr">
        <is>
          <t>Feron Turizm Sanayı Ve Ticaret Ltd.Şti.</t>
        </is>
      </c>
      <c r="C2000" s="40" t="inlineStr">
        <is>
          <t>EUR</t>
        </is>
      </c>
      <c r="D2000" s="40" t="inlineStr">
        <is>
          <t>SERTAŞ MERKEZ</t>
        </is>
      </c>
      <c r="E2000" s="38" t="n">
        <v>146942.61</v>
      </c>
      <c r="F2000" s="38" t="n">
        <v>148068.04</v>
      </c>
      <c r="G2000" s="38" t="n">
        <v>-1125.43</v>
      </c>
      <c r="H2000" s="40" t="inlineStr">
        <is>
          <t>Alacak</t>
        </is>
      </c>
      <c r="I2000" s="38" t="n">
        <v>2772</v>
      </c>
      <c r="J2000" s="38" t="n">
        <v>2772</v>
      </c>
      <c r="K2000" s="38" t="n">
        <v>0</v>
      </c>
    </row>
    <row r="2001" s="34">
      <c r="A2001" s="40" t="inlineStr">
        <is>
          <t>340.01.01.F015</t>
        </is>
      </c>
      <c r="B2001" s="40" t="inlineStr">
        <is>
          <t>Fit Turizm Emlak İnşaat Ticaret A.Ş.</t>
        </is>
      </c>
      <c r="C2001" s="40" t="inlineStr">
        <is>
          <t>EUR</t>
        </is>
      </c>
      <c r="D2001" s="40" t="inlineStr">
        <is>
          <t>ROYAL ADAM EVE</t>
        </is>
      </c>
      <c r="E2001" s="38" t="n">
        <v>10624480</v>
      </c>
      <c r="F2001" s="38" t="n">
        <v>0</v>
      </c>
      <c r="G2001" s="38" t="n">
        <v>10624480</v>
      </c>
      <c r="H2001" s="40" t="inlineStr">
        <is>
          <t>Borç</t>
        </is>
      </c>
      <c r="I2001" s="38" t="n">
        <v>200000</v>
      </c>
      <c r="J2001" s="38" t="n">
        <v>0</v>
      </c>
      <c r="K2001" s="38" t="n">
        <v>200000</v>
      </c>
      <c r="L2001" s="40" t="inlineStr">
        <is>
          <t>Borç</t>
        </is>
      </c>
    </row>
    <row r="2002" s="34">
      <c r="A2002" s="40" t="inlineStr">
        <is>
          <t>340.01.01.F015</t>
        </is>
      </c>
      <c r="B2002" s="40" t="inlineStr">
        <is>
          <t>Fit Turizm Emlak İnşaat Ticaret A.Ş.</t>
        </is>
      </c>
      <c r="C2002" s="40" t="inlineStr">
        <is>
          <t>EUR</t>
        </is>
      </c>
      <c r="D2002" s="40" t="inlineStr">
        <is>
          <t>ROYAL SEGINUS</t>
        </is>
      </c>
      <c r="E2002" s="38" t="n">
        <v>10624480</v>
      </c>
      <c r="F2002" s="38" t="n">
        <v>0</v>
      </c>
      <c r="G2002" s="38" t="n">
        <v>10624480</v>
      </c>
      <c r="H2002" s="40" t="inlineStr">
        <is>
          <t>Borç</t>
        </is>
      </c>
      <c r="I2002" s="38" t="n">
        <v>200000</v>
      </c>
      <c r="J2002" s="38" t="n">
        <v>0</v>
      </c>
      <c r="K2002" s="38" t="n">
        <v>200000</v>
      </c>
      <c r="L2002" s="40" t="inlineStr">
        <is>
          <t>Borç</t>
        </is>
      </c>
    </row>
    <row r="2003" s="34">
      <c r="A2003" s="40" t="inlineStr">
        <is>
          <t>340.01.01.F022</t>
        </is>
      </c>
      <c r="B2003" s="40" t="inlineStr">
        <is>
          <t>Fun And Sun Hotels Otel Isl. Turizm Ins.Tic.A.Ş.</t>
        </is>
      </c>
      <c r="C2003" s="40" t="inlineStr">
        <is>
          <t>EUR</t>
        </is>
      </c>
      <c r="D2003" s="40" t="inlineStr">
        <is>
          <t>ROYAL ADAM EVE</t>
        </is>
      </c>
      <c r="E2003" s="38" t="n">
        <v>0</v>
      </c>
      <c r="F2003" s="38" t="n">
        <v>5314850</v>
      </c>
      <c r="G2003" s="38" t="n">
        <v>-5314850</v>
      </c>
      <c r="H2003" s="40" t="inlineStr">
        <is>
          <t>Alacak</t>
        </is>
      </c>
      <c r="I2003" s="38" t="n">
        <v>0</v>
      </c>
      <c r="J2003" s="38" t="n">
        <v>100000</v>
      </c>
      <c r="K2003" s="38" t="n">
        <v>-100000</v>
      </c>
      <c r="L2003" s="40" t="inlineStr">
        <is>
          <t>Alacak</t>
        </is>
      </c>
    </row>
    <row r="2004" s="34">
      <c r="A2004" s="40" t="inlineStr">
        <is>
          <t>340.01.01.F022</t>
        </is>
      </c>
      <c r="B2004" s="40" t="inlineStr">
        <is>
          <t>Fun And Sun Hotels Otel Isl. Turizm Ins.Tic.A.Ş.</t>
        </is>
      </c>
      <c r="C2004" s="40" t="inlineStr">
        <is>
          <t>EUR</t>
        </is>
      </c>
      <c r="D2004" s="40" t="inlineStr">
        <is>
          <t>SERTAŞ MERKEZ</t>
        </is>
      </c>
      <c r="E2004" s="38" t="n">
        <v>0</v>
      </c>
      <c r="F2004" s="38" t="n">
        <v>2657425</v>
      </c>
      <c r="G2004" s="38" t="n">
        <v>-2657425</v>
      </c>
      <c r="H2004" s="40" t="inlineStr">
        <is>
          <t>Alacak</t>
        </is>
      </c>
      <c r="I2004" s="38" t="n">
        <v>0</v>
      </c>
      <c r="J2004" s="38" t="n">
        <v>50000</v>
      </c>
      <c r="K2004" s="38" t="n">
        <v>-50000</v>
      </c>
      <c r="L2004" s="40" t="inlineStr">
        <is>
          <t>Alacak</t>
        </is>
      </c>
    </row>
    <row r="2005" s="34">
      <c r="A2005" s="40" t="inlineStr">
        <is>
          <t>340.01.01.G003</t>
        </is>
      </c>
      <c r="B2005" s="40" t="inlineStr">
        <is>
          <t>Gabriel Tour Turizm Limited Şirketi</t>
        </is>
      </c>
      <c r="C2005" s="40" t="inlineStr">
        <is>
          <t>EUR</t>
        </is>
      </c>
      <c r="D2005" s="40" t="inlineStr">
        <is>
          <t>ROYAL ADAM EVE</t>
        </is>
      </c>
      <c r="E2005" s="38" t="n">
        <v>904121.55</v>
      </c>
      <c r="F2005" s="38" t="n">
        <v>467105.26</v>
      </c>
      <c r="G2005" s="38" t="n">
        <v>437016.29</v>
      </c>
      <c r="H2005" s="40" t="inlineStr">
        <is>
          <t>Borç</t>
        </is>
      </c>
      <c r="I2005" s="38" t="n">
        <v>16863</v>
      </c>
      <c r="J2005" s="38" t="n">
        <v>8793</v>
      </c>
      <c r="K2005" s="38" t="n">
        <v>8070</v>
      </c>
      <c r="L2005" s="40" t="inlineStr">
        <is>
          <t>Borç</t>
        </is>
      </c>
    </row>
    <row r="2006" s="34">
      <c r="A2006" s="40" t="inlineStr">
        <is>
          <t>340.01.01.G006</t>
        </is>
      </c>
      <c r="B2006" s="40" t="inlineStr">
        <is>
          <t>Gezinomi Seyahat Turizm Ticaret A.Ş</t>
        </is>
      </c>
      <c r="C2006" s="40" t="inlineStr">
        <is>
          <t>TRY</t>
        </is>
      </c>
      <c r="D2006" s="40" t="inlineStr">
        <is>
          <t>GİTAŞ MERKEZ</t>
        </is>
      </c>
      <c r="E2006" s="38" t="n">
        <v>1027248.6</v>
      </c>
      <c r="F2006" s="38" t="n">
        <v>2349201.84</v>
      </c>
      <c r="G2006" s="38" t="n">
        <v>-1321953.24</v>
      </c>
      <c r="H2006" s="40" t="inlineStr">
        <is>
          <t>Alacak</t>
        </is>
      </c>
      <c r="I2006" s="38" t="n">
        <v>1027248.6</v>
      </c>
      <c r="J2006" s="38" t="n">
        <v>2349201.84</v>
      </c>
      <c r="K2006" s="38" t="n">
        <v>-1321953.24</v>
      </c>
      <c r="L2006" s="40" t="inlineStr">
        <is>
          <t>Alacak</t>
        </is>
      </c>
    </row>
    <row r="2007" s="34">
      <c r="A2007" s="40" t="inlineStr">
        <is>
          <t>340.01.01.G006</t>
        </is>
      </c>
      <c r="B2007" s="40" t="inlineStr">
        <is>
          <t>Gezinomi Seyahat Turizm Ticaret A.Ş</t>
        </is>
      </c>
      <c r="C2007" s="40" t="inlineStr">
        <is>
          <t>TRY</t>
        </is>
      </c>
      <c r="D2007" s="40" t="inlineStr">
        <is>
          <t>ROYAL ADAM EVE</t>
        </is>
      </c>
      <c r="E2007" s="38" t="n">
        <v>501302</v>
      </c>
      <c r="F2007" s="38" t="n">
        <v>705472.41</v>
      </c>
      <c r="G2007" s="38" t="n">
        <v>-204170.41</v>
      </c>
      <c r="H2007" s="40" t="inlineStr">
        <is>
          <t>Alacak</t>
        </is>
      </c>
      <c r="I2007" s="38" t="n">
        <v>501302</v>
      </c>
      <c r="J2007" s="38" t="n">
        <v>705472.41</v>
      </c>
      <c r="K2007" s="38" t="n">
        <v>-204170.41</v>
      </c>
      <c r="L2007" s="40" t="inlineStr">
        <is>
          <t>Alacak</t>
        </is>
      </c>
    </row>
    <row r="2008" s="34">
      <c r="A2008" s="40" t="inlineStr">
        <is>
          <t>340.01.01.G006</t>
        </is>
      </c>
      <c r="B2008" s="40" t="inlineStr">
        <is>
          <t>Gezinomi Seyahat Turizm Ticaret A.Ş</t>
        </is>
      </c>
      <c r="C2008" s="40" t="inlineStr">
        <is>
          <t>TRY</t>
        </is>
      </c>
      <c r="D2008" s="40" t="inlineStr">
        <is>
          <t>SERTAŞ MERKEZ</t>
        </is>
      </c>
      <c r="E2008" s="38" t="n">
        <v>534633</v>
      </c>
      <c r="F2008" s="38" t="n">
        <v>1124772.4</v>
      </c>
      <c r="G2008" s="38" t="n">
        <v>-590139.4</v>
      </c>
      <c r="H2008" s="40" t="inlineStr">
        <is>
          <t>Alacak</t>
        </is>
      </c>
      <c r="I2008" s="38" t="n">
        <v>534633</v>
      </c>
      <c r="J2008" s="38" t="n">
        <v>1124772.4</v>
      </c>
      <c r="K2008" s="38" t="n">
        <v>-590139.4</v>
      </c>
      <c r="L2008" s="40" t="inlineStr">
        <is>
          <t>Alacak</t>
        </is>
      </c>
    </row>
    <row r="2009" s="34">
      <c r="A2009" s="40" t="inlineStr">
        <is>
          <t>340.01.01.H003</t>
        </is>
      </c>
      <c r="B2009" s="40" t="inlineStr">
        <is>
          <t>HTZ TUR. SEY. SAN. TİC.LTD.ŞTİ.</t>
        </is>
      </c>
      <c r="C2009" s="40" t="inlineStr">
        <is>
          <t>EUR</t>
        </is>
      </c>
      <c r="D2009" s="40" t="inlineStr">
        <is>
          <t>SERTAŞ MERKEZ</t>
        </is>
      </c>
      <c r="E2009" s="38" t="n">
        <v>0</v>
      </c>
      <c r="F2009" s="38" t="n">
        <v>270000</v>
      </c>
      <c r="G2009" s="38" t="n">
        <v>-270000</v>
      </c>
      <c r="H2009" s="40" t="inlineStr">
        <is>
          <t>Alacak</t>
        </is>
      </c>
      <c r="I2009" s="38" t="n">
        <v>0</v>
      </c>
      <c r="J2009" s="38" t="n">
        <v>5061.69</v>
      </c>
      <c r="K2009" s="38" t="n">
        <v>-5061.69</v>
      </c>
      <c r="L2009" s="40" t="inlineStr">
        <is>
          <t>Alacak</t>
        </is>
      </c>
    </row>
    <row r="2010" s="34">
      <c r="A2010" s="40" t="inlineStr">
        <is>
          <t>340.01.01.H008</t>
        </is>
      </c>
      <c r="B2010" s="40" t="inlineStr">
        <is>
          <t>Heaventour Turizm Ltd. Şti.</t>
        </is>
      </c>
      <c r="C2010" s="40" t="inlineStr">
        <is>
          <t>EUR</t>
        </is>
      </c>
      <c r="D2010" s="40" t="inlineStr">
        <is>
          <t>ROYAL ADAM EVE</t>
        </is>
      </c>
      <c r="E2010" s="38" t="n">
        <v>104657.85</v>
      </c>
      <c r="F2010" s="38" t="n">
        <v>104500.24</v>
      </c>
      <c r="G2010" s="38" t="n">
        <v>157.61</v>
      </c>
      <c r="H2010" s="40" t="inlineStr">
        <is>
          <t>Borç</t>
        </is>
      </c>
      <c r="I2010" s="38" t="n">
        <v>1952</v>
      </c>
      <c r="J2010" s="38" t="n">
        <v>1952</v>
      </c>
      <c r="K2010" s="38" t="n">
        <v>0</v>
      </c>
    </row>
    <row r="2011" s="34">
      <c r="A2011" s="40" t="inlineStr">
        <is>
          <t>340.01.01.H008</t>
        </is>
      </c>
      <c r="B2011" s="40" t="inlineStr">
        <is>
          <t>Heaventour Turizm Ltd. Şti.</t>
        </is>
      </c>
      <c r="C2011" s="40" t="inlineStr">
        <is>
          <t>EUR</t>
        </is>
      </c>
      <c r="D2011" s="40" t="inlineStr">
        <is>
          <t>SERTAŞ MERKEZ</t>
        </is>
      </c>
      <c r="E2011" s="38" t="n">
        <v>923785.84</v>
      </c>
      <c r="F2011" s="38" t="n">
        <v>1351454.62</v>
      </c>
      <c r="G2011" s="38" t="n">
        <v>-427668.78</v>
      </c>
      <c r="H2011" s="40" t="inlineStr">
        <is>
          <t>Alacak</t>
        </is>
      </c>
      <c r="I2011" s="38" t="n">
        <v>17297.75</v>
      </c>
      <c r="J2011" s="38" t="n">
        <v>25306.9</v>
      </c>
      <c r="K2011" s="38" t="n">
        <v>-8009.15</v>
      </c>
      <c r="L2011" s="40" t="inlineStr">
        <is>
          <t>Alacak</t>
        </is>
      </c>
    </row>
    <row r="2012" s="34">
      <c r="A2012" s="40" t="inlineStr">
        <is>
          <t>340.01.01.H010</t>
        </is>
      </c>
      <c r="B2012" s="40" t="inlineStr">
        <is>
          <t>Hills Roy Turizm Yönetim Danışmanlığı Emlak İnsan Kaynakları Danışmanlığı Tarım Tic.Ltd.Şti.</t>
        </is>
      </c>
      <c r="C2012" s="40" t="inlineStr">
        <is>
          <t>EUR</t>
        </is>
      </c>
      <c r="D2012" s="40" t="inlineStr">
        <is>
          <t>ROYAL ADAM EVE</t>
        </is>
      </c>
      <c r="E2012" s="38" t="n">
        <v>0</v>
      </c>
      <c r="F2012" s="38" t="n">
        <v>71102.21000000001</v>
      </c>
      <c r="G2012" s="38" t="n">
        <v>-71102.21000000001</v>
      </c>
      <c r="H2012" s="40" t="inlineStr">
        <is>
          <t>Alacak</t>
        </is>
      </c>
      <c r="I2012" s="38" t="n">
        <v>0</v>
      </c>
      <c r="J2012" s="38" t="n">
        <v>1350</v>
      </c>
      <c r="K2012" s="38" t="n">
        <v>-1350</v>
      </c>
      <c r="L2012" s="40" t="inlineStr">
        <is>
          <t>Alacak</t>
        </is>
      </c>
    </row>
    <row r="2013" s="34">
      <c r="A2013" s="40" t="inlineStr">
        <is>
          <t>340.01.01.H011</t>
        </is>
      </c>
      <c r="B2013" s="40" t="inlineStr">
        <is>
          <t>Hema Turizm Sey. Gıda Teks.Rek.Eml.Taş.Ve Day.Tük.Mal.San.Ve Tic.Ltd.Şti.</t>
        </is>
      </c>
      <c r="C2013" s="40" t="inlineStr">
        <is>
          <t>EUR</t>
        </is>
      </c>
      <c r="D2013" s="40" t="inlineStr">
        <is>
          <t>ROYAL ADAM EVE</t>
        </is>
      </c>
      <c r="E2013" s="38" t="n">
        <v>162628.4</v>
      </c>
      <c r="F2013" s="38" t="n">
        <v>162310.51</v>
      </c>
      <c r="G2013" s="38" t="n">
        <v>317.89</v>
      </c>
      <c r="H2013" s="40" t="inlineStr">
        <is>
          <t>Borç</t>
        </is>
      </c>
      <c r="I2013" s="38" t="n">
        <v>83547</v>
      </c>
      <c r="J2013" s="38" t="n">
        <v>83547</v>
      </c>
      <c r="K2013" s="38" t="n">
        <v>0</v>
      </c>
    </row>
    <row r="2014" s="34">
      <c r="A2014" s="40" t="inlineStr">
        <is>
          <t>340.01.01.H011</t>
        </is>
      </c>
      <c r="B2014" s="40" t="inlineStr">
        <is>
          <t>Hema Turizm Sey. Gıda Teks.Rek.Eml.Taş.Ve Day.Tük.Mal.San.Ve Tic.Ltd.Şti.</t>
        </is>
      </c>
      <c r="C2014" s="40" t="inlineStr">
        <is>
          <t>EUR</t>
        </is>
      </c>
      <c r="D2014" s="40" t="inlineStr">
        <is>
          <t>SERTAŞ MERKEZ</t>
        </is>
      </c>
      <c r="E2014" s="38" t="n">
        <v>0</v>
      </c>
      <c r="F2014" s="38" t="n">
        <v>389145.65</v>
      </c>
      <c r="G2014" s="38" t="n">
        <v>-389145.65</v>
      </c>
      <c r="H2014" s="40" t="inlineStr">
        <is>
          <t>Alacak</t>
        </is>
      </c>
      <c r="I2014" s="38" t="n">
        <v>0</v>
      </c>
      <c r="J2014" s="38" t="n">
        <v>389145.65</v>
      </c>
      <c r="K2014" s="38" t="n">
        <v>-389145.65</v>
      </c>
      <c r="L2014" s="40" t="inlineStr">
        <is>
          <t>Alacak</t>
        </is>
      </c>
    </row>
    <row r="2015" s="34">
      <c r="A2015" s="40" t="inlineStr">
        <is>
          <t>340.01.01.H022</t>
        </is>
      </c>
      <c r="B2015" s="40" t="inlineStr">
        <is>
          <t>Holidayce Vibes Turizm Emlak Danışmanlık</t>
        </is>
      </c>
      <c r="C2015" s="40" t="inlineStr">
        <is>
          <t>EUR</t>
        </is>
      </c>
      <c r="D2015" s="40" t="inlineStr">
        <is>
          <t>SERTAŞ MERKEZ</t>
        </is>
      </c>
      <c r="E2015" s="38" t="n">
        <v>1521811.97</v>
      </c>
      <c r="F2015" s="38" t="n">
        <v>2030368.11</v>
      </c>
      <c r="G2015" s="38" t="n">
        <v>-508556.14</v>
      </c>
      <c r="H2015" s="40" t="inlineStr">
        <is>
          <t>Alacak</t>
        </is>
      </c>
      <c r="I2015" s="38" t="n">
        <v>28649.7</v>
      </c>
      <c r="J2015" s="38" t="n">
        <v>38080.92</v>
      </c>
      <c r="K2015" s="38" t="n">
        <v>-9431.219999999999</v>
      </c>
      <c r="L2015" s="40" t="inlineStr">
        <is>
          <t>Alacak</t>
        </is>
      </c>
    </row>
    <row r="2016" s="34">
      <c r="A2016" s="40" t="inlineStr">
        <is>
          <t>340.01.01.H025</t>
        </is>
      </c>
      <c r="B2016" s="40" t="inlineStr">
        <is>
          <t>Hsc Grup Tur.Emlak Taş.Tic.Ve San.Ltd.Şt</t>
        </is>
      </c>
      <c r="C2016" s="40" t="inlineStr">
        <is>
          <t>EUR</t>
        </is>
      </c>
      <c r="D2016" s="40" t="inlineStr">
        <is>
          <t>GİTAŞ MERKEZ</t>
        </is>
      </c>
      <c r="E2016" s="38" t="n">
        <v>196474.73</v>
      </c>
      <c r="F2016" s="38" t="n">
        <v>0</v>
      </c>
      <c r="G2016" s="38" t="n">
        <v>196474.73</v>
      </c>
      <c r="H2016" s="40" t="inlineStr">
        <is>
          <t>Borç</t>
        </is>
      </c>
      <c r="I2016" s="38" t="n">
        <v>3664.5</v>
      </c>
      <c r="J2016" s="38" t="n">
        <v>0</v>
      </c>
      <c r="K2016" s="38" t="n">
        <v>3664.5</v>
      </c>
      <c r="L2016" s="40" t="inlineStr">
        <is>
          <t>Borç</t>
        </is>
      </c>
    </row>
    <row r="2017" s="34">
      <c r="A2017" s="40" t="inlineStr">
        <is>
          <t>340.01.01.H025</t>
        </is>
      </c>
      <c r="B2017" s="40" t="inlineStr">
        <is>
          <t>Hsc Grup Tur.Emlak Taş.Tic.Ve San.Ltd.Şt</t>
        </is>
      </c>
      <c r="C2017" s="40" t="inlineStr">
        <is>
          <t>EUR</t>
        </is>
      </c>
      <c r="D2017" s="40" t="inlineStr">
        <is>
          <t>SERTAŞ MERKEZ</t>
        </is>
      </c>
      <c r="E2017" s="38" t="n">
        <v>274952.03</v>
      </c>
      <c r="F2017" s="38" t="n">
        <v>0</v>
      </c>
      <c r="G2017" s="38" t="n">
        <v>274952.03</v>
      </c>
      <c r="H2017" s="40" t="inlineStr">
        <is>
          <t>Borç</t>
        </is>
      </c>
      <c r="I2017" s="38" t="n">
        <v>5128.2</v>
      </c>
      <c r="J2017" s="38" t="n">
        <v>0</v>
      </c>
      <c r="K2017" s="38" t="n">
        <v>5128.2</v>
      </c>
      <c r="L2017" s="40" t="inlineStr">
        <is>
          <t>Borç</t>
        </is>
      </c>
    </row>
    <row r="2018" s="34">
      <c r="A2018" s="40" t="inlineStr">
        <is>
          <t>340.01.01.I002</t>
        </is>
      </c>
      <c r="B2018" s="40" t="inlineStr">
        <is>
          <t>İnvictus Turizm Kongre Ve Organizasyon Hizmetleri Ltd.Şti.</t>
        </is>
      </c>
      <c r="C2018" s="40" t="inlineStr">
        <is>
          <t>EUR</t>
        </is>
      </c>
      <c r="D2018" s="40" t="inlineStr">
        <is>
          <t>ROYAL ADAM EVE</t>
        </is>
      </c>
      <c r="E2018" s="38" t="n">
        <v>0</v>
      </c>
      <c r="F2018" s="38" t="n">
        <v>1597129.5</v>
      </c>
      <c r="G2018" s="38" t="n">
        <v>-1597129.5</v>
      </c>
      <c r="H2018" s="40" t="inlineStr">
        <is>
          <t>Alacak</t>
        </is>
      </c>
      <c r="I2018" s="38" t="n">
        <v>0</v>
      </c>
      <c r="J2018" s="38" t="n">
        <v>30000</v>
      </c>
      <c r="K2018" s="38" t="n">
        <v>-30000</v>
      </c>
      <c r="L2018" s="40" t="inlineStr">
        <is>
          <t>Alacak</t>
        </is>
      </c>
    </row>
    <row r="2019" s="34">
      <c r="A2019" s="40" t="inlineStr">
        <is>
          <t>340.01.01.I003</t>
        </is>
      </c>
      <c r="B2019" s="40" t="inlineStr">
        <is>
          <t>İNOVA İTHALAT İHRACAT VE TURİZM LTD ŞTİ</t>
        </is>
      </c>
      <c r="C2019" s="40" t="inlineStr">
        <is>
          <t>EUR</t>
        </is>
      </c>
      <c r="D2019" s="40" t="inlineStr">
        <is>
          <t>GİTAŞ MERKEZ</t>
        </is>
      </c>
      <c r="E2019" s="38" t="n">
        <v>0</v>
      </c>
      <c r="F2019" s="38" t="n">
        <v>571393.63</v>
      </c>
      <c r="G2019" s="38" t="n">
        <v>-571393.63</v>
      </c>
      <c r="H2019" s="40" t="inlineStr">
        <is>
          <t>Alacak</t>
        </is>
      </c>
      <c r="I2019" s="38" t="n">
        <v>0</v>
      </c>
      <c r="J2019" s="38" t="n">
        <v>10785</v>
      </c>
      <c r="K2019" s="38" t="n">
        <v>-10785</v>
      </c>
      <c r="L2019" s="40" t="inlineStr">
        <is>
          <t>Alacak</t>
        </is>
      </c>
    </row>
    <row r="2020" s="34">
      <c r="A2020" s="40" t="inlineStr">
        <is>
          <t>340.01.01.I003</t>
        </is>
      </c>
      <c r="B2020" s="40" t="inlineStr">
        <is>
          <t>İNOVA İTHALAT İHRACAT VE TURİZM LTD ŞTİ</t>
        </is>
      </c>
      <c r="C2020" s="40" t="inlineStr">
        <is>
          <t>EUR</t>
        </is>
      </c>
      <c r="D2020" s="40" t="inlineStr">
        <is>
          <t>SERTAŞ MERKEZ</t>
        </is>
      </c>
      <c r="E2020" s="38" t="n">
        <v>45404.59</v>
      </c>
      <c r="F2020" s="38" t="n">
        <v>46020.12</v>
      </c>
      <c r="G2020" s="38" t="n">
        <v>-615.53</v>
      </c>
      <c r="H2020" s="40" t="inlineStr">
        <is>
          <t>Alacak</t>
        </is>
      </c>
      <c r="I2020" s="38" t="n">
        <v>858</v>
      </c>
      <c r="J2020" s="38" t="n">
        <v>858</v>
      </c>
      <c r="K2020" s="38" t="n">
        <v>0</v>
      </c>
    </row>
    <row r="2021" s="34">
      <c r="A2021" s="40" t="inlineStr">
        <is>
          <t>340.01.01.I006</t>
        </is>
      </c>
      <c r="B2021" s="40" t="inlineStr">
        <is>
          <t>Irel Turizm Tic. Ltd Şti</t>
        </is>
      </c>
      <c r="C2021" s="40" t="inlineStr">
        <is>
          <t>EUR</t>
        </is>
      </c>
      <c r="D2021" s="40" t="inlineStr">
        <is>
          <t>GİTAŞ MERKEZ</t>
        </is>
      </c>
      <c r="E2021" s="38" t="n">
        <v>109389.37</v>
      </c>
      <c r="F2021" s="38" t="n">
        <v>187134.09</v>
      </c>
      <c r="G2021" s="38" t="n">
        <v>-77744.72</v>
      </c>
      <c r="H2021" s="40" t="inlineStr">
        <is>
          <t>Alacak</t>
        </is>
      </c>
      <c r="I2021" s="38" t="n">
        <v>2059.02</v>
      </c>
      <c r="J2021" s="38" t="n">
        <v>3544.04</v>
      </c>
      <c r="K2021" s="38" t="n">
        <v>-1485.02</v>
      </c>
      <c r="L2021" s="40" t="inlineStr">
        <is>
          <t>Alacak</t>
        </is>
      </c>
    </row>
    <row r="2022" s="34">
      <c r="A2022" s="40" t="inlineStr">
        <is>
          <t>340.01.01.I006</t>
        </is>
      </c>
      <c r="B2022" s="40" t="inlineStr">
        <is>
          <t>Irel Turizm Tic. Ltd Şti</t>
        </is>
      </c>
      <c r="C2022" s="40" t="inlineStr">
        <is>
          <t>EUR</t>
        </is>
      </c>
      <c r="D2022" s="40" t="inlineStr">
        <is>
          <t>SERTAŞ MERKEZ</t>
        </is>
      </c>
      <c r="E2022" s="38" t="n">
        <v>82997.10000000001</v>
      </c>
      <c r="F2022" s="38" t="n">
        <v>0</v>
      </c>
      <c r="G2022" s="38" t="n">
        <v>82997.10000000001</v>
      </c>
      <c r="H2022" s="40" t="inlineStr">
        <is>
          <t>Borç</t>
        </is>
      </c>
      <c r="I2022" s="38" t="n">
        <v>1548</v>
      </c>
      <c r="J2022" s="38" t="n">
        <v>0</v>
      </c>
      <c r="K2022" s="38" t="n">
        <v>1548</v>
      </c>
      <c r="L2022" s="40" t="inlineStr">
        <is>
          <t>Borç</t>
        </is>
      </c>
    </row>
    <row r="2023" s="34">
      <c r="A2023" s="40" t="inlineStr">
        <is>
          <t>340.01.01.İ014</t>
        </is>
      </c>
      <c r="B2023" s="40" t="inlineStr">
        <is>
          <t>İsmail Karamaca</t>
        </is>
      </c>
      <c r="C2023" s="40" t="inlineStr">
        <is>
          <t>EUR</t>
        </is>
      </c>
      <c r="D2023" s="40" t="inlineStr">
        <is>
          <t>SERTAŞ MERKEZ</t>
        </is>
      </c>
      <c r="E2023" s="38" t="n">
        <v>0</v>
      </c>
      <c r="F2023" s="38" t="n">
        <v>3882.22</v>
      </c>
      <c r="G2023" s="38" t="n">
        <v>-3882.22</v>
      </c>
      <c r="H2023" s="40" t="inlineStr">
        <is>
          <t>Alacak</t>
        </is>
      </c>
      <c r="I2023" s="38" t="n">
        <v>0</v>
      </c>
      <c r="J2023" s="38" t="n">
        <v>73.09</v>
      </c>
      <c r="K2023" s="38" t="n">
        <v>-73.09</v>
      </c>
      <c r="L2023" s="40" t="inlineStr">
        <is>
          <t>Alacak</t>
        </is>
      </c>
    </row>
    <row r="2024" s="34">
      <c r="A2024" s="40" t="inlineStr">
        <is>
          <t>340.01.01.J001</t>
        </is>
      </c>
      <c r="B2024" s="40" t="inlineStr">
        <is>
          <t>Join Up Dmc Tr Turizm ve Ticaret A.Ş.</t>
        </is>
      </c>
      <c r="C2024" s="40" t="inlineStr">
        <is>
          <t>EUR</t>
        </is>
      </c>
      <c r="D2024" s="40" t="inlineStr">
        <is>
          <t>GİTAŞ MERKEZ</t>
        </is>
      </c>
      <c r="E2024" s="38" t="n">
        <v>991363.95</v>
      </c>
      <c r="F2024" s="38" t="n">
        <v>3174060.18</v>
      </c>
      <c r="G2024" s="38" t="n">
        <v>-2182696.23</v>
      </c>
      <c r="H2024" s="40" t="inlineStr">
        <is>
          <t>Alacak</t>
        </is>
      </c>
      <c r="I2024" s="38" t="n">
        <v>18584.53</v>
      </c>
      <c r="J2024" s="38" t="n">
        <v>59953.59</v>
      </c>
      <c r="K2024" s="38" t="n">
        <v>-41369.06</v>
      </c>
      <c r="L2024" s="40" t="inlineStr">
        <is>
          <t>Alacak</t>
        </is>
      </c>
    </row>
    <row r="2025" s="34">
      <c r="A2025" s="40" t="inlineStr">
        <is>
          <t>340.01.01.J001</t>
        </is>
      </c>
      <c r="B2025" s="40" t="inlineStr">
        <is>
          <t>Join Up Dmc Tr Turizm ve Ticaret A.Ş.</t>
        </is>
      </c>
      <c r="C2025" s="40" t="inlineStr">
        <is>
          <t>EUR</t>
        </is>
      </c>
      <c r="D2025" s="40" t="inlineStr">
        <is>
          <t>ROYAL ADAM EVE</t>
        </is>
      </c>
      <c r="E2025" s="38" t="n">
        <v>764675.71</v>
      </c>
      <c r="F2025" s="38" t="n">
        <v>1059750</v>
      </c>
      <c r="G2025" s="38" t="n">
        <v>-295074.29</v>
      </c>
      <c r="H2025" s="40" t="inlineStr">
        <is>
          <t>Alacak</t>
        </is>
      </c>
      <c r="I2025" s="38" t="n">
        <v>14301.5</v>
      </c>
      <c r="J2025" s="38" t="n">
        <v>19997.5</v>
      </c>
      <c r="K2025" s="38" t="n">
        <v>-5696</v>
      </c>
      <c r="L2025" s="40" t="inlineStr">
        <is>
          <t>Alacak</t>
        </is>
      </c>
    </row>
    <row r="2026" s="34">
      <c r="A2026" s="40" t="inlineStr">
        <is>
          <t>340.01.01.J001</t>
        </is>
      </c>
      <c r="B2026" s="40" t="inlineStr">
        <is>
          <t>Join Up Dmc Tr Turizm ve Ticaret A.Ş.</t>
        </is>
      </c>
      <c r="C2026" s="40" t="inlineStr">
        <is>
          <t>EUR</t>
        </is>
      </c>
      <c r="D2026" s="40" t="inlineStr">
        <is>
          <t>SERTAŞ MERKEZ</t>
        </is>
      </c>
      <c r="E2026" s="38" t="n">
        <v>1161611.65</v>
      </c>
      <c r="F2026" s="38" t="n">
        <v>3960123.35</v>
      </c>
      <c r="G2026" s="38" t="n">
        <v>-2798511.7</v>
      </c>
      <c r="H2026" s="40" t="inlineStr">
        <is>
          <t>Alacak</t>
        </is>
      </c>
      <c r="I2026" s="38" t="n">
        <v>21861</v>
      </c>
      <c r="J2026" s="38" t="n">
        <v>74659.35000000001</v>
      </c>
      <c r="K2026" s="38" t="n">
        <v>-52798.35</v>
      </c>
      <c r="L2026" s="40" t="inlineStr">
        <is>
          <t>Alacak</t>
        </is>
      </c>
    </row>
    <row r="2027" s="34">
      <c r="A2027" s="40" t="inlineStr">
        <is>
          <t>340.01.01.K001</t>
        </is>
      </c>
      <c r="B2027" s="40" t="inlineStr">
        <is>
          <t>KONSEY ORGANIZASYON EGITIM TURIZM TICARET LTD.STI.</t>
        </is>
      </c>
      <c r="C2027" s="40" t="inlineStr">
        <is>
          <t>TRY</t>
        </is>
      </c>
      <c r="D2027" s="40" t="inlineStr">
        <is>
          <t>SERTAŞ MERKEZ</t>
        </is>
      </c>
      <c r="E2027" s="38" t="n">
        <v>0</v>
      </c>
      <c r="F2027" s="38" t="n">
        <v>263931.38</v>
      </c>
      <c r="G2027" s="38" t="n">
        <v>-263931.38</v>
      </c>
      <c r="H2027" s="40" t="inlineStr">
        <is>
          <t>Alacak</t>
        </is>
      </c>
      <c r="I2027" s="38" t="n">
        <v>0</v>
      </c>
      <c r="J2027" s="38" t="n">
        <v>5011.2</v>
      </c>
      <c r="K2027" s="38" t="n">
        <v>-5011.2</v>
      </c>
      <c r="L2027" s="40" t="inlineStr">
        <is>
          <t>Alacak</t>
        </is>
      </c>
    </row>
    <row r="2028" s="34">
      <c r="A2028" s="40" t="inlineStr">
        <is>
          <t>340.01.01.K004</t>
        </is>
      </c>
      <c r="B2028" s="40" t="inlineStr">
        <is>
          <t>Kamila Turizm Seyahat Emlak Tic.Ltd.Şti.</t>
        </is>
      </c>
      <c r="C2028" s="40" t="inlineStr">
        <is>
          <t>EUR</t>
        </is>
      </c>
      <c r="D2028" s="40" t="inlineStr">
        <is>
          <t>ROYAL ADAM EVE</t>
        </is>
      </c>
      <c r="E2028" s="38" t="n">
        <v>529280.79</v>
      </c>
      <c r="F2028" s="38" t="n">
        <v>526581.37</v>
      </c>
      <c r="G2028" s="38" t="n">
        <v>2699.42</v>
      </c>
      <c r="H2028" s="40" t="inlineStr">
        <is>
          <t>Borç</t>
        </is>
      </c>
      <c r="I2028" s="38" t="n">
        <v>9871.75</v>
      </c>
      <c r="J2028" s="38" t="n">
        <v>9871.75</v>
      </c>
      <c r="K2028" s="38" t="n">
        <v>0</v>
      </c>
    </row>
    <row r="2029" s="34">
      <c r="A2029" s="40" t="inlineStr">
        <is>
          <t>340.01.01.K004</t>
        </is>
      </c>
      <c r="B2029" s="40" t="inlineStr">
        <is>
          <t>Kamila Turizm Seyahat Emlak Tic.Ltd.Şti.</t>
        </is>
      </c>
      <c r="C2029" s="40" t="inlineStr">
        <is>
          <t>EUR</t>
        </is>
      </c>
      <c r="D2029" s="40" t="inlineStr">
        <is>
          <t>SERTAŞ MERKEZ</t>
        </is>
      </c>
      <c r="E2029" s="38" t="n">
        <v>0</v>
      </c>
      <c r="F2029" s="38" t="n">
        <v>70271.53999999999</v>
      </c>
      <c r="G2029" s="38" t="n">
        <v>-70271.53999999999</v>
      </c>
      <c r="H2029" s="40" t="inlineStr">
        <is>
          <t>Alacak</t>
        </is>
      </c>
      <c r="I2029" s="38" t="n">
        <v>0</v>
      </c>
      <c r="J2029" s="38" t="n">
        <v>1323</v>
      </c>
      <c r="K2029" s="38" t="n">
        <v>-1323</v>
      </c>
      <c r="L2029" s="40" t="inlineStr">
        <is>
          <t>Alacak</t>
        </is>
      </c>
    </row>
    <row r="2030" s="34">
      <c r="A2030" s="40" t="inlineStr">
        <is>
          <t>340.01.01.K008</t>
        </is>
      </c>
      <c r="B2030" s="40" t="inlineStr">
        <is>
          <t>Karnak Dış Tic. Ve Turizm Ltd. Şti.</t>
        </is>
      </c>
      <c r="C2030" s="40" t="inlineStr">
        <is>
          <t>EUR</t>
        </is>
      </c>
      <c r="D2030" s="40" t="inlineStr">
        <is>
          <t>SERTAŞ MERKEZ</t>
        </is>
      </c>
      <c r="E2030" s="38" t="n">
        <v>177575.2</v>
      </c>
      <c r="F2030" s="38" t="n">
        <v>537643.39</v>
      </c>
      <c r="G2030" s="38" t="n">
        <v>-360068.19</v>
      </c>
      <c r="H2030" s="40" t="inlineStr">
        <is>
          <t>Alacak</t>
        </is>
      </c>
      <c r="I2030" s="38" t="n">
        <v>3312</v>
      </c>
      <c r="J2030" s="38" t="n">
        <v>10141</v>
      </c>
      <c r="K2030" s="38" t="n">
        <v>-6829</v>
      </c>
      <c r="L2030" s="40" t="inlineStr">
        <is>
          <t>Alacak</t>
        </is>
      </c>
    </row>
    <row r="2031" s="34">
      <c r="A2031" s="40" t="inlineStr">
        <is>
          <t>340.01.01.K009</t>
        </is>
      </c>
      <c r="B2031" s="40" t="inlineStr">
        <is>
          <t>Kartaca Tur.Sey.Tic.Ve San.Ltd.Şti.</t>
        </is>
      </c>
      <c r="C2031" s="40" t="inlineStr">
        <is>
          <t>TRY</t>
        </is>
      </c>
      <c r="D2031" s="40" t="inlineStr">
        <is>
          <t>GİTAŞ MERKEZ</t>
        </is>
      </c>
      <c r="E2031" s="38" t="n">
        <v>103670.87</v>
      </c>
      <c r="F2031" s="38" t="n">
        <v>199359.8</v>
      </c>
      <c r="G2031" s="38" t="n">
        <v>-95688.92999999999</v>
      </c>
      <c r="H2031" s="40" t="inlineStr">
        <is>
          <t>Alacak</t>
        </is>
      </c>
      <c r="I2031" s="38" t="n">
        <v>1955.7</v>
      </c>
      <c r="J2031" s="38" t="n">
        <v>3755.7</v>
      </c>
      <c r="K2031" s="38" t="n">
        <v>-1800</v>
      </c>
      <c r="L2031" s="40" t="inlineStr">
        <is>
          <t>Alacak</t>
        </is>
      </c>
    </row>
    <row r="2032" s="34">
      <c r="A2032" s="40" t="inlineStr">
        <is>
          <t>340.01.01.K009</t>
        </is>
      </c>
      <c r="B2032" s="40" t="inlineStr">
        <is>
          <t>Kartaca Tur.Sey.Tic.Ve San.Ltd.Şti.</t>
        </is>
      </c>
      <c r="C2032" s="40" t="inlineStr">
        <is>
          <t>TRY</t>
        </is>
      </c>
      <c r="D2032" s="40" t="inlineStr">
        <is>
          <t>ROYAL ADAM EVE</t>
        </is>
      </c>
      <c r="E2032" s="38" t="n">
        <v>85993.53999999999</v>
      </c>
      <c r="F2032" s="38" t="n">
        <v>87159.31</v>
      </c>
      <c r="G2032" s="38" t="n">
        <v>-1165.77</v>
      </c>
      <c r="H2032" s="40" t="inlineStr">
        <is>
          <t>Alacak</t>
        </is>
      </c>
      <c r="I2032" s="38" t="n">
        <v>1625</v>
      </c>
      <c r="J2032" s="38" t="n">
        <v>1625</v>
      </c>
      <c r="K2032" s="38" t="n">
        <v>0</v>
      </c>
    </row>
    <row r="2033" s="34">
      <c r="A2033" s="40" t="inlineStr">
        <is>
          <t>340.01.01.K009</t>
        </is>
      </c>
      <c r="B2033" s="40" t="inlineStr">
        <is>
          <t>Kartaca Tur.Sey.Tic.Ve San.Ltd.Şti.</t>
        </is>
      </c>
      <c r="C2033" s="40" t="inlineStr">
        <is>
          <t>TRY</t>
        </is>
      </c>
      <c r="D2033" s="40" t="inlineStr">
        <is>
          <t>SERTAŞ MERKEZ</t>
        </is>
      </c>
      <c r="E2033" s="38" t="n">
        <v>254009.74</v>
      </c>
      <c r="F2033" s="38" t="n">
        <v>619225.98</v>
      </c>
      <c r="G2033" s="38" t="n">
        <v>-365216.24</v>
      </c>
      <c r="H2033" s="40" t="inlineStr">
        <is>
          <t>Alacak</t>
        </is>
      </c>
      <c r="I2033" s="38" t="n">
        <v>4737.6</v>
      </c>
      <c r="J2033" s="38" t="n">
        <v>11652.6</v>
      </c>
      <c r="K2033" s="38" t="n">
        <v>-6915</v>
      </c>
      <c r="L2033" s="40" t="inlineStr">
        <is>
          <t>Alacak</t>
        </is>
      </c>
    </row>
    <row r="2034" s="34">
      <c r="A2034" s="40" t="inlineStr">
        <is>
          <t>340.01.01.K012</t>
        </is>
      </c>
      <c r="B2034" s="40" t="inlineStr">
        <is>
          <t>Keyf Global Turizm Ticaret A.Ş.</t>
        </is>
      </c>
      <c r="C2034" s="40" t="inlineStr">
        <is>
          <t>TRY</t>
        </is>
      </c>
      <c r="D2034" s="40" t="inlineStr">
        <is>
          <t>GİTAŞ MERKEZ</t>
        </is>
      </c>
      <c r="E2034" s="38" t="n">
        <v>121835.24</v>
      </c>
      <c r="F2034" s="38" t="n">
        <v>0</v>
      </c>
      <c r="G2034" s="38" t="n">
        <v>121835.24</v>
      </c>
      <c r="H2034" s="40" t="inlineStr">
        <is>
          <t>Borç</t>
        </is>
      </c>
      <c r="I2034" s="38" t="n">
        <v>2272.38</v>
      </c>
      <c r="J2034" s="38" t="n">
        <v>0</v>
      </c>
      <c r="K2034" s="38" t="n">
        <v>2272.38</v>
      </c>
      <c r="L2034" s="40" t="inlineStr">
        <is>
          <t>Borç</t>
        </is>
      </c>
    </row>
    <row r="2035" s="34">
      <c r="A2035" s="40" t="inlineStr">
        <is>
          <t>340.01.01.K012</t>
        </is>
      </c>
      <c r="B2035" s="40" t="inlineStr">
        <is>
          <t>Keyf Global Turizm Ticaret A.Ş.</t>
        </is>
      </c>
      <c r="C2035" s="40" t="inlineStr">
        <is>
          <t>TRY</t>
        </is>
      </c>
      <c r="D2035" s="40" t="inlineStr">
        <is>
          <t>SERTAŞ MERKEZ</t>
        </is>
      </c>
      <c r="E2035" s="38" t="n">
        <v>169854.54</v>
      </c>
      <c r="F2035" s="38" t="n">
        <v>168808.97</v>
      </c>
      <c r="G2035" s="38" t="n">
        <v>1045.57</v>
      </c>
      <c r="H2035" s="40" t="inlineStr">
        <is>
          <t>Borç</t>
        </is>
      </c>
      <c r="I2035" s="38" t="n">
        <v>3168</v>
      </c>
      <c r="J2035" s="38" t="n">
        <v>3168</v>
      </c>
      <c r="K2035" s="38" t="n">
        <v>0</v>
      </c>
    </row>
    <row r="2036" s="34">
      <c r="A2036" s="40" t="inlineStr">
        <is>
          <t>340.01.01.K024</t>
        </is>
      </c>
      <c r="B2036" s="40" t="inlineStr">
        <is>
          <t>2026 Yılı Kiracılar Avans Hesap</t>
        </is>
      </c>
      <c r="C2036" s="40" t="inlineStr">
        <is>
          <t>EUR</t>
        </is>
      </c>
      <c r="D2036" s="40" t="inlineStr">
        <is>
          <t>ROYAL ADAM EVE</t>
        </is>
      </c>
      <c r="E2036" s="38" t="n">
        <v>0</v>
      </c>
      <c r="F2036" s="38" t="n">
        <v>384510.24</v>
      </c>
      <c r="G2036" s="38" t="n">
        <v>-384510.24</v>
      </c>
      <c r="H2036" s="40" t="inlineStr">
        <is>
          <t>Alacak</t>
        </is>
      </c>
      <c r="I2036" s="38" t="n">
        <v>0</v>
      </c>
      <c r="J2036" s="38" t="n">
        <v>7200</v>
      </c>
      <c r="K2036" s="38" t="n">
        <v>-7200</v>
      </c>
      <c r="L2036" s="40" t="inlineStr">
        <is>
          <t>Alacak</t>
        </is>
      </c>
    </row>
    <row r="2037" s="34">
      <c r="A2037" s="40" t="inlineStr">
        <is>
          <t>340.01.01.K024</t>
        </is>
      </c>
      <c r="B2037" s="40" t="inlineStr">
        <is>
          <t>2026 Yılı Kiracılar Avans Hesap</t>
        </is>
      </c>
      <c r="C2037" s="40" t="inlineStr">
        <is>
          <t>EUR</t>
        </is>
      </c>
      <c r="D2037" s="40" t="inlineStr">
        <is>
          <t>SERTAŞ MERKEZ</t>
        </is>
      </c>
      <c r="E2037" s="38" t="n">
        <v>0</v>
      </c>
      <c r="F2037" s="38" t="n">
        <v>79378.64999999999</v>
      </c>
      <c r="G2037" s="38" t="n">
        <v>-79378.64999999999</v>
      </c>
      <c r="H2037" s="40" t="inlineStr">
        <is>
          <t>Alacak</t>
        </is>
      </c>
      <c r="I2037" s="38" t="n">
        <v>0</v>
      </c>
      <c r="J2037" s="38" t="n">
        <v>1500</v>
      </c>
      <c r="K2037" s="38" t="n">
        <v>-1500</v>
      </c>
      <c r="L2037" s="40" t="inlineStr">
        <is>
          <t>Alacak</t>
        </is>
      </c>
    </row>
    <row r="2038" s="34">
      <c r="A2038" s="40" t="inlineStr">
        <is>
          <t>340.01.01.L003</t>
        </is>
      </c>
      <c r="B2038" s="40" t="inlineStr">
        <is>
          <t xml:space="preserve">Linaydın Turizm Organizasyon Sanayi ve Ticaret Limited Şirketi </t>
        </is>
      </c>
      <c r="C2038" s="40" t="inlineStr">
        <is>
          <t>EUR</t>
        </is>
      </c>
      <c r="D2038" s="40" t="inlineStr">
        <is>
          <t>SERTAŞ MERKEZ</t>
        </is>
      </c>
      <c r="E2038" s="38" t="n">
        <v>317381.02</v>
      </c>
      <c r="F2038" s="38" t="n">
        <v>255241.5</v>
      </c>
      <c r="G2038" s="38" t="n">
        <v>62139.52</v>
      </c>
      <c r="H2038" s="40" t="inlineStr">
        <is>
          <t>Borç</t>
        </is>
      </c>
      <c r="I2038" s="38" t="n">
        <v>5943</v>
      </c>
      <c r="J2038" s="38" t="n">
        <v>4801</v>
      </c>
      <c r="K2038" s="38" t="n">
        <v>1142</v>
      </c>
      <c r="L2038" s="40" t="inlineStr">
        <is>
          <t>Borç</t>
        </is>
      </c>
    </row>
    <row r="2039" s="34">
      <c r="A2039" s="40" t="inlineStr">
        <is>
          <t>340.01.01.L004</t>
        </is>
      </c>
      <c r="B2039" s="40" t="inlineStr">
        <is>
          <t>Luxe Vacation Turizm Seyahat Acentalığı Taş.İnş.İth İhr.ve Tic.Ltd.Şti.</t>
        </is>
      </c>
      <c r="C2039" s="40" t="inlineStr">
        <is>
          <t>EUR</t>
        </is>
      </c>
      <c r="D2039" s="40" t="inlineStr">
        <is>
          <t>SERTAŞ MERKEZ</t>
        </is>
      </c>
      <c r="E2039" s="38" t="n">
        <v>223046.52</v>
      </c>
      <c r="F2039" s="38" t="n">
        <v>433315.34</v>
      </c>
      <c r="G2039" s="38" t="n">
        <v>-210268.82</v>
      </c>
      <c r="H2039" s="40" t="inlineStr">
        <is>
          <t>Alacak</t>
        </is>
      </c>
      <c r="I2039" s="38" t="n">
        <v>4181.7</v>
      </c>
      <c r="J2039" s="38" t="n">
        <v>8184.75</v>
      </c>
      <c r="K2039" s="38" t="n">
        <v>-4003.05</v>
      </c>
      <c r="L2039" s="40" t="inlineStr">
        <is>
          <t>Alacak</t>
        </is>
      </c>
    </row>
    <row r="2040" s="34">
      <c r="A2040" s="40" t="inlineStr">
        <is>
          <t>340.01.01.L006</t>
        </is>
      </c>
      <c r="B2040" s="40" t="inlineStr">
        <is>
          <t>La Dolce Vita Travel Turizm Ticaret Anonim Şirketi</t>
        </is>
      </c>
      <c r="C2040" s="40" t="inlineStr">
        <is>
          <t>EUR</t>
        </is>
      </c>
      <c r="D2040" s="40" t="inlineStr">
        <is>
          <t>ROYAL ADAM EVE</t>
        </is>
      </c>
      <c r="E2040" s="38" t="n">
        <v>88197.83</v>
      </c>
      <c r="F2040" s="38" t="n">
        <v>0</v>
      </c>
      <c r="G2040" s="38" t="n">
        <v>88197.83</v>
      </c>
      <c r="H2040" s="40" t="inlineStr">
        <is>
          <t>Borç</t>
        </is>
      </c>
      <c r="I2040" s="38" t="n">
        <v>1645</v>
      </c>
      <c r="J2040" s="38" t="n">
        <v>0</v>
      </c>
      <c r="K2040" s="38" t="n">
        <v>1645</v>
      </c>
      <c r="L2040" s="40" t="inlineStr">
        <is>
          <t>Borç</t>
        </is>
      </c>
    </row>
    <row r="2041" s="34">
      <c r="A2041" s="40" t="inlineStr">
        <is>
          <t>340.01.01.L006</t>
        </is>
      </c>
      <c r="B2041" s="40" t="inlineStr">
        <is>
          <t>La Dolce Vita Travel Turizm Ticaret Anonim Şirketi</t>
        </is>
      </c>
      <c r="C2041" s="40" t="inlineStr">
        <is>
          <t>EUR</t>
        </is>
      </c>
      <c r="D2041" s="40" t="inlineStr">
        <is>
          <t>SERTAŞ MERKEZ</t>
        </is>
      </c>
      <c r="E2041" s="38" t="n">
        <v>102239.7</v>
      </c>
      <c r="F2041" s="38" t="n">
        <v>168633.2</v>
      </c>
      <c r="G2041" s="38" t="n">
        <v>-66393.5</v>
      </c>
      <c r="H2041" s="40" t="inlineStr">
        <is>
          <t>Alacak</t>
        </is>
      </c>
      <c r="I2041" s="38" t="n">
        <v>1932</v>
      </c>
      <c r="J2041" s="38" t="n">
        <v>3144.75</v>
      </c>
      <c r="K2041" s="38" t="n">
        <v>-1212.75</v>
      </c>
      <c r="L2041" s="40" t="inlineStr">
        <is>
          <t>Alacak</t>
        </is>
      </c>
    </row>
    <row r="2042" s="34">
      <c r="A2042" s="40" t="inlineStr">
        <is>
          <t>340.01.01.M002</t>
        </is>
      </c>
      <c r="B2042" s="40" t="inlineStr">
        <is>
          <t>Mevsim Taşımacılık Turizm Gıda İnş.San.ve Tic.Ltd.Şti.</t>
        </is>
      </c>
      <c r="C2042" s="40" t="inlineStr">
        <is>
          <t>TRY</t>
        </is>
      </c>
      <c r="D2042" s="40" t="inlineStr">
        <is>
          <t>GİTAŞ MERKEZ</t>
        </is>
      </c>
      <c r="E2042" s="38" t="n">
        <v>62229.6</v>
      </c>
      <c r="F2042" s="38" t="n">
        <v>0</v>
      </c>
      <c r="G2042" s="38" t="n">
        <v>62229.6</v>
      </c>
      <c r="H2042" s="40" t="inlineStr">
        <is>
          <t>Borç</t>
        </is>
      </c>
      <c r="I2042" s="38" t="n">
        <v>62229.6</v>
      </c>
      <c r="J2042" s="38" t="n">
        <v>0</v>
      </c>
      <c r="K2042" s="38" t="n">
        <v>62229.6</v>
      </c>
      <c r="L2042" s="40" t="inlineStr">
        <is>
          <t>Borç</t>
        </is>
      </c>
    </row>
    <row r="2043" s="34">
      <c r="A2043" s="40" t="inlineStr">
        <is>
          <t>340.01.01.M002</t>
        </is>
      </c>
      <c r="B2043" s="40" t="inlineStr">
        <is>
          <t>Mevsim Taşımacılık Turizm Gıda İnş.San.ve Tic.Ltd.Şti.</t>
        </is>
      </c>
      <c r="C2043" s="40" t="inlineStr">
        <is>
          <t>TRY</t>
        </is>
      </c>
      <c r="D2043" s="40" t="inlineStr">
        <is>
          <t>SERTAŞ MERKEZ</t>
        </is>
      </c>
      <c r="E2043" s="38" t="n">
        <v>37380</v>
      </c>
      <c r="F2043" s="38" t="n">
        <v>37380</v>
      </c>
      <c r="G2043" s="38" t="n">
        <v>0</v>
      </c>
      <c r="I2043" s="38" t="n">
        <v>37380</v>
      </c>
      <c r="J2043" s="38" t="n">
        <v>37380</v>
      </c>
      <c r="K2043" s="38" t="n">
        <v>0</v>
      </c>
    </row>
    <row r="2044" s="34">
      <c r="A2044" s="40" t="inlineStr">
        <is>
          <t>340.01.01.M003</t>
        </is>
      </c>
      <c r="B2044" s="40" t="inlineStr">
        <is>
          <t>Mavi Rota Turizm Ltd.</t>
        </is>
      </c>
      <c r="C2044" s="40" t="inlineStr">
        <is>
          <t>TRY</t>
        </is>
      </c>
      <c r="D2044" s="40" t="inlineStr">
        <is>
          <t>SERTAŞ MERKEZ</t>
        </is>
      </c>
      <c r="E2044" s="38" t="n">
        <v>0</v>
      </c>
      <c r="F2044" s="38" t="n">
        <v>74200</v>
      </c>
      <c r="G2044" s="38" t="n">
        <v>-74200</v>
      </c>
      <c r="H2044" s="40" t="inlineStr">
        <is>
          <t>Alacak</t>
        </is>
      </c>
      <c r="I2044" s="38" t="n">
        <v>0</v>
      </c>
      <c r="J2044" s="38" t="n">
        <v>74200</v>
      </c>
      <c r="K2044" s="38" t="n">
        <v>-74200</v>
      </c>
      <c r="L2044" s="40" t="inlineStr">
        <is>
          <t>Alacak</t>
        </is>
      </c>
    </row>
    <row r="2045" s="34">
      <c r="A2045" s="40" t="inlineStr">
        <is>
          <t>340.01.01.M010</t>
        </is>
      </c>
      <c r="B2045" s="40" t="inlineStr">
        <is>
          <t>Mavisu Turizm Tic.Ve Sey.Acentası A.Ş.</t>
        </is>
      </c>
      <c r="C2045" s="40" t="inlineStr">
        <is>
          <t>EUR</t>
        </is>
      </c>
      <c r="D2045" s="40" t="inlineStr">
        <is>
          <t>GİTAŞ MERKEZ</t>
        </is>
      </c>
      <c r="E2045" s="38" t="n">
        <v>353136.05</v>
      </c>
      <c r="F2045" s="38" t="n">
        <v>1106559.61</v>
      </c>
      <c r="G2045" s="38" t="n">
        <v>-753423.5600000001</v>
      </c>
      <c r="H2045" s="40" t="inlineStr">
        <is>
          <t>Alacak</t>
        </is>
      </c>
      <c r="I2045" s="38" t="n">
        <v>6586.43</v>
      </c>
      <c r="J2045" s="38" t="n">
        <v>20899.2</v>
      </c>
      <c r="K2045" s="38" t="n">
        <v>-14312.77</v>
      </c>
      <c r="L2045" s="40" t="inlineStr">
        <is>
          <t>Alacak</t>
        </is>
      </c>
    </row>
    <row r="2046" s="34">
      <c r="A2046" s="40" t="inlineStr">
        <is>
          <t>340.01.01.M010</t>
        </is>
      </c>
      <c r="B2046" s="40" t="inlineStr">
        <is>
          <t>Mavisu Turizm Tic.Ve Sey.Acentası A.Ş.</t>
        </is>
      </c>
      <c r="C2046" s="40" t="inlineStr">
        <is>
          <t>EUR</t>
        </is>
      </c>
      <c r="D2046" s="40" t="inlineStr">
        <is>
          <t>ROYAL ADAM EVE</t>
        </is>
      </c>
      <c r="E2046" s="38" t="n">
        <v>384216.84</v>
      </c>
      <c r="F2046" s="38" t="n">
        <v>520833.61</v>
      </c>
      <c r="G2046" s="38" t="n">
        <v>-136616.77</v>
      </c>
      <c r="H2046" s="40" t="inlineStr">
        <is>
          <t>Alacak</t>
        </is>
      </c>
      <c r="I2046" s="38" t="n">
        <v>7207.5</v>
      </c>
      <c r="J2046" s="38" t="n">
        <v>9795</v>
      </c>
      <c r="K2046" s="38" t="n">
        <v>-2587.5</v>
      </c>
      <c r="L2046" s="40" t="inlineStr">
        <is>
          <t>Alacak</t>
        </is>
      </c>
    </row>
    <row r="2047" s="34">
      <c r="A2047" s="40" t="inlineStr">
        <is>
          <t>340.01.01.M010</t>
        </is>
      </c>
      <c r="B2047" s="40" t="inlineStr">
        <is>
          <t>Mavisu Turizm Tic.Ve Sey.Acentası A.Ş.</t>
        </is>
      </c>
      <c r="C2047" s="40" t="inlineStr">
        <is>
          <t>EUR</t>
        </is>
      </c>
      <c r="D2047" s="40" t="inlineStr">
        <is>
          <t>SERTAŞ MERKEZ</t>
        </is>
      </c>
      <c r="E2047" s="38" t="n">
        <v>995728.8100000001</v>
      </c>
      <c r="F2047" s="38" t="n">
        <v>2338867.44</v>
      </c>
      <c r="G2047" s="38" t="n">
        <v>-1343138.63</v>
      </c>
      <c r="H2047" s="40" t="inlineStr">
        <is>
          <t>Alacak</t>
        </is>
      </c>
      <c r="I2047" s="38" t="n">
        <v>18743.22</v>
      </c>
      <c r="J2047" s="38" t="n">
        <v>44098.86</v>
      </c>
      <c r="K2047" s="38" t="n">
        <v>-25355.64</v>
      </c>
      <c r="L2047" s="40" t="inlineStr">
        <is>
          <t>Alacak</t>
        </is>
      </c>
    </row>
    <row r="2048" s="34">
      <c r="A2048" s="40" t="inlineStr">
        <is>
          <t>340.01.01.M015</t>
        </is>
      </c>
      <c r="B2048" s="40" t="inlineStr">
        <is>
          <t>Mek Global Turizm Danışmanlık Ltd. Şti.</t>
        </is>
      </c>
      <c r="C2048" s="40" t="inlineStr">
        <is>
          <t>TRY</t>
        </is>
      </c>
      <c r="D2048" s="40" t="inlineStr">
        <is>
          <t>SERTAŞ MERKEZ</t>
        </is>
      </c>
      <c r="E2048" s="38" t="n">
        <v>0</v>
      </c>
      <c r="F2048" s="38" t="n">
        <v>1000000</v>
      </c>
      <c r="G2048" s="38" t="n">
        <v>-1000000</v>
      </c>
      <c r="H2048" s="40" t="inlineStr">
        <is>
          <t>Alacak</t>
        </is>
      </c>
      <c r="I2048" s="38" t="n">
        <v>0</v>
      </c>
      <c r="J2048" s="38" t="n">
        <v>18680.32</v>
      </c>
      <c r="K2048" s="38" t="n">
        <v>-18680.32</v>
      </c>
      <c r="L2048" s="40" t="inlineStr">
        <is>
          <t>Alacak</t>
        </is>
      </c>
    </row>
    <row r="2049" s="34">
      <c r="A2049" s="40" t="inlineStr">
        <is>
          <t>340.01.01.M017</t>
        </is>
      </c>
      <c r="B2049" s="40" t="inlineStr">
        <is>
          <t>Memento Travel Service Turizm Tic. A.ş.</t>
        </is>
      </c>
      <c r="C2049" s="40" t="inlineStr">
        <is>
          <t>EUR</t>
        </is>
      </c>
      <c r="D2049" s="40" t="inlineStr">
        <is>
          <t>GİTAŞ MERKEZ</t>
        </is>
      </c>
      <c r="E2049" s="38" t="n">
        <v>680618.14</v>
      </c>
      <c r="F2049" s="38" t="n">
        <v>3499470.76</v>
      </c>
      <c r="G2049" s="38" t="n">
        <v>-2818852.62</v>
      </c>
      <c r="H2049" s="40" t="inlineStr">
        <is>
          <t>Alacak</t>
        </is>
      </c>
      <c r="I2049" s="38" t="n">
        <v>12827.59</v>
      </c>
      <c r="J2049" s="38" t="n">
        <v>66116.74000000001</v>
      </c>
      <c r="K2049" s="38" t="n">
        <v>-53289.15</v>
      </c>
      <c r="L2049" s="40" t="inlineStr">
        <is>
          <t>Alacak</t>
        </is>
      </c>
    </row>
    <row r="2050" s="34">
      <c r="A2050" s="40" t="inlineStr">
        <is>
          <t>340.01.01.M017</t>
        </is>
      </c>
      <c r="B2050" s="40" t="inlineStr">
        <is>
          <t>Memento Travel Service Turizm Tic. A.ş.</t>
        </is>
      </c>
      <c r="C2050" s="40" t="inlineStr">
        <is>
          <t>EUR</t>
        </is>
      </c>
      <c r="D2050" s="40" t="inlineStr">
        <is>
          <t>ROYAL ADAM EVE</t>
        </is>
      </c>
      <c r="E2050" s="38" t="n">
        <v>0</v>
      </c>
      <c r="F2050" s="38" t="n">
        <v>106892.53</v>
      </c>
      <c r="G2050" s="38" t="n">
        <v>-106892.53</v>
      </c>
      <c r="H2050" s="40" t="inlineStr">
        <is>
          <t>Alacak</t>
        </is>
      </c>
      <c r="I2050" s="38" t="n">
        <v>0</v>
      </c>
      <c r="J2050" s="38" t="n">
        <v>2012.5</v>
      </c>
      <c r="K2050" s="38" t="n">
        <v>-2012.5</v>
      </c>
      <c r="L2050" s="40" t="inlineStr">
        <is>
          <t>Alacak</t>
        </is>
      </c>
    </row>
    <row r="2051" s="34">
      <c r="A2051" s="40" t="inlineStr">
        <is>
          <t>340.01.01.M017</t>
        </is>
      </c>
      <c r="B2051" s="40" t="inlineStr">
        <is>
          <t>Memento Travel Service Turizm Tic. A.ş.</t>
        </is>
      </c>
      <c r="C2051" s="40" t="inlineStr">
        <is>
          <t>EUR</t>
        </is>
      </c>
      <c r="D2051" s="40" t="inlineStr">
        <is>
          <t>SERTAŞ MERKEZ</t>
        </is>
      </c>
      <c r="E2051" s="38" t="n">
        <v>406312.14</v>
      </c>
      <c r="F2051" s="38" t="n">
        <v>1813008.11</v>
      </c>
      <c r="G2051" s="38" t="n">
        <v>-1406695.97</v>
      </c>
      <c r="H2051" s="40" t="inlineStr">
        <is>
          <t>Alacak</t>
        </is>
      </c>
      <c r="I2051" s="38" t="n">
        <v>7619.96</v>
      </c>
      <c r="J2051" s="38" t="n">
        <v>34180.64</v>
      </c>
      <c r="K2051" s="38" t="n">
        <v>-26560.68</v>
      </c>
      <c r="L2051" s="40" t="inlineStr">
        <is>
          <t>Alacak</t>
        </is>
      </c>
    </row>
    <row r="2052" s="34">
      <c r="A2052" s="40" t="inlineStr">
        <is>
          <t>340.01.01.M019</t>
        </is>
      </c>
      <c r="B2052" s="40" t="inlineStr">
        <is>
          <t>Mercan Turizm Dış Ticaret Ltd. Şti.</t>
        </is>
      </c>
      <c r="C2052" s="40" t="inlineStr">
        <is>
          <t>EUR</t>
        </is>
      </c>
      <c r="D2052" s="40" t="inlineStr">
        <is>
          <t>SERTAŞ MERKEZ</t>
        </is>
      </c>
      <c r="E2052" s="38" t="n">
        <v>190046.21</v>
      </c>
      <c r="F2052" s="38" t="n">
        <v>343122.81</v>
      </c>
      <c r="G2052" s="38" t="n">
        <v>-153076.6</v>
      </c>
      <c r="H2052" s="40" t="inlineStr">
        <is>
          <t>Alacak</t>
        </is>
      </c>
      <c r="I2052" s="38" t="n">
        <v>3544.6</v>
      </c>
      <c r="J2052" s="38" t="n">
        <v>6468</v>
      </c>
      <c r="K2052" s="38" t="n">
        <v>-2923.4</v>
      </c>
      <c r="L2052" s="40" t="inlineStr">
        <is>
          <t>Alacak</t>
        </is>
      </c>
    </row>
    <row r="2053" s="34">
      <c r="A2053" s="40" t="inlineStr">
        <is>
          <t>340.01.01.M030</t>
        </is>
      </c>
      <c r="B2053" s="40" t="inlineStr">
        <is>
          <t>Mina Turizm San. Ve Tic.Ltd.Şti.</t>
        </is>
      </c>
      <c r="C2053" s="40" t="inlineStr">
        <is>
          <t>EUR</t>
        </is>
      </c>
      <c r="D2053" s="40" t="inlineStr">
        <is>
          <t>GİTAŞ MERKEZ</t>
        </is>
      </c>
      <c r="E2053" s="38" t="n">
        <v>250974.84</v>
      </c>
      <c r="F2053" s="38" t="n">
        <v>250363.61</v>
      </c>
      <c r="G2053" s="38" t="n">
        <v>611.23</v>
      </c>
      <c r="H2053" s="40" t="inlineStr">
        <is>
          <t>Borç</t>
        </is>
      </c>
      <c r="I2053" s="38" t="n">
        <v>4733.93</v>
      </c>
      <c r="J2053" s="38" t="n">
        <v>4733.92</v>
      </c>
      <c r="K2053" s="38" t="n">
        <v>0.01</v>
      </c>
      <c r="L2053" s="40" t="inlineStr">
        <is>
          <t>Borç</t>
        </is>
      </c>
    </row>
    <row r="2054" s="34">
      <c r="A2054" s="40" t="inlineStr">
        <is>
          <t>340.01.01.M030</t>
        </is>
      </c>
      <c r="B2054" s="40" t="inlineStr">
        <is>
          <t>Mina Turizm San. Ve Tic.Ltd.Şti.</t>
        </is>
      </c>
      <c r="C2054" s="40" t="inlineStr">
        <is>
          <t>EUR</t>
        </is>
      </c>
      <c r="D2054" s="40" t="inlineStr">
        <is>
          <t>SERTAŞ MERKEZ</t>
        </is>
      </c>
      <c r="E2054" s="38" t="n">
        <v>124971.63</v>
      </c>
      <c r="F2054" s="38" t="n">
        <v>217567.1</v>
      </c>
      <c r="G2054" s="38" t="n">
        <v>-92595.47</v>
      </c>
      <c r="H2054" s="40" t="inlineStr">
        <is>
          <t>Alacak</t>
        </is>
      </c>
      <c r="I2054" s="38" t="n">
        <v>2361.56</v>
      </c>
      <c r="J2054" s="38" t="n">
        <v>4110.85</v>
      </c>
      <c r="K2054" s="38" t="n">
        <v>-1749.29</v>
      </c>
      <c r="L2054" s="40" t="inlineStr">
        <is>
          <t>Alacak</t>
        </is>
      </c>
    </row>
    <row r="2055" s="34">
      <c r="A2055" s="40" t="inlineStr">
        <is>
          <t>340.01.01.M036</t>
        </is>
      </c>
      <c r="B2055" s="40" t="inlineStr">
        <is>
          <t>Motus Seyahat Acentalığı Taş. İnş. Tic.A.Ş.</t>
        </is>
      </c>
      <c r="C2055" s="40" t="inlineStr">
        <is>
          <t>EUR</t>
        </is>
      </c>
      <c r="D2055" s="40" t="inlineStr">
        <is>
          <t>ROYAL ADAM EVE</t>
        </is>
      </c>
      <c r="E2055" s="38" t="n">
        <v>0</v>
      </c>
      <c r="F2055" s="38" t="n">
        <v>26334150</v>
      </c>
      <c r="G2055" s="38" t="n">
        <v>-26334150</v>
      </c>
      <c r="H2055" s="40" t="inlineStr">
        <is>
          <t>Alacak</t>
        </is>
      </c>
      <c r="I2055" s="38" t="n">
        <v>0</v>
      </c>
      <c r="J2055" s="38" t="n">
        <v>500000</v>
      </c>
      <c r="K2055" s="38" t="n">
        <v>-500000</v>
      </c>
      <c r="L2055" s="40" t="inlineStr">
        <is>
          <t>Alacak</t>
        </is>
      </c>
    </row>
    <row r="2056" s="34">
      <c r="A2056" s="40" t="inlineStr">
        <is>
          <t>340.01.01.M041</t>
        </is>
      </c>
      <c r="B2056" s="40" t="inlineStr">
        <is>
          <t>Mvv Organızasyon Turizm Tic.San.Ltd.Şti</t>
        </is>
      </c>
      <c r="C2056" s="40" t="inlineStr">
        <is>
          <t>EUR</t>
        </is>
      </c>
      <c r="D2056" s="40" t="inlineStr">
        <is>
          <t>SERTAŞ MERKEZ</t>
        </is>
      </c>
      <c r="E2056" s="38" t="n">
        <v>271621.19</v>
      </c>
      <c r="F2056" s="38" t="n">
        <v>274332.57</v>
      </c>
      <c r="G2056" s="38" t="n">
        <v>-2711.38</v>
      </c>
      <c r="H2056" s="40" t="inlineStr">
        <is>
          <t>Alacak</t>
        </is>
      </c>
      <c r="I2056" s="38" t="n">
        <v>5124</v>
      </c>
      <c r="J2056" s="38" t="n">
        <v>5124</v>
      </c>
      <c r="K2056" s="38" t="n">
        <v>0</v>
      </c>
    </row>
    <row r="2057" s="34">
      <c r="A2057" s="40" t="inlineStr">
        <is>
          <t>340.01.01.N001</t>
        </is>
      </c>
      <c r="B2057" s="40" t="inlineStr">
        <is>
          <t>Namila Tur Turizm Tic.Ldt.Şti.</t>
        </is>
      </c>
      <c r="C2057" s="40" t="inlineStr">
        <is>
          <t>EUR</t>
        </is>
      </c>
      <c r="D2057" s="40" t="inlineStr">
        <is>
          <t>GİTAŞ MERKEZ</t>
        </is>
      </c>
      <c r="E2057" s="38" t="n">
        <v>110196.35</v>
      </c>
      <c r="F2057" s="38" t="n">
        <v>0</v>
      </c>
      <c r="G2057" s="38" t="n">
        <v>110196.35</v>
      </c>
      <c r="H2057" s="40" t="inlineStr">
        <is>
          <t>Borç</t>
        </is>
      </c>
      <c r="I2057" s="38" t="n">
        <v>2055.3</v>
      </c>
      <c r="J2057" s="38" t="n">
        <v>0</v>
      </c>
      <c r="K2057" s="38" t="n">
        <v>2055.3</v>
      </c>
      <c r="L2057" s="40" t="inlineStr">
        <is>
          <t>Borç</t>
        </is>
      </c>
    </row>
    <row r="2058" s="34">
      <c r="A2058" s="40" t="inlineStr">
        <is>
          <t>340.01.01.O001</t>
        </is>
      </c>
      <c r="B2058" s="40" t="inlineStr">
        <is>
          <t>Odeon Turizm İşlt.A.Ş.</t>
        </is>
      </c>
      <c r="C2058" s="40" t="inlineStr">
        <is>
          <t>EUR</t>
        </is>
      </c>
      <c r="D2058" s="40" t="inlineStr">
        <is>
          <t>GİTAŞ MERKEZ</t>
        </is>
      </c>
      <c r="E2058" s="38" t="n">
        <v>0</v>
      </c>
      <c r="F2058" s="38" t="n">
        <v>45147155</v>
      </c>
      <c r="G2058" s="38" t="n">
        <v>-45147155</v>
      </c>
      <c r="H2058" s="40" t="inlineStr">
        <is>
          <t>Alacak</t>
        </is>
      </c>
      <c r="I2058" s="38" t="n">
        <v>0</v>
      </c>
      <c r="J2058" s="38" t="n">
        <v>850000</v>
      </c>
      <c r="K2058" s="38" t="n">
        <v>-850000</v>
      </c>
      <c r="L2058" s="40" t="inlineStr">
        <is>
          <t>Alacak</t>
        </is>
      </c>
    </row>
    <row r="2059" s="34">
      <c r="A2059" s="40" t="inlineStr">
        <is>
          <t>340.01.01.O004</t>
        </is>
      </c>
      <c r="B2059" s="40" t="inlineStr">
        <is>
          <t>Ontur Seyahat Acentesi Anomim Şirketi</t>
        </is>
      </c>
      <c r="C2059" s="40" t="inlineStr">
        <is>
          <t>TRY</t>
        </is>
      </c>
      <c r="D2059" s="40" t="inlineStr">
        <is>
          <t>SERTAŞ MERKEZ</t>
        </is>
      </c>
      <c r="E2059" s="38" t="n">
        <v>64000</v>
      </c>
      <c r="F2059" s="38" t="n">
        <v>64000</v>
      </c>
      <c r="G2059" s="38" t="n">
        <v>0</v>
      </c>
      <c r="I2059" s="38" t="n">
        <v>64000</v>
      </c>
      <c r="J2059" s="38" t="n">
        <v>64000</v>
      </c>
      <c r="K2059" s="38" t="n">
        <v>0</v>
      </c>
    </row>
    <row r="2060" s="34">
      <c r="A2060" s="40" t="inlineStr">
        <is>
          <t>340.01.01.Ö004</t>
        </is>
      </c>
      <c r="B2060" s="40" t="inlineStr">
        <is>
          <t>Özkale Turizm Sey. İth. San. Ve Tic. Ltd. Şti.</t>
        </is>
      </c>
      <c r="C2060" s="40" t="inlineStr">
        <is>
          <t>EUR</t>
        </is>
      </c>
      <c r="D2060" s="40" t="inlineStr">
        <is>
          <t>ROYAL ADAM EVE</t>
        </is>
      </c>
      <c r="E2060" s="38" t="n">
        <v>45734.19</v>
      </c>
      <c r="F2060" s="38" t="n">
        <v>45313.41</v>
      </c>
      <c r="G2060" s="38" t="n">
        <v>420.78</v>
      </c>
      <c r="H2060" s="40" t="inlineStr">
        <is>
          <t>Borç</t>
        </is>
      </c>
      <c r="I2060" s="38" t="n">
        <v>853</v>
      </c>
      <c r="J2060" s="38" t="n">
        <v>853</v>
      </c>
      <c r="K2060" s="38" t="n">
        <v>0</v>
      </c>
    </row>
    <row r="2061" s="34">
      <c r="A2061" s="40" t="inlineStr">
        <is>
          <t>340.01.01.Ö004</t>
        </is>
      </c>
      <c r="B2061" s="40" t="inlineStr">
        <is>
          <t>Özkale Turizm Sey. İth. San. Ve Tic. Ltd. Şti.</t>
        </is>
      </c>
      <c r="C2061" s="40" t="inlineStr">
        <is>
          <t>EUR</t>
        </is>
      </c>
      <c r="D2061" s="40" t="inlineStr">
        <is>
          <t>SERTAŞ MERKEZ</t>
        </is>
      </c>
      <c r="E2061" s="38" t="n">
        <v>40533.47</v>
      </c>
      <c r="F2061" s="38" t="n">
        <v>295670.5</v>
      </c>
      <c r="G2061" s="38" t="n">
        <v>-255137.03</v>
      </c>
      <c r="H2061" s="40" t="inlineStr">
        <is>
          <t>Alacak</t>
        </is>
      </c>
      <c r="I2061" s="38" t="n">
        <v>756</v>
      </c>
      <c r="J2061" s="38" t="n">
        <v>5518.8</v>
      </c>
      <c r="K2061" s="38" t="n">
        <v>-4762.8</v>
      </c>
      <c r="L2061" s="40" t="inlineStr">
        <is>
          <t>Alacak</t>
        </is>
      </c>
    </row>
    <row r="2062" s="34">
      <c r="A2062" s="40" t="inlineStr">
        <is>
          <t>340.01.01.O006</t>
        </is>
      </c>
      <c r="B2062" s="40" t="inlineStr">
        <is>
          <t>Okyanuss Travel Taşımacılık Oto Kıralam</t>
        </is>
      </c>
      <c r="C2062" s="40" t="inlineStr">
        <is>
          <t>TRY</t>
        </is>
      </c>
      <c r="D2062" s="40" t="inlineStr">
        <is>
          <t>SERTAŞ MERKEZ</t>
        </is>
      </c>
      <c r="E2062" s="38" t="n">
        <v>83347.58</v>
      </c>
      <c r="F2062" s="38" t="n">
        <v>83655.02</v>
      </c>
      <c r="G2062" s="38" t="n">
        <v>-307.44</v>
      </c>
      <c r="H2062" s="40" t="inlineStr">
        <is>
          <t>Alacak</t>
        </is>
      </c>
      <c r="I2062" s="38" t="n">
        <v>1575</v>
      </c>
      <c r="J2062" s="38" t="n">
        <v>1575</v>
      </c>
      <c r="K2062" s="38" t="n">
        <v>0</v>
      </c>
    </row>
    <row r="2063" s="34">
      <c r="A2063" s="40" t="inlineStr">
        <is>
          <t>340.01.01.O009</t>
        </is>
      </c>
      <c r="B2063" s="40" t="inlineStr">
        <is>
          <t>Önce Taşımacılık Ve Turizm Tic.Ltd.Şti</t>
        </is>
      </c>
      <c r="C2063" s="40" t="inlineStr">
        <is>
          <t>EUR</t>
        </is>
      </c>
      <c r="D2063" s="40" t="inlineStr">
        <is>
          <t>ROYAL ADAM EVE</t>
        </is>
      </c>
      <c r="E2063" s="38" t="n">
        <v>0</v>
      </c>
      <c r="F2063" s="38" t="n">
        <v>324173.39</v>
      </c>
      <c r="G2063" s="38" t="n">
        <v>-324173.39</v>
      </c>
      <c r="H2063" s="40" t="inlineStr">
        <is>
          <t>Alacak</t>
        </is>
      </c>
      <c r="I2063" s="38" t="n">
        <v>0</v>
      </c>
      <c r="J2063" s="38" t="n">
        <v>6155</v>
      </c>
      <c r="K2063" s="38" t="n">
        <v>-6155</v>
      </c>
      <c r="L2063" s="40" t="inlineStr">
        <is>
          <t>Alacak</t>
        </is>
      </c>
    </row>
    <row r="2064" s="34">
      <c r="A2064" s="40" t="inlineStr">
        <is>
          <t>340.01.01.O009</t>
        </is>
      </c>
      <c r="B2064" s="40" t="inlineStr">
        <is>
          <t>Önce Taşımacılık Ve Turizm Tic.Ltd.Şti</t>
        </is>
      </c>
      <c r="C2064" s="40" t="inlineStr">
        <is>
          <t>EUR</t>
        </is>
      </c>
      <c r="D2064" s="40" t="inlineStr">
        <is>
          <t>SERTAŞ MERKEZ</t>
        </is>
      </c>
      <c r="E2064" s="38" t="n">
        <v>0</v>
      </c>
      <c r="F2064" s="38" t="n">
        <v>200058.44</v>
      </c>
      <c r="G2064" s="38" t="n">
        <v>-200058.44</v>
      </c>
      <c r="H2064" s="40" t="inlineStr">
        <is>
          <t>Alacak</t>
        </is>
      </c>
      <c r="I2064" s="38" t="n">
        <v>0</v>
      </c>
      <c r="J2064" s="38" t="n">
        <v>3784.2</v>
      </c>
      <c r="K2064" s="38" t="n">
        <v>-3784.2</v>
      </c>
      <c r="L2064" s="40" t="inlineStr">
        <is>
          <t>Alacak</t>
        </is>
      </c>
    </row>
    <row r="2065" s="34">
      <c r="A2065" s="40" t="inlineStr">
        <is>
          <t>340.01.01.O021</t>
        </is>
      </c>
      <c r="B2065" s="40" t="inlineStr">
        <is>
          <t>Ots Open Travel Servıces Ag</t>
        </is>
      </c>
      <c r="C2065" s="40" t="inlineStr">
        <is>
          <t>EUR</t>
        </is>
      </c>
      <c r="D2065" s="40" t="inlineStr">
        <is>
          <t>GİTAŞ MERKEZ</t>
        </is>
      </c>
      <c r="E2065" s="38" t="n">
        <v>0</v>
      </c>
      <c r="F2065" s="38" t="n">
        <v>1441051.55</v>
      </c>
      <c r="G2065" s="38" t="n">
        <v>-1441051.55</v>
      </c>
      <c r="H2065" s="40" t="inlineStr">
        <is>
          <t>Alacak</t>
        </is>
      </c>
      <c r="I2065" s="38" t="n">
        <v>0</v>
      </c>
      <c r="J2065" s="38" t="n">
        <v>27130.63</v>
      </c>
      <c r="K2065" s="38" t="n">
        <v>-27130.63</v>
      </c>
      <c r="L2065" s="40" t="inlineStr">
        <is>
          <t>Alacak</t>
        </is>
      </c>
    </row>
    <row r="2066" s="34">
      <c r="A2066" s="40" t="inlineStr">
        <is>
          <t>340.01.01.O021</t>
        </is>
      </c>
      <c r="B2066" s="40" t="inlineStr">
        <is>
          <t>Ots Open Travel Servıces Ag</t>
        </is>
      </c>
      <c r="C2066" s="40" t="inlineStr">
        <is>
          <t>EUR</t>
        </is>
      </c>
      <c r="D2066" s="40" t="inlineStr">
        <is>
          <t>ROYAL ADAM EVE</t>
        </is>
      </c>
      <c r="E2066" s="38" t="n">
        <v>0</v>
      </c>
      <c r="F2066" s="38" t="n">
        <v>517702.08</v>
      </c>
      <c r="G2066" s="38" t="n">
        <v>-517702.08</v>
      </c>
      <c r="H2066" s="40" t="inlineStr">
        <is>
          <t>Alacak</t>
        </is>
      </c>
      <c r="I2066" s="38" t="n">
        <v>0</v>
      </c>
      <c r="J2066" s="38" t="n">
        <v>9746.76</v>
      </c>
      <c r="K2066" s="38" t="n">
        <v>-9746.76</v>
      </c>
      <c r="L2066" s="40" t="inlineStr">
        <is>
          <t>Alacak</t>
        </is>
      </c>
    </row>
    <row r="2067" s="34">
      <c r="A2067" s="40" t="inlineStr">
        <is>
          <t>340.01.01.O021</t>
        </is>
      </c>
      <c r="B2067" s="40" t="inlineStr">
        <is>
          <t>Ots Open Travel Servıces Ag</t>
        </is>
      </c>
      <c r="C2067" s="40" t="inlineStr">
        <is>
          <t>EUR</t>
        </is>
      </c>
      <c r="D2067" s="40" t="inlineStr">
        <is>
          <t>SERTAŞ MERKEZ</t>
        </is>
      </c>
      <c r="E2067" s="38" t="n">
        <v>0</v>
      </c>
      <c r="F2067" s="38" t="n">
        <v>5901346.73</v>
      </c>
      <c r="G2067" s="38" t="n">
        <v>-5901346.73</v>
      </c>
      <c r="H2067" s="40" t="inlineStr">
        <is>
          <t>Alacak</t>
        </is>
      </c>
      <c r="I2067" s="38" t="n">
        <v>0</v>
      </c>
      <c r="J2067" s="38" t="n">
        <v>111104.46</v>
      </c>
      <c r="K2067" s="38" t="n">
        <v>-111104.46</v>
      </c>
      <c r="L2067" s="40" t="inlineStr">
        <is>
          <t>Alacak</t>
        </is>
      </c>
    </row>
    <row r="2068" s="34">
      <c r="A2068" s="40" t="inlineStr">
        <is>
          <t>340.01.01.P003</t>
        </is>
      </c>
      <c r="B2068" s="40" t="inlineStr">
        <is>
          <t>Peregrine Group Havacılık Turizm Dış Ticaret A.Ş.</t>
        </is>
      </c>
      <c r="C2068" s="40" t="inlineStr">
        <is>
          <t>EUR</t>
        </is>
      </c>
      <c r="D2068" s="40" t="inlineStr">
        <is>
          <t>SERTAŞ MERKEZ</t>
        </is>
      </c>
      <c r="E2068" s="38" t="n">
        <v>0</v>
      </c>
      <c r="F2068" s="38" t="n">
        <v>64010.28</v>
      </c>
      <c r="G2068" s="38" t="n">
        <v>-64010.28</v>
      </c>
      <c r="H2068" s="40" t="inlineStr">
        <is>
          <t>Alacak</t>
        </is>
      </c>
      <c r="I2068" s="38" t="n">
        <v>0</v>
      </c>
      <c r="J2068" s="38" t="n">
        <v>1200</v>
      </c>
      <c r="K2068" s="38" t="n">
        <v>-1200</v>
      </c>
      <c r="L2068" s="40" t="inlineStr">
        <is>
          <t>Alacak</t>
        </is>
      </c>
    </row>
    <row r="2069" s="34">
      <c r="A2069" s="40" t="inlineStr">
        <is>
          <t>340.01.01.P004</t>
        </is>
      </c>
      <c r="B2069" s="40" t="inlineStr">
        <is>
          <t>Peninsula Tours Turizm Syh.Tic.Ltd.Şti.</t>
        </is>
      </c>
      <c r="C2069" s="40" t="inlineStr">
        <is>
          <t>EUR</t>
        </is>
      </c>
      <c r="D2069" s="40" t="inlineStr">
        <is>
          <t>GİTAŞ MERKEZ</t>
        </is>
      </c>
      <c r="E2069" s="38" t="n">
        <v>1117548.87</v>
      </c>
      <c r="F2069" s="38" t="n">
        <v>1554324.79</v>
      </c>
      <c r="G2069" s="38" t="n">
        <v>-436775.92</v>
      </c>
      <c r="H2069" s="40" t="inlineStr">
        <is>
          <t>Alacak</t>
        </is>
      </c>
      <c r="I2069" s="38" t="n">
        <v>20926.9</v>
      </c>
      <c r="J2069" s="38" t="n">
        <v>29281.21</v>
      </c>
      <c r="K2069" s="38" t="n">
        <v>-8354.309999999999</v>
      </c>
      <c r="L2069" s="40" t="inlineStr">
        <is>
          <t>Alacak</t>
        </is>
      </c>
    </row>
    <row r="2070" s="34">
      <c r="A2070" s="40" t="inlineStr">
        <is>
          <t>340.01.01.P004</t>
        </is>
      </c>
      <c r="B2070" s="40" t="inlineStr">
        <is>
          <t>Peninsula Tours Turizm Syh.Tic.Ltd.Şti.</t>
        </is>
      </c>
      <c r="C2070" s="40" t="inlineStr">
        <is>
          <t>EUR</t>
        </is>
      </c>
      <c r="D2070" s="40" t="inlineStr">
        <is>
          <t>ROYAL ADAM EVE</t>
        </is>
      </c>
      <c r="E2070" s="38" t="n">
        <v>461548.59</v>
      </c>
      <c r="F2070" s="38" t="n">
        <v>717533.4</v>
      </c>
      <c r="G2070" s="38" t="n">
        <v>-255984.81</v>
      </c>
      <c r="H2070" s="40" t="inlineStr">
        <is>
          <t>Alacak</t>
        </is>
      </c>
      <c r="I2070" s="38" t="n">
        <v>8697.610000000001</v>
      </c>
      <c r="J2070" s="38" t="n">
        <v>13484.49</v>
      </c>
      <c r="K2070" s="38" t="n">
        <v>-4786.88</v>
      </c>
      <c r="L2070" s="40" t="inlineStr">
        <is>
          <t>Alacak</t>
        </is>
      </c>
    </row>
    <row r="2071" s="34">
      <c r="A2071" s="40" t="inlineStr">
        <is>
          <t>340.01.01.P004</t>
        </is>
      </c>
      <c r="B2071" s="40" t="inlineStr">
        <is>
          <t>Peninsula Tours Turizm Syh.Tic.Ltd.Şti.</t>
        </is>
      </c>
      <c r="C2071" s="40" t="inlineStr">
        <is>
          <t>EUR</t>
        </is>
      </c>
      <c r="D2071" s="40" t="inlineStr">
        <is>
          <t>SERTAŞ MERKEZ</t>
        </is>
      </c>
      <c r="E2071" s="38" t="n">
        <v>1297530.3</v>
      </c>
      <c r="F2071" s="38" t="n">
        <v>3300712.85</v>
      </c>
      <c r="G2071" s="38" t="n">
        <v>-2003182.55</v>
      </c>
      <c r="H2071" s="40" t="inlineStr">
        <is>
          <t>Alacak</t>
        </is>
      </c>
      <c r="I2071" s="38" t="n">
        <v>24350.87</v>
      </c>
      <c r="J2071" s="38" t="n">
        <v>62305.43</v>
      </c>
      <c r="K2071" s="38" t="n">
        <v>-37954.56</v>
      </c>
      <c r="L2071" s="40" t="inlineStr">
        <is>
          <t>Alacak</t>
        </is>
      </c>
    </row>
    <row r="2072" s="34">
      <c r="A2072" s="40" t="inlineStr">
        <is>
          <t>340.01.01.P006</t>
        </is>
      </c>
      <c r="B2072" s="40" t="inlineStr">
        <is>
          <t>Pgst Antalya Tur.Seyahat Acentası</t>
        </is>
      </c>
      <c r="C2072" s="40" t="inlineStr">
        <is>
          <t>EUR</t>
        </is>
      </c>
      <c r="D2072" s="40" t="inlineStr">
        <is>
          <t>GİTAŞ MERKEZ</t>
        </is>
      </c>
      <c r="E2072" s="38" t="n">
        <v>0</v>
      </c>
      <c r="F2072" s="38" t="n">
        <v>112942.27</v>
      </c>
      <c r="G2072" s="38" t="n">
        <v>-112942.27</v>
      </c>
      <c r="H2072" s="40" t="inlineStr">
        <is>
          <t>Alacak</t>
        </is>
      </c>
      <c r="I2072" s="38" t="n">
        <v>0</v>
      </c>
      <c r="J2072" s="38" t="n">
        <v>2120</v>
      </c>
      <c r="K2072" s="38" t="n">
        <v>-2120</v>
      </c>
      <c r="L2072" s="40" t="inlineStr">
        <is>
          <t>Alacak</t>
        </is>
      </c>
    </row>
    <row r="2073" s="34">
      <c r="A2073" s="40" t="inlineStr">
        <is>
          <t>340.01.01.P006</t>
        </is>
      </c>
      <c r="B2073" s="40" t="inlineStr">
        <is>
          <t>Pgst Antalya Tur.Seyahat Acentası</t>
        </is>
      </c>
      <c r="C2073" s="40" t="inlineStr">
        <is>
          <t>EUR</t>
        </is>
      </c>
      <c r="D2073" s="40" t="inlineStr">
        <is>
          <t>ROYAL ADAM EVE</t>
        </is>
      </c>
      <c r="E2073" s="38" t="n">
        <v>0</v>
      </c>
      <c r="F2073" s="38" t="n">
        <v>1939089.4</v>
      </c>
      <c r="G2073" s="38" t="n">
        <v>-1939089.4</v>
      </c>
      <c r="H2073" s="40" t="inlineStr">
        <is>
          <t>Alacak</t>
        </is>
      </c>
      <c r="I2073" s="38" t="n">
        <v>0</v>
      </c>
      <c r="J2073" s="38" t="n">
        <v>36500</v>
      </c>
      <c r="K2073" s="38" t="n">
        <v>-36500</v>
      </c>
      <c r="L2073" s="40" t="inlineStr">
        <is>
          <t>Alacak</t>
        </is>
      </c>
    </row>
    <row r="2074" s="34">
      <c r="A2074" s="40" t="inlineStr">
        <is>
          <t>340.01.01.P006</t>
        </is>
      </c>
      <c r="B2074" s="40" t="inlineStr">
        <is>
          <t>Pgst Antalya Tur.Seyahat Acentası</t>
        </is>
      </c>
      <c r="C2074" s="40" t="inlineStr">
        <is>
          <t>EUR</t>
        </is>
      </c>
      <c r="D2074" s="40" t="inlineStr">
        <is>
          <t>SERTAŞ MERKEZ</t>
        </is>
      </c>
      <c r="E2074" s="38" t="n">
        <v>0</v>
      </c>
      <c r="F2074" s="38" t="n">
        <v>1442254.04</v>
      </c>
      <c r="G2074" s="38" t="n">
        <v>-1442254.04</v>
      </c>
      <c r="H2074" s="40" t="inlineStr">
        <is>
          <t>Alacak</t>
        </is>
      </c>
      <c r="I2074" s="38" t="n">
        <v>0</v>
      </c>
      <c r="J2074" s="38" t="n">
        <v>27200</v>
      </c>
      <c r="K2074" s="38" t="n">
        <v>-27200</v>
      </c>
      <c r="L2074" s="40" t="inlineStr">
        <is>
          <t>Alacak</t>
        </is>
      </c>
    </row>
    <row r="2075" s="34">
      <c r="A2075" s="40" t="inlineStr">
        <is>
          <t>340.01.01.P012</t>
        </is>
      </c>
      <c r="B2075" s="40" t="inlineStr">
        <is>
          <t>Point Holiday Turizm Ticaret A.Ş.</t>
        </is>
      </c>
      <c r="C2075" s="40" t="inlineStr">
        <is>
          <t>EUR</t>
        </is>
      </c>
      <c r="D2075" s="40" t="inlineStr">
        <is>
          <t>ROYAL ADAM EVE</t>
        </is>
      </c>
      <c r="E2075" s="38" t="n">
        <v>628716.3</v>
      </c>
      <c r="F2075" s="38" t="n">
        <v>525692.8199999999</v>
      </c>
      <c r="G2075" s="38" t="n">
        <v>103023.48</v>
      </c>
      <c r="H2075" s="40" t="inlineStr">
        <is>
          <t>Borç</t>
        </is>
      </c>
      <c r="I2075" s="38" t="n">
        <v>11784</v>
      </c>
      <c r="J2075" s="38" t="n">
        <v>9875</v>
      </c>
      <c r="K2075" s="38" t="n">
        <v>1909</v>
      </c>
      <c r="L2075" s="40" t="inlineStr">
        <is>
          <t>Borç</t>
        </is>
      </c>
    </row>
    <row r="2076" s="34">
      <c r="A2076" s="40" t="inlineStr">
        <is>
          <t>340.01.01.R001</t>
        </is>
      </c>
      <c r="B2076" s="40" t="inlineStr">
        <is>
          <t>Rustar Onlıne Tourısm Sey. Acentası Ltd.Şti.</t>
        </is>
      </c>
      <c r="C2076" s="40" t="inlineStr">
        <is>
          <t>EUR</t>
        </is>
      </c>
      <c r="D2076" s="40" t="inlineStr">
        <is>
          <t>GİTAŞ MERKEZ</t>
        </is>
      </c>
      <c r="E2076" s="38" t="n">
        <v>113545.19</v>
      </c>
      <c r="F2076" s="38" t="n">
        <v>224428.71</v>
      </c>
      <c r="G2076" s="38" t="n">
        <v>-110883.52</v>
      </c>
      <c r="H2076" s="40" t="inlineStr">
        <is>
          <t>Alacak</t>
        </is>
      </c>
      <c r="I2076" s="38" t="n">
        <v>2117.76</v>
      </c>
      <c r="J2076" s="38" t="n">
        <v>4234.56</v>
      </c>
      <c r="K2076" s="38" t="n">
        <v>-2116.8</v>
      </c>
      <c r="L2076" s="40" t="inlineStr">
        <is>
          <t>Alacak</t>
        </is>
      </c>
    </row>
    <row r="2077" s="34">
      <c r="A2077" s="40" t="inlineStr">
        <is>
          <t>340.01.01.R001</t>
        </is>
      </c>
      <c r="B2077" s="40" t="inlineStr">
        <is>
          <t>Rustar Onlıne Tourısm Sey. Acentası Ltd.Şti.</t>
        </is>
      </c>
      <c r="C2077" s="40" t="inlineStr">
        <is>
          <t>EUR</t>
        </is>
      </c>
      <c r="D2077" s="40" t="inlineStr">
        <is>
          <t>ROYAL ADAM EVE</t>
        </is>
      </c>
      <c r="E2077" s="38" t="n">
        <v>0</v>
      </c>
      <c r="F2077" s="38" t="n">
        <v>173361.18</v>
      </c>
      <c r="G2077" s="38" t="n">
        <v>-173361.18</v>
      </c>
      <c r="H2077" s="40" t="inlineStr">
        <is>
          <t>Alacak</t>
        </is>
      </c>
      <c r="I2077" s="38" t="n">
        <v>0</v>
      </c>
      <c r="J2077" s="38" t="n">
        <v>3250</v>
      </c>
      <c r="K2077" s="38" t="n">
        <v>-3250</v>
      </c>
      <c r="L2077" s="40" t="inlineStr">
        <is>
          <t>Alacak</t>
        </is>
      </c>
    </row>
    <row r="2078" s="34">
      <c r="A2078" s="40" t="inlineStr">
        <is>
          <t>340.01.01.R001</t>
        </is>
      </c>
      <c r="B2078" s="40" t="inlineStr">
        <is>
          <t>Rustar Onlıne Tourısm Sey. Acentası Ltd.Şti.</t>
        </is>
      </c>
      <c r="C2078" s="40" t="inlineStr">
        <is>
          <t>EUR</t>
        </is>
      </c>
      <c r="D2078" s="40" t="inlineStr">
        <is>
          <t>SERTAŞ MERKEZ</t>
        </is>
      </c>
      <c r="E2078" s="38" t="n">
        <v>315423.16</v>
      </c>
      <c r="F2078" s="38" t="n">
        <v>475821.15</v>
      </c>
      <c r="G2078" s="38" t="n">
        <v>-160397.99</v>
      </c>
      <c r="H2078" s="40" t="inlineStr">
        <is>
          <t>Alacak</t>
        </is>
      </c>
      <c r="I2078" s="38" t="n">
        <v>5922</v>
      </c>
      <c r="J2078" s="38" t="n">
        <v>8925</v>
      </c>
      <c r="K2078" s="38" t="n">
        <v>-3003</v>
      </c>
      <c r="L2078" s="40" t="inlineStr">
        <is>
          <t>Alacak</t>
        </is>
      </c>
    </row>
    <row r="2079" s="34">
      <c r="A2079" s="40" t="inlineStr">
        <is>
          <t>340.01.01.R003</t>
        </is>
      </c>
      <c r="B2079" s="40" t="inlineStr">
        <is>
          <t>Rainbow Tours Destination Services Turkey Turizm ve Sey.Hiz.A.ş.</t>
        </is>
      </c>
      <c r="C2079" s="40" t="inlineStr">
        <is>
          <t>EUR</t>
        </is>
      </c>
      <c r="D2079" s="40" t="inlineStr">
        <is>
          <t>GİTAŞ MERKEZ</t>
        </is>
      </c>
      <c r="E2079" s="38" t="n">
        <v>170239.31</v>
      </c>
      <c r="F2079" s="38" t="n">
        <v>210783.29</v>
      </c>
      <c r="G2079" s="38" t="n">
        <v>-40543.98</v>
      </c>
      <c r="H2079" s="40" t="inlineStr">
        <is>
          <t>Alacak</t>
        </is>
      </c>
      <c r="I2079" s="38" t="n">
        <v>3199.88</v>
      </c>
      <c r="J2079" s="38" t="n">
        <v>3954.87</v>
      </c>
      <c r="K2079" s="38" t="n">
        <v>-754.99</v>
      </c>
      <c r="L2079" s="40" t="inlineStr">
        <is>
          <t>Alacak</t>
        </is>
      </c>
    </row>
    <row r="2080" s="34">
      <c r="A2080" s="40" t="inlineStr">
        <is>
          <t>340.01.01.R003</t>
        </is>
      </c>
      <c r="B2080" s="40" t="inlineStr">
        <is>
          <t>Rainbow Tours Destination Services Turkey Turizm ve Sey.Hiz.A.ş.</t>
        </is>
      </c>
      <c r="C2080" s="40" t="inlineStr">
        <is>
          <t>EUR</t>
        </is>
      </c>
      <c r="D2080" s="40" t="inlineStr">
        <is>
          <t>ROYAL ADAM EVE</t>
        </is>
      </c>
      <c r="E2080" s="38" t="n">
        <v>118705.16</v>
      </c>
      <c r="F2080" s="38" t="n">
        <v>118200.59</v>
      </c>
      <c r="G2080" s="38" t="n">
        <v>504.57</v>
      </c>
      <c r="H2080" s="40" t="inlineStr">
        <is>
          <t>Borç</t>
        </is>
      </c>
      <c r="I2080" s="38" t="n">
        <v>2214</v>
      </c>
      <c r="J2080" s="38" t="n">
        <v>2214</v>
      </c>
      <c r="K2080" s="38" t="n">
        <v>0</v>
      </c>
    </row>
    <row r="2081" s="34">
      <c r="A2081" s="40" t="inlineStr">
        <is>
          <t>340.01.01.R003</t>
        </is>
      </c>
      <c r="B2081" s="40" t="inlineStr">
        <is>
          <t>Rainbow Tours Destination Services Turkey Turizm ve Sey.Hiz.A.ş.</t>
        </is>
      </c>
      <c r="C2081" s="40" t="inlineStr">
        <is>
          <t>EUR</t>
        </is>
      </c>
      <c r="D2081" s="40" t="inlineStr">
        <is>
          <t>SERTAŞ MERKEZ</t>
        </is>
      </c>
      <c r="E2081" s="38" t="n">
        <v>745408.34</v>
      </c>
      <c r="F2081" s="38" t="n">
        <v>363647.72</v>
      </c>
      <c r="G2081" s="38" t="n">
        <v>381760.62</v>
      </c>
      <c r="H2081" s="40" t="inlineStr">
        <is>
          <t>Borç</t>
        </is>
      </c>
      <c r="I2081" s="38" t="n">
        <v>13947</v>
      </c>
      <c r="J2081" s="38" t="n">
        <v>6820.5</v>
      </c>
      <c r="K2081" s="38" t="n">
        <v>7126.5</v>
      </c>
      <c r="L2081" s="40" t="inlineStr">
        <is>
          <t>Borç</t>
        </is>
      </c>
    </row>
    <row r="2082" s="34">
      <c r="A2082" s="40" t="inlineStr">
        <is>
          <t>340.01.01.R004</t>
        </is>
      </c>
      <c r="B2082" s="40" t="inlineStr">
        <is>
          <t>Rsm Poland Audyt Sp. z o.o.</t>
        </is>
      </c>
      <c r="C2082" s="40" t="inlineStr">
        <is>
          <t>EUR</t>
        </is>
      </c>
      <c r="D2082" s="40" t="inlineStr">
        <is>
          <t>ROYAL ADAM EVE</t>
        </is>
      </c>
      <c r="E2082" s="38" t="n">
        <v>0</v>
      </c>
      <c r="F2082" s="38" t="n">
        <v>303205.8</v>
      </c>
      <c r="G2082" s="38" t="n">
        <v>-303205.8</v>
      </c>
      <c r="H2082" s="40" t="inlineStr">
        <is>
          <t>Alacak</t>
        </is>
      </c>
      <c r="I2082" s="38" t="n">
        <v>0</v>
      </c>
      <c r="J2082" s="38" t="n">
        <v>5700</v>
      </c>
      <c r="K2082" s="38" t="n">
        <v>-5700</v>
      </c>
      <c r="L2082" s="40" t="inlineStr">
        <is>
          <t>Alacak</t>
        </is>
      </c>
    </row>
    <row r="2083" s="34">
      <c r="A2083" s="40" t="inlineStr">
        <is>
          <t>340.01.01.R005</t>
        </is>
      </c>
      <c r="B2083" s="40" t="inlineStr">
        <is>
          <t>Rsm Bg Eood</t>
        </is>
      </c>
      <c r="C2083" s="40" t="inlineStr">
        <is>
          <t>EUR</t>
        </is>
      </c>
      <c r="D2083" s="40" t="inlineStr">
        <is>
          <t>ROYAL ADAM EVE</t>
        </is>
      </c>
      <c r="E2083" s="38" t="n">
        <v>0</v>
      </c>
      <c r="F2083" s="38" t="n">
        <v>108504.74</v>
      </c>
      <c r="G2083" s="38" t="n">
        <v>-108504.74</v>
      </c>
      <c r="H2083" s="40" t="inlineStr">
        <is>
          <t>Alacak</t>
        </is>
      </c>
      <c r="I2083" s="38" t="n">
        <v>0</v>
      </c>
      <c r="J2083" s="38" t="n">
        <v>2040</v>
      </c>
      <c r="K2083" s="38" t="n">
        <v>-2040</v>
      </c>
      <c r="L2083" s="40" t="inlineStr">
        <is>
          <t>Alacak</t>
        </is>
      </c>
    </row>
    <row r="2084" s="34">
      <c r="A2084" s="40" t="inlineStr">
        <is>
          <t>340.01.01.R006</t>
        </is>
      </c>
      <c r="B2084" s="40" t="inlineStr">
        <is>
          <t>RSM Switzerland SA</t>
        </is>
      </c>
      <c r="C2084" s="40" t="inlineStr">
        <is>
          <t>EUR</t>
        </is>
      </c>
      <c r="D2084" s="40" t="inlineStr">
        <is>
          <t>ROYAL ADAM EVE</t>
        </is>
      </c>
      <c r="E2084" s="38" t="n">
        <v>0</v>
      </c>
      <c r="F2084" s="38" t="n">
        <v>929098.46</v>
      </c>
      <c r="G2084" s="38" t="n">
        <v>-929098.46</v>
      </c>
      <c r="H2084" s="40" t="inlineStr">
        <is>
          <t>Alacak</t>
        </is>
      </c>
      <c r="I2084" s="38" t="n">
        <v>0</v>
      </c>
      <c r="J2084" s="38" t="n">
        <v>17468</v>
      </c>
      <c r="K2084" s="38" t="n">
        <v>-17468</v>
      </c>
      <c r="L2084" s="40" t="inlineStr">
        <is>
          <t>Alacak</t>
        </is>
      </c>
    </row>
    <row r="2085" s="34">
      <c r="A2085" s="40" t="inlineStr">
        <is>
          <t>340.01.01.R007</t>
        </is>
      </c>
      <c r="B2085" s="40" t="inlineStr">
        <is>
          <t>RODOP TURİZM SEYAHAT TAŞ. TİC. LTD. ŞTİ.</t>
        </is>
      </c>
      <c r="C2085" s="40" t="inlineStr">
        <is>
          <t>EUR</t>
        </is>
      </c>
      <c r="D2085" s="40" t="inlineStr">
        <is>
          <t>ROYAL ADAM EVE</t>
        </is>
      </c>
      <c r="E2085" s="38" t="n">
        <v>315394.36</v>
      </c>
      <c r="F2085" s="38" t="n">
        <v>312494.8</v>
      </c>
      <c r="G2085" s="38" t="n">
        <v>2899.56</v>
      </c>
      <c r="H2085" s="40" t="inlineStr">
        <is>
          <t>Borç</t>
        </is>
      </c>
      <c r="I2085" s="38" t="n">
        <v>5882.5</v>
      </c>
      <c r="J2085" s="38" t="n">
        <v>5882.5</v>
      </c>
      <c r="K2085" s="38" t="n">
        <v>0</v>
      </c>
    </row>
    <row r="2086" s="34">
      <c r="A2086" s="40" t="inlineStr">
        <is>
          <t>340.01.01.R007</t>
        </is>
      </c>
      <c r="B2086" s="40" t="inlineStr">
        <is>
          <t>RODOP TURİZM SEYAHAT TAŞ. TİC. LTD. ŞTİ.</t>
        </is>
      </c>
      <c r="C2086" s="40" t="inlineStr">
        <is>
          <t>EUR</t>
        </is>
      </c>
      <c r="D2086" s="40" t="inlineStr">
        <is>
          <t>SERTAŞ MERKEZ</t>
        </is>
      </c>
      <c r="E2086" s="38" t="n">
        <v>0</v>
      </c>
      <c r="F2086" s="38" t="n">
        <v>63873.48</v>
      </c>
      <c r="G2086" s="38" t="n">
        <v>-63873.48</v>
      </c>
      <c r="H2086" s="40" t="inlineStr">
        <is>
          <t>Alacak</t>
        </is>
      </c>
      <c r="I2086" s="38" t="n">
        <v>0</v>
      </c>
      <c r="J2086" s="38" t="n">
        <v>1212.75</v>
      </c>
      <c r="K2086" s="38" t="n">
        <v>-1212.75</v>
      </c>
      <c r="L2086" s="40" t="inlineStr">
        <is>
          <t>Alacak</t>
        </is>
      </c>
    </row>
    <row r="2087" s="34">
      <c r="A2087" s="40" t="inlineStr">
        <is>
          <t>340.01.01.R011</t>
        </is>
      </c>
      <c r="B2087" s="40" t="inlineStr">
        <is>
          <t>Royana Turizm Ve Tic.Ltd.Şti</t>
        </is>
      </c>
      <c r="C2087" s="40" t="inlineStr">
        <is>
          <t>EUR</t>
        </is>
      </c>
      <c r="D2087" s="40" t="inlineStr">
        <is>
          <t>SERTAŞ MERKEZ</t>
        </is>
      </c>
      <c r="E2087" s="38" t="n">
        <v>159093.87</v>
      </c>
      <c r="F2087" s="38" t="n">
        <v>166509.03</v>
      </c>
      <c r="G2087" s="38" t="n">
        <v>-7415.16</v>
      </c>
      <c r="H2087" s="40" t="inlineStr">
        <is>
          <t>Alacak</t>
        </is>
      </c>
      <c r="I2087" s="38" t="n">
        <v>2967.3</v>
      </c>
      <c r="J2087" s="38" t="n">
        <v>3121.3</v>
      </c>
      <c r="K2087" s="38" t="n">
        <v>-154</v>
      </c>
      <c r="L2087" s="40" t="inlineStr">
        <is>
          <t>Alacak</t>
        </is>
      </c>
    </row>
    <row r="2088" s="34">
      <c r="A2088" s="40" t="inlineStr">
        <is>
          <t>340.01.01.S005</t>
        </is>
      </c>
      <c r="B2088" s="40" t="inlineStr">
        <is>
          <t>Ssw Turim Seyehat Tic.Ltd.Şti.</t>
        </is>
      </c>
      <c r="C2088" s="40" t="inlineStr">
        <is>
          <t>EUR</t>
        </is>
      </c>
      <c r="D2088" s="40" t="inlineStr">
        <is>
          <t>ROYAL ADAM EVE</t>
        </is>
      </c>
      <c r="E2088" s="38" t="n">
        <v>76863.92</v>
      </c>
      <c r="F2088" s="38" t="n">
        <v>77065.33</v>
      </c>
      <c r="G2088" s="38" t="n">
        <v>-201.41</v>
      </c>
      <c r="H2088" s="40" t="inlineStr">
        <is>
          <t>Alacak</t>
        </is>
      </c>
      <c r="I2088" s="38" t="n">
        <v>1450</v>
      </c>
      <c r="J2088" s="38" t="n">
        <v>1450</v>
      </c>
      <c r="K2088" s="38" t="n">
        <v>0</v>
      </c>
    </row>
    <row r="2089" s="34">
      <c r="A2089" s="40" t="inlineStr">
        <is>
          <t>340.01.01.S006</t>
        </is>
      </c>
      <c r="B2089" s="40" t="inlineStr">
        <is>
          <t>Sedura Turizm Seyahat Acentası San. ve Tic. Ltd. Şti.</t>
        </is>
      </c>
      <c r="C2089" s="40" t="inlineStr">
        <is>
          <t>EUR</t>
        </is>
      </c>
      <c r="D2089" s="40" t="inlineStr">
        <is>
          <t>ROYAL ADAM EVE</t>
        </is>
      </c>
      <c r="E2089" s="38" t="n">
        <v>0</v>
      </c>
      <c r="F2089" s="38" t="n">
        <v>197057.76</v>
      </c>
      <c r="G2089" s="38" t="n">
        <v>-197057.76</v>
      </c>
      <c r="H2089" s="40" t="inlineStr">
        <is>
          <t>Alacak</t>
        </is>
      </c>
      <c r="I2089" s="38" t="n">
        <v>0</v>
      </c>
      <c r="J2089" s="38" t="n">
        <v>3710</v>
      </c>
      <c r="K2089" s="38" t="n">
        <v>-3710</v>
      </c>
      <c r="L2089" s="40" t="inlineStr">
        <is>
          <t>Alacak</t>
        </is>
      </c>
    </row>
    <row r="2090" s="34">
      <c r="A2090" s="40" t="inlineStr">
        <is>
          <t>340.01.01.S008</t>
        </is>
      </c>
      <c r="B2090" s="40" t="inlineStr">
        <is>
          <t>Sonar Turizm Tic. Ltd. Şti.</t>
        </is>
      </c>
      <c r="C2090" s="40" t="inlineStr">
        <is>
          <t>EUR</t>
        </is>
      </c>
      <c r="D2090" s="40" t="inlineStr">
        <is>
          <t>SERTAŞ MERKEZ</t>
        </is>
      </c>
      <c r="E2090" s="38" t="n">
        <v>175645.03</v>
      </c>
      <c r="F2090" s="38" t="n">
        <v>259358.93</v>
      </c>
      <c r="G2090" s="38" t="n">
        <v>-83713.89999999999</v>
      </c>
      <c r="H2090" s="40" t="inlineStr">
        <is>
          <t>Alacak</t>
        </is>
      </c>
      <c r="I2090" s="38" t="n">
        <v>3276</v>
      </c>
      <c r="J2090" s="38" t="n">
        <v>4893</v>
      </c>
      <c r="K2090" s="38" t="n">
        <v>-1617</v>
      </c>
      <c r="L2090" s="40" t="inlineStr">
        <is>
          <t>Alacak</t>
        </is>
      </c>
    </row>
    <row r="2091" s="34">
      <c r="A2091" s="40" t="inlineStr">
        <is>
          <t>340.01.01.S019</t>
        </is>
      </c>
      <c r="B2091" s="40" t="inlineStr">
        <is>
          <t>Serafina Turizm Otelcilik San.Tic.Ltd.Şt</t>
        </is>
      </c>
      <c r="C2091" s="40" t="inlineStr">
        <is>
          <t>TRY</t>
        </is>
      </c>
      <c r="D2091" s="40" t="inlineStr">
        <is>
          <t>GİTAŞ MERKEZ</t>
        </is>
      </c>
      <c r="E2091" s="38" t="n">
        <v>207687.6</v>
      </c>
      <c r="F2091" s="38" t="n">
        <v>109349.1</v>
      </c>
      <c r="G2091" s="38" t="n">
        <v>98338.5</v>
      </c>
      <c r="H2091" s="40" t="inlineStr">
        <is>
          <t>Borç</t>
        </is>
      </c>
      <c r="I2091" s="38" t="n">
        <v>207687.6</v>
      </c>
      <c r="J2091" s="38" t="n">
        <v>109349.1</v>
      </c>
      <c r="K2091" s="38" t="n">
        <v>98338.5</v>
      </c>
      <c r="L2091" s="40" t="inlineStr">
        <is>
          <t>Borç</t>
        </is>
      </c>
    </row>
    <row r="2092" s="34">
      <c r="A2092" s="40" t="inlineStr">
        <is>
          <t>340.01.01.S019</t>
        </is>
      </c>
      <c r="B2092" s="40" t="inlineStr">
        <is>
          <t>Serafina Turizm Otelcilik San.Tic.Ltd.Şt</t>
        </is>
      </c>
      <c r="C2092" s="40" t="inlineStr">
        <is>
          <t>TRY</t>
        </is>
      </c>
      <c r="D2092" s="40" t="inlineStr">
        <is>
          <t>SERTAŞ MERKEZ</t>
        </is>
      </c>
      <c r="E2092" s="38" t="n">
        <v>67284</v>
      </c>
      <c r="F2092" s="38" t="n">
        <v>67284</v>
      </c>
      <c r="G2092" s="38" t="n">
        <v>0</v>
      </c>
      <c r="I2092" s="38" t="n">
        <v>67284</v>
      </c>
      <c r="J2092" s="38" t="n">
        <v>67284</v>
      </c>
      <c r="K2092" s="38" t="n">
        <v>0</v>
      </c>
    </row>
    <row r="2093" s="34">
      <c r="A2093" s="40" t="inlineStr">
        <is>
          <t>340.01.01.S022</t>
        </is>
      </c>
      <c r="B2093" s="40" t="inlineStr">
        <is>
          <t>Setur Servis Turistik A.Ş.</t>
        </is>
      </c>
      <c r="C2093" s="40" t="inlineStr">
        <is>
          <t>TRY</t>
        </is>
      </c>
      <c r="D2093" s="40" t="inlineStr">
        <is>
          <t>GİTAŞ MERKEZ</t>
        </is>
      </c>
      <c r="E2093" s="38" t="n">
        <v>0</v>
      </c>
      <c r="F2093" s="38" t="n">
        <v>217900</v>
      </c>
      <c r="G2093" s="38" t="n">
        <v>-217900</v>
      </c>
      <c r="H2093" s="40" t="inlineStr">
        <is>
          <t>Alacak</t>
        </is>
      </c>
      <c r="I2093" s="38" t="n">
        <v>0</v>
      </c>
      <c r="J2093" s="38" t="n">
        <v>217900</v>
      </c>
      <c r="K2093" s="38" t="n">
        <v>-217900</v>
      </c>
      <c r="L2093" s="40" t="inlineStr">
        <is>
          <t>Alacak</t>
        </is>
      </c>
    </row>
    <row r="2094" s="34">
      <c r="A2094" s="40" t="inlineStr">
        <is>
          <t>340.01.01.S025</t>
        </is>
      </c>
      <c r="B2094" s="40" t="inlineStr">
        <is>
          <t>Smg Seyahat Turizm Sağlık San. Ve Tic. Ltd. Şti.</t>
        </is>
      </c>
      <c r="C2094" s="40" t="inlineStr">
        <is>
          <t>TRY</t>
        </is>
      </c>
      <c r="D2094" s="40" t="inlineStr">
        <is>
          <t>SERTAŞ MERKEZ</t>
        </is>
      </c>
      <c r="E2094" s="38" t="n">
        <v>0</v>
      </c>
      <c r="F2094" s="38" t="n">
        <v>311500</v>
      </c>
      <c r="G2094" s="38" t="n">
        <v>-311500</v>
      </c>
      <c r="H2094" s="40" t="inlineStr">
        <is>
          <t>Alacak</t>
        </is>
      </c>
      <c r="I2094" s="38" t="n">
        <v>0</v>
      </c>
      <c r="J2094" s="38" t="n">
        <v>311500</v>
      </c>
      <c r="K2094" s="38" t="n">
        <v>-311500</v>
      </c>
      <c r="L2094" s="40" t="inlineStr">
        <is>
          <t>Alacak</t>
        </is>
      </c>
    </row>
    <row r="2095" s="34">
      <c r="A2095" s="40" t="inlineStr">
        <is>
          <t>340.01.01.S037</t>
        </is>
      </c>
      <c r="B2095" s="40" t="inlineStr">
        <is>
          <t>Suntalya Turizm Seyahat Taşımacılık A.Ş</t>
        </is>
      </c>
      <c r="C2095" s="40" t="inlineStr">
        <is>
          <t>EUR</t>
        </is>
      </c>
      <c r="D2095" s="40" t="inlineStr">
        <is>
          <t>GİTAŞ MERKEZ</t>
        </is>
      </c>
      <c r="E2095" s="38" t="n">
        <v>0</v>
      </c>
      <c r="F2095" s="38" t="n">
        <v>735614.62</v>
      </c>
      <c r="G2095" s="38" t="n">
        <v>-735614.62</v>
      </c>
      <c r="H2095" s="40" t="inlineStr">
        <is>
          <t>Alacak</t>
        </is>
      </c>
      <c r="I2095" s="38" t="n">
        <v>0</v>
      </c>
      <c r="J2095" s="38" t="n">
        <v>13796.25</v>
      </c>
      <c r="K2095" s="38" t="n">
        <v>-13796.25</v>
      </c>
      <c r="L2095" s="40" t="inlineStr">
        <is>
          <t>Alacak</t>
        </is>
      </c>
    </row>
    <row r="2096" s="34">
      <c r="A2096" s="40" t="inlineStr">
        <is>
          <t>340.01.01.S037</t>
        </is>
      </c>
      <c r="B2096" s="40" t="inlineStr">
        <is>
          <t>Suntalya Turizm Seyahat Taşımacılık A.Ş</t>
        </is>
      </c>
      <c r="C2096" s="40" t="inlineStr">
        <is>
          <t>EUR</t>
        </is>
      </c>
      <c r="D2096" s="40" t="inlineStr">
        <is>
          <t>ROYAL ADAM EVE</t>
        </is>
      </c>
      <c r="E2096" s="38" t="n">
        <v>0</v>
      </c>
      <c r="F2096" s="38" t="n">
        <v>402146.39</v>
      </c>
      <c r="G2096" s="38" t="n">
        <v>-402146.39</v>
      </c>
      <c r="H2096" s="40" t="inlineStr">
        <is>
          <t>Alacak</t>
        </is>
      </c>
      <c r="I2096" s="38" t="n">
        <v>0</v>
      </c>
      <c r="J2096" s="38" t="n">
        <v>7537.55</v>
      </c>
      <c r="K2096" s="38" t="n">
        <v>-7537.55</v>
      </c>
      <c r="L2096" s="40" t="inlineStr">
        <is>
          <t>Alacak</t>
        </is>
      </c>
    </row>
    <row r="2097" s="34">
      <c r="A2097" s="40" t="inlineStr">
        <is>
          <t>340.01.01.S037</t>
        </is>
      </c>
      <c r="B2097" s="40" t="inlineStr">
        <is>
          <t>Suntalya Turizm Seyahat Taşımacılık A.Ş</t>
        </is>
      </c>
      <c r="C2097" s="40" t="inlineStr">
        <is>
          <t>EUR</t>
        </is>
      </c>
      <c r="D2097" s="40" t="inlineStr">
        <is>
          <t>SERTAŞ MERKEZ</t>
        </is>
      </c>
      <c r="E2097" s="38" t="n">
        <v>0</v>
      </c>
      <c r="F2097" s="38" t="n">
        <v>1137167.27</v>
      </c>
      <c r="G2097" s="38" t="n">
        <v>-1137167.27</v>
      </c>
      <c r="H2097" s="40" t="inlineStr">
        <is>
          <t>Alacak</t>
        </is>
      </c>
      <c r="I2097" s="38" t="n">
        <v>0</v>
      </c>
      <c r="J2097" s="38" t="n">
        <v>21323.76</v>
      </c>
      <c r="K2097" s="38" t="n">
        <v>-21323.76</v>
      </c>
      <c r="L2097" s="40" t="inlineStr">
        <is>
          <t>Alacak</t>
        </is>
      </c>
    </row>
    <row r="2098" s="34">
      <c r="A2098" s="40" t="inlineStr">
        <is>
          <t>340.01.01.T002</t>
        </is>
      </c>
      <c r="B2098" s="40" t="inlineStr">
        <is>
          <t>Taç Prm Konaklama Hiz.Tur.İnş.Ve Tic.A.Ş.</t>
        </is>
      </c>
      <c r="C2098" s="40" t="inlineStr">
        <is>
          <t>EUR</t>
        </is>
      </c>
      <c r="D2098" s="40" t="inlineStr">
        <is>
          <t>GİTAŞ MERKEZ</t>
        </is>
      </c>
      <c r="E2098" s="38" t="n">
        <v>61281.32</v>
      </c>
      <c r="F2098" s="38" t="n">
        <v>153987.87</v>
      </c>
      <c r="G2098" s="38" t="n">
        <v>-92706.55</v>
      </c>
      <c r="H2098" s="40" t="inlineStr">
        <is>
          <t>Alacak</t>
        </is>
      </c>
      <c r="I2098" s="38" t="n">
        <v>1147.5</v>
      </c>
      <c r="J2098" s="38" t="n">
        <v>2920.99</v>
      </c>
      <c r="K2098" s="38" t="n">
        <v>-1773.49</v>
      </c>
      <c r="L2098" s="40" t="inlineStr">
        <is>
          <t>Alacak</t>
        </is>
      </c>
    </row>
    <row r="2099" s="34">
      <c r="A2099" s="40" t="inlineStr">
        <is>
          <t>340.01.01.T002</t>
        </is>
      </c>
      <c r="B2099" s="40" t="inlineStr">
        <is>
          <t>Taç Prm Konaklama Hiz.Tur.İnş.Ve Tic.A.Ş.</t>
        </is>
      </c>
      <c r="C2099" s="40" t="inlineStr">
        <is>
          <t>EUR</t>
        </is>
      </c>
      <c r="D2099" s="40" t="inlineStr">
        <is>
          <t>ROYAL ADAM EVE</t>
        </is>
      </c>
      <c r="E2099" s="38" t="n">
        <v>0</v>
      </c>
      <c r="F2099" s="38" t="n">
        <v>142678.42</v>
      </c>
      <c r="G2099" s="38" t="n">
        <v>-142678.42</v>
      </c>
      <c r="H2099" s="40" t="inlineStr">
        <is>
          <t>Alacak</t>
        </is>
      </c>
      <c r="I2099" s="38" t="n">
        <v>0</v>
      </c>
      <c r="J2099" s="38" t="n">
        <v>2709</v>
      </c>
      <c r="K2099" s="38" t="n">
        <v>-2709</v>
      </c>
      <c r="L2099" s="40" t="inlineStr">
        <is>
          <t>Alacak</t>
        </is>
      </c>
    </row>
    <row r="2100" s="34">
      <c r="A2100" s="40" t="inlineStr">
        <is>
          <t>340.01.01.T002</t>
        </is>
      </c>
      <c r="B2100" s="40" t="inlineStr">
        <is>
          <t>Taç Prm Konaklama Hiz.Tur.İnş.Ve Tic.A.Ş.</t>
        </is>
      </c>
      <c r="C2100" s="40" t="inlineStr">
        <is>
          <t>EUR</t>
        </is>
      </c>
      <c r="D2100" s="40" t="inlineStr">
        <is>
          <t>SERTAŞ MERKEZ</t>
        </is>
      </c>
      <c r="E2100" s="38" t="n">
        <v>203174.01</v>
      </c>
      <c r="F2100" s="38" t="n">
        <v>201653.12</v>
      </c>
      <c r="G2100" s="38" t="n">
        <v>1520.89</v>
      </c>
      <c r="H2100" s="40" t="inlineStr">
        <is>
          <t>Borç</t>
        </is>
      </c>
      <c r="I2100" s="38" t="n">
        <v>3789.45</v>
      </c>
      <c r="J2100" s="38" t="n">
        <v>3789.45</v>
      </c>
      <c r="K2100" s="38" t="n">
        <v>0</v>
      </c>
    </row>
    <row r="2101" s="34">
      <c r="A2101" s="40" t="inlineStr">
        <is>
          <t>340.01.01.T003</t>
        </is>
      </c>
      <c r="B2101" s="40" t="inlineStr">
        <is>
          <t>TETEKSPRES TURİZM TAŞ. TİC. LTD. ŞTİ</t>
        </is>
      </c>
      <c r="C2101" s="40" t="inlineStr">
        <is>
          <t>EUR</t>
        </is>
      </c>
      <c r="D2101" s="40" t="inlineStr">
        <is>
          <t>GİTAŞ MERKEZ</t>
        </is>
      </c>
      <c r="E2101" s="38" t="n">
        <v>346414.79</v>
      </c>
      <c r="F2101" s="38" t="n">
        <v>599238.11</v>
      </c>
      <c r="G2101" s="38" t="n">
        <v>-252823.32</v>
      </c>
      <c r="H2101" s="40" t="inlineStr">
        <is>
          <t>Alacak</t>
        </is>
      </c>
      <c r="I2101" s="38" t="n">
        <v>6461.07</v>
      </c>
      <c r="J2101" s="38" t="n">
        <v>11321.32</v>
      </c>
      <c r="K2101" s="38" t="n">
        <v>-4860.25</v>
      </c>
      <c r="L2101" s="40" t="inlineStr">
        <is>
          <t>Alacak</t>
        </is>
      </c>
    </row>
    <row r="2102" s="34">
      <c r="A2102" s="40" t="inlineStr">
        <is>
          <t>340.01.01.T003</t>
        </is>
      </c>
      <c r="B2102" s="40" t="inlineStr">
        <is>
          <t>TETEKSPRES TURİZM TAŞ. TİC. LTD. ŞTİ</t>
        </is>
      </c>
      <c r="C2102" s="40" t="inlineStr">
        <is>
          <t>EUR</t>
        </is>
      </c>
      <c r="D2102" s="40" t="inlineStr">
        <is>
          <t>ROYAL ADAM EVE</t>
        </is>
      </c>
      <c r="E2102" s="38" t="n">
        <v>116714.95</v>
      </c>
      <c r="F2102" s="38" t="n">
        <v>207371.49</v>
      </c>
      <c r="G2102" s="38" t="n">
        <v>-90656.53999999999</v>
      </c>
      <c r="H2102" s="40" t="inlineStr">
        <is>
          <t>Alacak</t>
        </is>
      </c>
      <c r="I2102" s="38" t="n">
        <v>2176.88</v>
      </c>
      <c r="J2102" s="38" t="n">
        <v>3901.88</v>
      </c>
      <c r="K2102" s="38" t="n">
        <v>-1725</v>
      </c>
      <c r="L2102" s="40" t="inlineStr">
        <is>
          <t>Alacak</t>
        </is>
      </c>
    </row>
    <row r="2103" s="34">
      <c r="A2103" s="40" t="inlineStr">
        <is>
          <t>340.01.01.T003</t>
        </is>
      </c>
      <c r="B2103" s="40" t="inlineStr">
        <is>
          <t>TETEKSPRES TURİZM TAŞ. TİC. LTD. ŞTİ</t>
        </is>
      </c>
      <c r="C2103" s="40" t="inlineStr">
        <is>
          <t>EUR</t>
        </is>
      </c>
      <c r="D2103" s="40" t="inlineStr">
        <is>
          <t>SERTAŞ MERKEZ</t>
        </is>
      </c>
      <c r="E2103" s="38" t="n">
        <v>249018.56</v>
      </c>
      <c r="F2103" s="38" t="n">
        <v>1092815.41</v>
      </c>
      <c r="G2103" s="38" t="n">
        <v>-843796.85</v>
      </c>
      <c r="H2103" s="40" t="inlineStr">
        <is>
          <t>Alacak</t>
        </is>
      </c>
      <c r="I2103" s="38" t="n">
        <v>4668.3</v>
      </c>
      <c r="J2103" s="38" t="n">
        <v>20584.48</v>
      </c>
      <c r="K2103" s="38" t="n">
        <v>-15916.18</v>
      </c>
      <c r="L2103" s="40" t="inlineStr">
        <is>
          <t>Alacak</t>
        </is>
      </c>
    </row>
    <row r="2104" s="34">
      <c r="A2104" s="40" t="inlineStr">
        <is>
          <t>340.01.01.T008</t>
        </is>
      </c>
      <c r="B2104" s="40" t="inlineStr">
        <is>
          <t>Tuğhan Seyehat Turizm Oto.İnş.Eml.San. ve Tic.Ltd.Şti.</t>
        </is>
      </c>
      <c r="C2104" s="40" t="inlineStr">
        <is>
          <t>TRY</t>
        </is>
      </c>
      <c r="D2104" s="40" t="inlineStr">
        <is>
          <t>GİTAŞ MERKEZ</t>
        </is>
      </c>
      <c r="E2104" s="38" t="n">
        <v>115263.39</v>
      </c>
      <c r="F2104" s="38" t="n">
        <v>169932</v>
      </c>
      <c r="G2104" s="38" t="n">
        <v>-54668.61</v>
      </c>
      <c r="H2104" s="40" t="inlineStr">
        <is>
          <t>Alacak</t>
        </is>
      </c>
      <c r="I2104" s="38" t="n">
        <v>115263.39</v>
      </c>
      <c r="J2104" s="38" t="n">
        <v>169932</v>
      </c>
      <c r="K2104" s="38" t="n">
        <v>-54668.61</v>
      </c>
      <c r="L2104" s="40" t="inlineStr">
        <is>
          <t>Alacak</t>
        </is>
      </c>
    </row>
    <row r="2105" s="34">
      <c r="A2105" s="40" t="inlineStr">
        <is>
          <t>340.01.01.T008</t>
        </is>
      </c>
      <c r="B2105" s="40" t="inlineStr">
        <is>
          <t>Tuğhan Seyehat Turizm Oto.İnş.Eml.San. ve Tic.Ltd.Şti.</t>
        </is>
      </c>
      <c r="C2105" s="40" t="inlineStr">
        <is>
          <t>TRY</t>
        </is>
      </c>
      <c r="D2105" s="40" t="inlineStr">
        <is>
          <t>SERTAŞ MERKEZ</t>
        </is>
      </c>
      <c r="E2105" s="38" t="n">
        <v>199004</v>
      </c>
      <c r="F2105" s="38" t="n">
        <v>519160.5</v>
      </c>
      <c r="G2105" s="38" t="n">
        <v>-320156.5</v>
      </c>
      <c r="H2105" s="40" t="inlineStr">
        <is>
          <t>Alacak</t>
        </is>
      </c>
      <c r="I2105" s="38" t="n">
        <v>199004</v>
      </c>
      <c r="J2105" s="38" t="n">
        <v>519160.5</v>
      </c>
      <c r="K2105" s="38" t="n">
        <v>-320156.5</v>
      </c>
      <c r="L2105" s="40" t="inlineStr">
        <is>
          <t>Alacak</t>
        </is>
      </c>
    </row>
    <row r="2106" s="34">
      <c r="A2106" s="40" t="inlineStr">
        <is>
          <t>340.01.01.T009</t>
        </is>
      </c>
      <c r="B2106" s="40" t="inlineStr">
        <is>
          <t>Target Digital Reklamcılık Ticaret Ltd. Şti.</t>
        </is>
      </c>
      <c r="C2106" s="40" t="inlineStr">
        <is>
          <t>EUR</t>
        </is>
      </c>
      <c r="D2106" s="40" t="inlineStr">
        <is>
          <t>SERTAŞ MERKEZ</t>
        </is>
      </c>
      <c r="E2106" s="38" t="n">
        <v>54065.59</v>
      </c>
      <c r="F2106" s="38" t="n">
        <v>54065.59</v>
      </c>
      <c r="G2106" s="38" t="n">
        <v>0</v>
      </c>
      <c r="I2106" s="38" t="n">
        <v>1008</v>
      </c>
      <c r="J2106" s="38" t="n">
        <v>1008</v>
      </c>
      <c r="K2106" s="38" t="n">
        <v>0</v>
      </c>
    </row>
    <row r="2107" s="34">
      <c r="A2107" s="40" t="inlineStr">
        <is>
          <t>340.01.01.T011</t>
        </is>
      </c>
      <c r="B2107" s="40" t="inlineStr">
        <is>
          <t>Tatilbudur Seyahat Acenteliği Ve Turizm A.Ş.</t>
        </is>
      </c>
      <c r="C2107" s="40" t="inlineStr">
        <is>
          <t>TRY</t>
        </is>
      </c>
      <c r="D2107" s="40" t="inlineStr">
        <is>
          <t>ROYAL ADAM EVE</t>
        </is>
      </c>
      <c r="E2107" s="38" t="n">
        <v>697410.8</v>
      </c>
      <c r="F2107" s="38" t="n">
        <v>0</v>
      </c>
      <c r="G2107" s="38" t="n">
        <v>697410.8</v>
      </c>
      <c r="H2107" s="40" t="inlineStr">
        <is>
          <t>Borç</t>
        </is>
      </c>
      <c r="I2107" s="38" t="n">
        <v>697410.8</v>
      </c>
      <c r="J2107" s="38" t="n">
        <v>0</v>
      </c>
      <c r="K2107" s="38" t="n">
        <v>697410.8</v>
      </c>
      <c r="L2107" s="40" t="inlineStr">
        <is>
          <t>Borç</t>
        </is>
      </c>
    </row>
    <row r="2108" s="34">
      <c r="A2108" s="40" t="inlineStr">
        <is>
          <t>340.01.01.T011</t>
        </is>
      </c>
      <c r="B2108" s="40" t="inlineStr">
        <is>
          <t>Tatilbudur Seyahat Acenteliği Ve Turizm A.Ş.</t>
        </is>
      </c>
      <c r="C2108" s="40" t="inlineStr">
        <is>
          <t>TRY</t>
        </is>
      </c>
      <c r="D2108" s="40" t="inlineStr">
        <is>
          <t>SERTAŞ MERKEZ</t>
        </is>
      </c>
      <c r="E2108" s="38" t="n">
        <v>129195</v>
      </c>
      <c r="F2108" s="38" t="n">
        <v>0</v>
      </c>
      <c r="G2108" s="38" t="n">
        <v>129195</v>
      </c>
      <c r="H2108" s="40" t="inlineStr">
        <is>
          <t>Borç</t>
        </is>
      </c>
      <c r="I2108" s="38" t="n">
        <v>129195</v>
      </c>
      <c r="J2108" s="38" t="n">
        <v>0</v>
      </c>
      <c r="K2108" s="38" t="n">
        <v>129195</v>
      </c>
      <c r="L2108" s="40" t="inlineStr">
        <is>
          <t>Borç</t>
        </is>
      </c>
    </row>
    <row r="2109" s="34">
      <c r="A2109" s="40" t="inlineStr">
        <is>
          <t>340.01.01.T014</t>
        </is>
      </c>
      <c r="B2109" s="40" t="inlineStr">
        <is>
          <t>Tatilbilir Turizm A.Ş.</t>
        </is>
      </c>
      <c r="C2109" s="40" t="inlineStr">
        <is>
          <t>TRY</t>
        </is>
      </c>
      <c r="D2109" s="40" t="inlineStr">
        <is>
          <t>GİTAŞ MERKEZ</t>
        </is>
      </c>
      <c r="E2109" s="38" t="n">
        <v>0</v>
      </c>
      <c r="F2109" s="38" t="n">
        <v>180500.04</v>
      </c>
      <c r="G2109" s="38" t="n">
        <v>-180500.04</v>
      </c>
      <c r="H2109" s="40" t="inlineStr">
        <is>
          <t>Alacak</t>
        </is>
      </c>
      <c r="I2109" s="38" t="n">
        <v>0</v>
      </c>
      <c r="J2109" s="38" t="n">
        <v>180500.04</v>
      </c>
      <c r="K2109" s="38" t="n">
        <v>-180500.04</v>
      </c>
      <c r="L2109" s="40" t="inlineStr">
        <is>
          <t>Alacak</t>
        </is>
      </c>
    </row>
    <row r="2110" s="34">
      <c r="A2110" s="40" t="inlineStr">
        <is>
          <t>340.01.01.T014</t>
        </is>
      </c>
      <c r="B2110" s="40" t="inlineStr">
        <is>
          <t>Tatilbilir Turizm A.Ş.</t>
        </is>
      </c>
      <c r="C2110" s="40" t="inlineStr">
        <is>
          <t>TRY</t>
        </is>
      </c>
      <c r="D2110" s="40" t="inlineStr">
        <is>
          <t>ROYAL ADAM EVE</t>
        </is>
      </c>
      <c r="E2110" s="38" t="n">
        <v>90932.10000000001</v>
      </c>
      <c r="F2110" s="38" t="n">
        <v>90932.10000000001</v>
      </c>
      <c r="G2110" s="38" t="n">
        <v>0</v>
      </c>
      <c r="I2110" s="38" t="n">
        <v>90932.10000000001</v>
      </c>
      <c r="J2110" s="38" t="n">
        <v>90932.10000000001</v>
      </c>
      <c r="K2110" s="38" t="n">
        <v>0</v>
      </c>
    </row>
    <row r="2111" s="34">
      <c r="A2111" s="40" t="inlineStr">
        <is>
          <t>340.01.01.T014</t>
        </is>
      </c>
      <c r="B2111" s="40" t="inlineStr">
        <is>
          <t>Tatilbilir Turizm A.Ş.</t>
        </is>
      </c>
      <c r="C2111" s="40" t="inlineStr">
        <is>
          <t>TRY</t>
        </is>
      </c>
      <c r="D2111" s="40" t="inlineStr">
        <is>
          <t>SERTAŞ MERKEZ</t>
        </is>
      </c>
      <c r="E2111" s="38" t="n">
        <v>129195</v>
      </c>
      <c r="F2111" s="38" t="n">
        <v>129195</v>
      </c>
      <c r="G2111" s="38" t="n">
        <v>0</v>
      </c>
      <c r="I2111" s="38" t="n">
        <v>129195</v>
      </c>
      <c r="J2111" s="38" t="n">
        <v>129195</v>
      </c>
      <c r="K2111" s="38" t="n">
        <v>0</v>
      </c>
    </row>
    <row r="2112" s="34">
      <c r="A2112" s="40" t="inlineStr">
        <is>
          <t>340.01.01.T015</t>
        </is>
      </c>
      <c r="B2112" s="40" t="inlineStr">
        <is>
          <t>Tatilbon Turizm Seyh.Org.Oto Kirl.Ve Tic</t>
        </is>
      </c>
      <c r="C2112" s="40" t="inlineStr">
        <is>
          <t>EUR</t>
        </is>
      </c>
      <c r="D2112" s="40" t="inlineStr">
        <is>
          <t>SERTAŞ MERKEZ</t>
        </is>
      </c>
      <c r="E2112" s="38" t="n">
        <v>0</v>
      </c>
      <c r="F2112" s="38" t="n">
        <v>190923.52</v>
      </c>
      <c r="G2112" s="38" t="n">
        <v>-190923.52</v>
      </c>
      <c r="H2112" s="40" t="inlineStr">
        <is>
          <t>Alacak</t>
        </is>
      </c>
      <c r="I2112" s="38" t="n">
        <v>0</v>
      </c>
      <c r="J2112" s="38" t="n">
        <v>3602.4</v>
      </c>
      <c r="K2112" s="38" t="n">
        <v>-3602.4</v>
      </c>
      <c r="L2112" s="40" t="inlineStr">
        <is>
          <t>Alacak</t>
        </is>
      </c>
    </row>
    <row r="2113" s="34">
      <c r="A2113" s="40" t="inlineStr">
        <is>
          <t>340.01.01.T037</t>
        </is>
      </c>
      <c r="B2113" s="40" t="inlineStr">
        <is>
          <t>Tourama Tourısm Sey Ve Tic A.Ş.</t>
        </is>
      </c>
      <c r="C2113" s="40" t="inlineStr">
        <is>
          <t>TRY</t>
        </is>
      </c>
      <c r="D2113" s="40" t="inlineStr">
        <is>
          <t>GİTAŞ MERKEZ</t>
        </is>
      </c>
      <c r="E2113" s="38" t="n">
        <v>93240.8</v>
      </c>
      <c r="F2113" s="38" t="n">
        <v>255824.4</v>
      </c>
      <c r="G2113" s="38" t="n">
        <v>-162583.6</v>
      </c>
      <c r="H2113" s="40" t="inlineStr">
        <is>
          <t>Alacak</t>
        </is>
      </c>
      <c r="I2113" s="38" t="n">
        <v>93240.8</v>
      </c>
      <c r="J2113" s="38" t="n">
        <v>255824.4</v>
      </c>
      <c r="K2113" s="38" t="n">
        <v>-162583.6</v>
      </c>
      <c r="L2113" s="40" t="inlineStr">
        <is>
          <t>Alacak</t>
        </is>
      </c>
    </row>
    <row r="2114" s="34">
      <c r="A2114" s="40" t="inlineStr">
        <is>
          <t>340.01.01.T037</t>
        </is>
      </c>
      <c r="B2114" s="40" t="inlineStr">
        <is>
          <t>Tourama Tourısm Sey Ve Tic A.Ş.</t>
        </is>
      </c>
      <c r="C2114" s="40" t="inlineStr">
        <is>
          <t>TRY</t>
        </is>
      </c>
      <c r="D2114" s="40" t="inlineStr">
        <is>
          <t>ROYAL ADAM EVE</t>
        </is>
      </c>
      <c r="E2114" s="38" t="n">
        <v>67140</v>
      </c>
      <c r="F2114" s="38" t="n">
        <v>96721.2</v>
      </c>
      <c r="G2114" s="38" t="n">
        <v>-29581.2</v>
      </c>
      <c r="H2114" s="40" t="inlineStr">
        <is>
          <t>Alacak</t>
        </is>
      </c>
      <c r="I2114" s="38" t="n">
        <v>67140</v>
      </c>
      <c r="J2114" s="38" t="n">
        <v>96721.2</v>
      </c>
      <c r="K2114" s="38" t="n">
        <v>-29581.2</v>
      </c>
      <c r="L2114" s="40" t="inlineStr">
        <is>
          <t>Alacak</t>
        </is>
      </c>
    </row>
    <row r="2115" s="34">
      <c r="A2115" s="40" t="inlineStr">
        <is>
          <t>340.01.01.T037</t>
        </is>
      </c>
      <c r="B2115" s="40" t="inlineStr">
        <is>
          <t>Tourama Tourısm Sey Ve Tic A.Ş.</t>
        </is>
      </c>
      <c r="C2115" s="40" t="inlineStr">
        <is>
          <t>TRY</t>
        </is>
      </c>
      <c r="D2115" s="40" t="inlineStr">
        <is>
          <t>SERTAŞ MERKEZ</t>
        </is>
      </c>
      <c r="E2115" s="38" t="n">
        <v>181151</v>
      </c>
      <c r="F2115" s="38" t="n">
        <v>154360</v>
      </c>
      <c r="G2115" s="38" t="n">
        <v>26791</v>
      </c>
      <c r="H2115" s="40" t="inlineStr">
        <is>
          <t>Borç</t>
        </is>
      </c>
      <c r="I2115" s="38" t="n">
        <v>181151</v>
      </c>
      <c r="J2115" s="38" t="n">
        <v>154360</v>
      </c>
      <c r="K2115" s="38" t="n">
        <v>26791</v>
      </c>
      <c r="L2115" s="40" t="inlineStr">
        <is>
          <t>Borç</t>
        </is>
      </c>
    </row>
    <row r="2116" s="34">
      <c r="A2116" s="40" t="inlineStr">
        <is>
          <t>340.01.01.T044</t>
        </is>
      </c>
      <c r="B2116" s="40" t="inlineStr">
        <is>
          <t>Travel Partner Turkey Turz. Ve Sey.A.Ş</t>
        </is>
      </c>
      <c r="C2116" s="40" t="inlineStr">
        <is>
          <t>EUR</t>
        </is>
      </c>
      <c r="D2116" s="40" t="inlineStr">
        <is>
          <t>ROYAL ADAM EVE</t>
        </is>
      </c>
      <c r="E2116" s="38" t="n">
        <v>584330.65</v>
      </c>
      <c r="F2116" s="38" t="n">
        <v>696155.67</v>
      </c>
      <c r="G2116" s="38" t="n">
        <v>-111825.02</v>
      </c>
      <c r="H2116" s="40" t="inlineStr">
        <is>
          <t>Alacak</t>
        </is>
      </c>
      <c r="I2116" s="38" t="n">
        <v>11023.11</v>
      </c>
      <c r="J2116" s="38" t="n">
        <v>13129.56</v>
      </c>
      <c r="K2116" s="38" t="n">
        <v>-2106.45</v>
      </c>
      <c r="L2116" s="40" t="inlineStr">
        <is>
          <t>Alacak</t>
        </is>
      </c>
    </row>
    <row r="2117" s="34">
      <c r="A2117" s="40" t="inlineStr">
        <is>
          <t>340.01.01.T044</t>
        </is>
      </c>
      <c r="B2117" s="40" t="inlineStr">
        <is>
          <t>Travel Partner Turkey Turz. Ve Sey.A.Ş</t>
        </is>
      </c>
      <c r="C2117" s="40" t="inlineStr">
        <is>
          <t>EUR</t>
        </is>
      </c>
      <c r="D2117" s="40" t="inlineStr">
        <is>
          <t>SERTAŞ MERKEZ</t>
        </is>
      </c>
      <c r="E2117" s="38" t="n">
        <v>1575669.01</v>
      </c>
      <c r="F2117" s="38" t="n">
        <v>2520234.45</v>
      </c>
      <c r="G2117" s="38" t="n">
        <v>-944565.4399999999</v>
      </c>
      <c r="H2117" s="40" t="inlineStr">
        <is>
          <t>Alacak</t>
        </is>
      </c>
      <c r="I2117" s="38" t="n">
        <v>29724.22</v>
      </c>
      <c r="J2117" s="38" t="n">
        <v>47512.78</v>
      </c>
      <c r="K2117" s="38" t="n">
        <v>-17788.56</v>
      </c>
      <c r="L2117" s="40" t="inlineStr">
        <is>
          <t>Alacak</t>
        </is>
      </c>
    </row>
    <row r="2118" s="34">
      <c r="A2118" s="40" t="inlineStr">
        <is>
          <t>340.01.01.T047</t>
        </is>
      </c>
      <c r="B2118" s="40" t="inlineStr">
        <is>
          <t>Traveyo Turizm Tic. A.ş</t>
        </is>
      </c>
      <c r="C2118" s="40" t="inlineStr">
        <is>
          <t>EUR</t>
        </is>
      </c>
      <c r="D2118" s="40" t="inlineStr">
        <is>
          <t>GİTAŞ MERKEZ</t>
        </is>
      </c>
      <c r="E2118" s="38" t="n">
        <v>285124.62</v>
      </c>
      <c r="F2118" s="38" t="n">
        <v>1008157.35</v>
      </c>
      <c r="G2118" s="38" t="n">
        <v>-723032.73</v>
      </c>
      <c r="H2118" s="40" t="inlineStr">
        <is>
          <t>Alacak</t>
        </is>
      </c>
      <c r="I2118" s="38" t="n">
        <v>5382.5</v>
      </c>
      <c r="J2118" s="38" t="n">
        <v>18994.15</v>
      </c>
      <c r="K2118" s="38" t="n">
        <v>-13611.65</v>
      </c>
      <c r="L2118" s="40" t="inlineStr">
        <is>
          <t>Alacak</t>
        </is>
      </c>
    </row>
    <row r="2119" s="34">
      <c r="A2119" s="40" t="inlineStr">
        <is>
          <t>340.01.01.T047</t>
        </is>
      </c>
      <c r="B2119" s="40" t="inlineStr">
        <is>
          <t>Traveyo Turizm Tic. A.ş</t>
        </is>
      </c>
      <c r="C2119" s="40" t="inlineStr">
        <is>
          <t>EUR</t>
        </is>
      </c>
      <c r="D2119" s="40" t="inlineStr">
        <is>
          <t>SERTAŞ MERKEZ</t>
        </is>
      </c>
      <c r="E2119" s="38" t="n">
        <v>646698.78</v>
      </c>
      <c r="F2119" s="38" t="n">
        <v>349738.47</v>
      </c>
      <c r="G2119" s="38" t="n">
        <v>296960.31</v>
      </c>
      <c r="H2119" s="40" t="inlineStr">
        <is>
          <t>Borç</t>
        </is>
      </c>
      <c r="I2119" s="38" t="n">
        <v>12111.4</v>
      </c>
      <c r="J2119" s="38" t="n">
        <v>6568.1</v>
      </c>
      <c r="K2119" s="38" t="n">
        <v>5543.3</v>
      </c>
      <c r="L2119" s="40" t="inlineStr">
        <is>
          <t>Borç</t>
        </is>
      </c>
    </row>
    <row r="2120" s="34">
      <c r="A2120" s="40" t="inlineStr">
        <is>
          <t>340.01.01.T048</t>
        </is>
      </c>
      <c r="B2120" s="40" t="inlineStr">
        <is>
          <t>TRavia Holiday Turizm Ticaret A.Ş.</t>
        </is>
      </c>
      <c r="C2120" s="40" t="inlineStr">
        <is>
          <t>EUR</t>
        </is>
      </c>
      <c r="D2120" s="40" t="inlineStr">
        <is>
          <t>GİTAŞ MERKEZ</t>
        </is>
      </c>
      <c r="E2120" s="38" t="n">
        <v>84360.55</v>
      </c>
      <c r="F2120" s="38" t="n">
        <v>0</v>
      </c>
      <c r="G2120" s="38" t="n">
        <v>84360.55</v>
      </c>
      <c r="H2120" s="40" t="inlineStr">
        <is>
          <t>Borç</t>
        </is>
      </c>
      <c r="I2120" s="38" t="n">
        <v>1573.43</v>
      </c>
      <c r="J2120" s="38" t="n">
        <v>0</v>
      </c>
      <c r="K2120" s="38" t="n">
        <v>1573.43</v>
      </c>
      <c r="L2120" s="40" t="inlineStr">
        <is>
          <t>Borç</t>
        </is>
      </c>
    </row>
    <row r="2121" s="34">
      <c r="A2121" s="40" t="inlineStr">
        <is>
          <t>340.01.01.T048</t>
        </is>
      </c>
      <c r="B2121" s="40" t="inlineStr">
        <is>
          <t>TRavia Holiday Turizm Ticaret A.Ş.</t>
        </is>
      </c>
      <c r="C2121" s="40" t="inlineStr">
        <is>
          <t>EUR</t>
        </is>
      </c>
      <c r="D2121" s="40" t="inlineStr">
        <is>
          <t>SERTAŞ MERKEZ</t>
        </is>
      </c>
      <c r="E2121" s="38" t="n">
        <v>0</v>
      </c>
      <c r="F2121" s="38" t="n">
        <v>247538.3</v>
      </c>
      <c r="G2121" s="38" t="n">
        <v>-247538.3</v>
      </c>
      <c r="H2121" s="40" t="inlineStr">
        <is>
          <t>Alacak</t>
        </is>
      </c>
      <c r="I2121" s="38" t="n">
        <v>0</v>
      </c>
      <c r="J2121" s="38" t="n">
        <v>4686.23</v>
      </c>
      <c r="K2121" s="38" t="n">
        <v>-4686.23</v>
      </c>
      <c r="L2121" s="40" t="inlineStr">
        <is>
          <t>Alacak</t>
        </is>
      </c>
    </row>
    <row r="2122" s="34">
      <c r="A2122" s="40" t="inlineStr">
        <is>
          <t>340.01.01.T051</t>
        </is>
      </c>
      <c r="B2122" s="40" t="inlineStr">
        <is>
          <t>Ttv Turkey Turizm İş Geliştirme Ve Yönetim Danışmanlığı Hizm. A.ş.</t>
        </is>
      </c>
      <c r="C2122" s="40" t="inlineStr">
        <is>
          <t>EUR</t>
        </is>
      </c>
      <c r="D2122" s="40" t="inlineStr">
        <is>
          <t>GİTAŞ MERKEZ</t>
        </is>
      </c>
      <c r="E2122" s="38" t="n">
        <v>1354010.22</v>
      </c>
      <c r="F2122" s="38" t="n">
        <v>2559771.95</v>
      </c>
      <c r="G2122" s="38" t="n">
        <v>-1205761.73</v>
      </c>
      <c r="H2122" s="40" t="inlineStr">
        <is>
          <t>Alacak</t>
        </is>
      </c>
      <c r="I2122" s="38" t="n">
        <v>25427.32</v>
      </c>
      <c r="J2122" s="38" t="n">
        <v>48213.58</v>
      </c>
      <c r="K2122" s="38" t="n">
        <v>-22786.26</v>
      </c>
      <c r="L2122" s="40" t="inlineStr">
        <is>
          <t>Alacak</t>
        </is>
      </c>
    </row>
    <row r="2123" s="34">
      <c r="A2123" s="40" t="inlineStr">
        <is>
          <t>340.01.01.T051</t>
        </is>
      </c>
      <c r="B2123" s="40" t="inlineStr">
        <is>
          <t>Ttv Turkey Turizm İş Geliştirme Ve Yönetim Danışmanlığı Hizm. A.ş.</t>
        </is>
      </c>
      <c r="C2123" s="40" t="inlineStr">
        <is>
          <t>EUR</t>
        </is>
      </c>
      <c r="D2123" s="40" t="inlineStr">
        <is>
          <t>SERTAŞ MERKEZ</t>
        </is>
      </c>
      <c r="E2123" s="38" t="n">
        <v>1523740.02</v>
      </c>
      <c r="F2123" s="38" t="n">
        <v>1818769.81</v>
      </c>
      <c r="G2123" s="38" t="n">
        <v>-295029.79</v>
      </c>
      <c r="H2123" s="40" t="inlineStr">
        <is>
          <t>Alacak</t>
        </is>
      </c>
      <c r="I2123" s="38" t="n">
        <v>28444.35</v>
      </c>
      <c r="J2123" s="38" t="n">
        <v>34262.65</v>
      </c>
      <c r="K2123" s="38" t="n">
        <v>-5818.3</v>
      </c>
      <c r="L2123" s="40" t="inlineStr">
        <is>
          <t>Alacak</t>
        </is>
      </c>
    </row>
    <row r="2124" s="34">
      <c r="A2124" s="40" t="inlineStr">
        <is>
          <t>340.01.01.T053</t>
        </is>
      </c>
      <c r="B2124" s="40" t="inlineStr">
        <is>
          <t>Tui Deutschland Gmbh</t>
        </is>
      </c>
      <c r="C2124" s="40" t="inlineStr">
        <is>
          <t>EUR</t>
        </is>
      </c>
      <c r="D2124" s="40" t="inlineStr">
        <is>
          <t>GİTAŞ MERKEZ</t>
        </is>
      </c>
      <c r="E2124" s="38" t="n">
        <v>9635600.810000001</v>
      </c>
      <c r="F2124" s="38" t="n">
        <v>242608.3</v>
      </c>
      <c r="G2124" s="38" t="n">
        <v>9392992.51</v>
      </c>
      <c r="H2124" s="40" t="inlineStr">
        <is>
          <t>Borç</t>
        </is>
      </c>
      <c r="I2124" s="38" t="n">
        <v>180994.7</v>
      </c>
      <c r="J2124" s="38" t="n">
        <v>4559.92</v>
      </c>
      <c r="K2124" s="38" t="n">
        <v>176434.78</v>
      </c>
      <c r="L2124" s="40" t="inlineStr">
        <is>
          <t>Borç</t>
        </is>
      </c>
    </row>
    <row r="2125" s="34">
      <c r="A2125" s="40" t="inlineStr">
        <is>
          <t>340.01.01.T053</t>
        </is>
      </c>
      <c r="B2125" s="40" t="inlineStr">
        <is>
          <t>Tui Deutschland Gmbh</t>
        </is>
      </c>
      <c r="C2125" s="40" t="inlineStr">
        <is>
          <t>EUR</t>
        </is>
      </c>
      <c r="D2125" s="40" t="inlineStr">
        <is>
          <t>SERTAŞ MERKEZ</t>
        </is>
      </c>
      <c r="E2125" s="38" t="n">
        <v>6458305.98</v>
      </c>
      <c r="F2125" s="38" t="n">
        <v>129049.64</v>
      </c>
      <c r="G2125" s="38" t="n">
        <v>6329256.34</v>
      </c>
      <c r="H2125" s="40" t="inlineStr">
        <is>
          <t>Borç</t>
        </is>
      </c>
      <c r="I2125" s="38" t="n">
        <v>121368.76</v>
      </c>
      <c r="J2125" s="38" t="n">
        <v>2415.5</v>
      </c>
      <c r="K2125" s="38" t="n">
        <v>118953.26</v>
      </c>
      <c r="L2125" s="40" t="inlineStr">
        <is>
          <t>Borç</t>
        </is>
      </c>
    </row>
    <row r="2126" s="34">
      <c r="A2126" s="40" t="inlineStr">
        <is>
          <t>340.01.01.T056</t>
        </is>
      </c>
      <c r="B2126" s="40" t="inlineStr">
        <is>
          <t>Tui Uk Ltd</t>
        </is>
      </c>
      <c r="C2126" s="40" t="inlineStr">
        <is>
          <t>GBP</t>
        </is>
      </c>
      <c r="D2126" s="40" t="inlineStr">
        <is>
          <t>GİTAŞ MERKEZ</t>
        </is>
      </c>
      <c r="E2126" s="38" t="n">
        <v>995142.5600000001</v>
      </c>
      <c r="F2126" s="38" t="n">
        <v>636606.49</v>
      </c>
      <c r="G2126" s="38" t="n">
        <v>358536.07</v>
      </c>
      <c r="H2126" s="40" t="inlineStr">
        <is>
          <t>Borç</t>
        </is>
      </c>
      <c r="I2126" s="38" t="n">
        <v>16263.74</v>
      </c>
      <c r="J2126" s="38" t="n">
        <v>10386.3</v>
      </c>
      <c r="K2126" s="38" t="n">
        <v>5877.44</v>
      </c>
      <c r="L2126" s="40" t="inlineStr">
        <is>
          <t>Borç</t>
        </is>
      </c>
    </row>
    <row r="2127" s="34">
      <c r="A2127" s="40" t="inlineStr">
        <is>
          <t>340.01.01.T056</t>
        </is>
      </c>
      <c r="B2127" s="40" t="inlineStr">
        <is>
          <t>Tui Uk Ltd</t>
        </is>
      </c>
      <c r="C2127" s="40" t="inlineStr">
        <is>
          <t>GBP</t>
        </is>
      </c>
      <c r="D2127" s="40" t="inlineStr">
        <is>
          <t>SERTAŞ MERKEZ</t>
        </is>
      </c>
      <c r="E2127" s="38" t="n">
        <v>3696885.38</v>
      </c>
      <c r="F2127" s="38" t="n">
        <v>3693824.34</v>
      </c>
      <c r="G2127" s="38" t="n">
        <v>3061.04</v>
      </c>
      <c r="H2127" s="40" t="inlineStr">
        <is>
          <t>Borç</t>
        </is>
      </c>
      <c r="I2127" s="38" t="n">
        <v>60149.75</v>
      </c>
      <c r="J2127" s="38" t="n">
        <v>60149.75</v>
      </c>
      <c r="K2127" s="38" t="n">
        <v>0</v>
      </c>
    </row>
    <row r="2128" s="34">
      <c r="A2128" s="40" t="inlineStr">
        <is>
          <t>340.01.01.T061</t>
        </is>
      </c>
      <c r="B2128" s="40" t="inlineStr">
        <is>
          <t>Turnalar Turizm Taşımacılık Sanayi Ve Tic.Ltd.Şti.</t>
        </is>
      </c>
      <c r="C2128" s="40" t="inlineStr">
        <is>
          <t>EUR</t>
        </is>
      </c>
      <c r="D2128" s="40" t="inlineStr">
        <is>
          <t>GİTAŞ MERKEZ</t>
        </is>
      </c>
      <c r="E2128" s="38" t="n">
        <v>813097.01</v>
      </c>
      <c r="F2128" s="38" t="n">
        <v>1643464.29</v>
      </c>
      <c r="G2128" s="38" t="n">
        <v>-830367.28</v>
      </c>
      <c r="H2128" s="40" t="inlineStr">
        <is>
          <t>Alacak</t>
        </is>
      </c>
      <c r="I2128" s="38" t="n">
        <v>15294.23</v>
      </c>
      <c r="J2128" s="38" t="n">
        <v>30945.58</v>
      </c>
      <c r="K2128" s="38" t="n">
        <v>-15651.35</v>
      </c>
      <c r="L2128" s="40" t="inlineStr">
        <is>
          <t>Alacak</t>
        </is>
      </c>
    </row>
    <row r="2129" s="34">
      <c r="A2129" s="40" t="inlineStr">
        <is>
          <t>340.01.01.T061</t>
        </is>
      </c>
      <c r="B2129" s="40" t="inlineStr">
        <is>
          <t>Turnalar Turizm Taşımacılık Sanayi Ve Tic.Ltd.Şti.</t>
        </is>
      </c>
      <c r="C2129" s="40" t="inlineStr">
        <is>
          <t>EUR</t>
        </is>
      </c>
      <c r="D2129" s="40" t="inlineStr">
        <is>
          <t>ROYAL ADAM EVE</t>
        </is>
      </c>
      <c r="E2129" s="38" t="n">
        <v>0</v>
      </c>
      <c r="F2129" s="38" t="n">
        <v>155359.33</v>
      </c>
      <c r="G2129" s="38" t="n">
        <v>-155359.33</v>
      </c>
      <c r="H2129" s="40" t="inlineStr">
        <is>
          <t>Alacak</t>
        </is>
      </c>
      <c r="I2129" s="38" t="n">
        <v>0</v>
      </c>
      <c r="J2129" s="38" t="n">
        <v>2925</v>
      </c>
      <c r="K2129" s="38" t="n">
        <v>-2925</v>
      </c>
      <c r="L2129" s="40" t="inlineStr">
        <is>
          <t>Alacak</t>
        </is>
      </c>
    </row>
    <row r="2130" s="34">
      <c r="A2130" s="40" t="inlineStr">
        <is>
          <t>340.01.01.T061</t>
        </is>
      </c>
      <c r="B2130" s="40" t="inlineStr">
        <is>
          <t>Turnalar Turizm Taşımacılık Sanayi Ve Tic.Ltd.Şti.</t>
        </is>
      </c>
      <c r="C2130" s="40" t="inlineStr">
        <is>
          <t>EUR</t>
        </is>
      </c>
      <c r="D2130" s="40" t="inlineStr">
        <is>
          <t>SERTAŞ MERKEZ</t>
        </is>
      </c>
      <c r="E2130" s="38" t="n">
        <v>376904.02</v>
      </c>
      <c r="F2130" s="38" t="n">
        <v>640333.33</v>
      </c>
      <c r="G2130" s="38" t="n">
        <v>-263429.31</v>
      </c>
      <c r="H2130" s="40" t="inlineStr">
        <is>
          <t>Alacak</t>
        </is>
      </c>
      <c r="I2130" s="38" t="n">
        <v>7119</v>
      </c>
      <c r="J2130" s="38" t="n">
        <v>12059.25</v>
      </c>
      <c r="K2130" s="38" t="n">
        <v>-4940.25</v>
      </c>
      <c r="L2130" s="40" t="inlineStr">
        <is>
          <t>Alacak</t>
        </is>
      </c>
    </row>
    <row r="2131" s="34">
      <c r="A2131" s="40" t="inlineStr">
        <is>
          <t>340.01.01.T070</t>
        </is>
      </c>
      <c r="B2131" s="40" t="inlineStr">
        <is>
          <t>Tamara Safarova</t>
        </is>
      </c>
      <c r="C2131" s="40" t="inlineStr">
        <is>
          <t>TRY</t>
        </is>
      </c>
      <c r="D2131" s="40" t="inlineStr">
        <is>
          <t>SERTAŞ MERKEZ</t>
        </is>
      </c>
      <c r="E2131" s="38" t="n">
        <v>0</v>
      </c>
      <c r="F2131" s="38" t="n">
        <v>9612.76</v>
      </c>
      <c r="G2131" s="38" t="n">
        <v>-9612.76</v>
      </c>
      <c r="H2131" s="40" t="inlineStr">
        <is>
          <t>Alacak</t>
        </is>
      </c>
      <c r="I2131" s="38" t="n">
        <v>0</v>
      </c>
      <c r="J2131" s="38" t="n">
        <v>180</v>
      </c>
      <c r="K2131" s="38" t="n">
        <v>-180</v>
      </c>
      <c r="L2131" s="40" t="inlineStr">
        <is>
          <t>Alacak</t>
        </is>
      </c>
    </row>
    <row r="2132" s="34">
      <c r="A2132" s="40" t="inlineStr">
        <is>
          <t>340.01.01.U001</t>
        </is>
      </c>
      <c r="B2132" s="40" t="inlineStr">
        <is>
          <t>Uçan Halı Turizm Sey. Ve Tic. Ltd. Şti.</t>
        </is>
      </c>
      <c r="C2132" s="40" t="inlineStr">
        <is>
          <t>EUR</t>
        </is>
      </c>
      <c r="D2132" s="40" t="inlineStr">
        <is>
          <t>GİTAŞ MERKEZ</t>
        </is>
      </c>
      <c r="E2132" s="38" t="n">
        <v>67143.66</v>
      </c>
      <c r="F2132" s="38" t="n">
        <v>175899.44</v>
      </c>
      <c r="G2132" s="38" t="n">
        <v>-108755.78</v>
      </c>
      <c r="H2132" s="40" t="inlineStr">
        <is>
          <t>Alacak</t>
        </is>
      </c>
      <c r="I2132" s="38" t="n">
        <v>1274.84</v>
      </c>
      <c r="J2132" s="38" t="n">
        <v>3318.06</v>
      </c>
      <c r="K2132" s="38" t="n">
        <v>-2043.22</v>
      </c>
      <c r="L2132" s="40" t="inlineStr">
        <is>
          <t>Alacak</t>
        </is>
      </c>
    </row>
    <row r="2133" s="34">
      <c r="A2133" s="40" t="inlineStr">
        <is>
          <t>340.01.01.U001</t>
        </is>
      </c>
      <c r="B2133" s="40" t="inlineStr">
        <is>
          <t>Uçan Halı Turizm Sey. Ve Tic. Ltd. Şti.</t>
        </is>
      </c>
      <c r="C2133" s="40" t="inlineStr">
        <is>
          <t>EUR</t>
        </is>
      </c>
      <c r="D2133" s="40" t="inlineStr">
        <is>
          <t>SERTAŞ MERKEZ</t>
        </is>
      </c>
      <c r="E2133" s="38" t="n">
        <v>204291.05</v>
      </c>
      <c r="F2133" s="38" t="n">
        <v>690660.12</v>
      </c>
      <c r="G2133" s="38" t="n">
        <v>-486369.07</v>
      </c>
      <c r="H2133" s="40" t="inlineStr">
        <is>
          <t>Alacak</t>
        </is>
      </c>
      <c r="I2133" s="38" t="n">
        <v>3853.85</v>
      </c>
      <c r="J2133" s="38" t="n">
        <v>13048.81</v>
      </c>
      <c r="K2133" s="38" t="n">
        <v>-9194.959999999999</v>
      </c>
      <c r="L2133" s="40" t="inlineStr">
        <is>
          <t>Alacak</t>
        </is>
      </c>
    </row>
    <row r="2134" s="34">
      <c r="A2134" s="40" t="inlineStr">
        <is>
          <t>340.01.01.V002</t>
        </is>
      </c>
      <c r="B2134" s="40" t="inlineStr">
        <is>
          <t>Venus İstanbul Turizm İth.İhr.Tic.Ltd.Şti.</t>
        </is>
      </c>
      <c r="C2134" s="40" t="inlineStr">
        <is>
          <t>EUR</t>
        </is>
      </c>
      <c r="D2134" s="40" t="inlineStr">
        <is>
          <t>SERTAŞ MERKEZ</t>
        </is>
      </c>
      <c r="E2134" s="38" t="n">
        <v>0</v>
      </c>
      <c r="F2134" s="38" t="n">
        <v>71020</v>
      </c>
      <c r="G2134" s="38" t="n">
        <v>-71020</v>
      </c>
      <c r="H2134" s="40" t="inlineStr">
        <is>
          <t>Alacak</t>
        </is>
      </c>
      <c r="I2134" s="38" t="n">
        <v>0</v>
      </c>
      <c r="J2134" s="38" t="n">
        <v>1344</v>
      </c>
      <c r="K2134" s="38" t="n">
        <v>-1344</v>
      </c>
      <c r="L2134" s="40" t="inlineStr">
        <is>
          <t>Alacak</t>
        </is>
      </c>
    </row>
    <row r="2135" s="34">
      <c r="A2135" s="40" t="inlineStr">
        <is>
          <t>340.01.01.W006</t>
        </is>
      </c>
      <c r="B2135" s="40" t="inlineStr">
        <is>
          <t>Web Asya</t>
        </is>
      </c>
      <c r="C2135" s="40" t="inlineStr">
        <is>
          <t>EUR</t>
        </is>
      </c>
      <c r="D2135" s="40" t="inlineStr">
        <is>
          <t>GİTAŞ MERKEZ</t>
        </is>
      </c>
      <c r="E2135" s="38" t="n">
        <v>18000</v>
      </c>
      <c r="F2135" s="38" t="n">
        <v>204585.75</v>
      </c>
      <c r="G2135" s="38" t="n">
        <v>-186585.75</v>
      </c>
      <c r="H2135" s="40" t="inlineStr">
        <is>
          <t>Alacak</t>
        </is>
      </c>
      <c r="I2135" s="38" t="n">
        <v>338.84</v>
      </c>
      <c r="J2135" s="38" t="n">
        <v>3823.43</v>
      </c>
      <c r="K2135" s="38" t="n">
        <v>-3484.59</v>
      </c>
      <c r="L2135" s="40" t="inlineStr">
        <is>
          <t>Alacak</t>
        </is>
      </c>
    </row>
    <row r="2136" s="34">
      <c r="A2136" s="40" t="inlineStr">
        <is>
          <t>340.01.01.W006</t>
        </is>
      </c>
      <c r="B2136" s="40" t="inlineStr">
        <is>
          <t>Web Asya</t>
        </is>
      </c>
      <c r="C2136" s="40" t="inlineStr">
        <is>
          <t>EUR</t>
        </is>
      </c>
      <c r="D2136" s="40" t="inlineStr">
        <is>
          <t>ROYAL ADAM EVE</t>
        </is>
      </c>
      <c r="E2136" s="38" t="n">
        <v>1127868.68</v>
      </c>
      <c r="F2136" s="38" t="n">
        <v>789079.39</v>
      </c>
      <c r="G2136" s="38" t="n">
        <v>338789.29</v>
      </c>
      <c r="H2136" s="40" t="inlineStr">
        <is>
          <t>Borç</t>
        </is>
      </c>
      <c r="I2136" s="38" t="n">
        <v>821509.91</v>
      </c>
      <c r="J2136" s="38" t="n">
        <v>577281.55</v>
      </c>
      <c r="K2136" s="38" t="n">
        <v>244228.36</v>
      </c>
      <c r="L2136" s="40" t="inlineStr">
        <is>
          <t>Borç</t>
        </is>
      </c>
    </row>
    <row r="2137" s="34">
      <c r="A2137" s="40" t="inlineStr">
        <is>
          <t>340.01.01.W006</t>
        </is>
      </c>
      <c r="B2137" s="40" t="inlineStr">
        <is>
          <t>Web Asya</t>
        </is>
      </c>
      <c r="C2137" s="40" t="inlineStr">
        <is>
          <t>EUR</t>
        </is>
      </c>
      <c r="D2137" s="40" t="inlineStr">
        <is>
          <t>ROYAL DRAGON</t>
        </is>
      </c>
      <c r="E2137" s="38" t="n">
        <v>141276.96</v>
      </c>
      <c r="F2137" s="38" t="n">
        <v>14079.02</v>
      </c>
      <c r="G2137" s="38" t="n">
        <v>127197.94</v>
      </c>
      <c r="H2137" s="40" t="inlineStr">
        <is>
          <t>Borç</t>
        </is>
      </c>
      <c r="I2137" s="38" t="n">
        <v>2668.33</v>
      </c>
      <c r="J2137" s="38" t="n">
        <v>14079.02</v>
      </c>
      <c r="K2137" s="38" t="n">
        <v>-11410.69</v>
      </c>
      <c r="L2137" s="40" t="inlineStr">
        <is>
          <t>Alacak</t>
        </is>
      </c>
    </row>
    <row r="2138" s="34">
      <c r="A2138" s="40" t="inlineStr">
        <is>
          <t>340.01.01.W006</t>
        </is>
      </c>
      <c r="B2138" s="40" t="inlineStr">
        <is>
          <t>Web Asya</t>
        </is>
      </c>
      <c r="C2138" s="40" t="inlineStr">
        <is>
          <t>EUR</t>
        </is>
      </c>
      <c r="D2138" s="40" t="inlineStr">
        <is>
          <t>ROYAL HOLIDAY</t>
        </is>
      </c>
      <c r="E2138" s="38" t="n">
        <v>458429.2</v>
      </c>
      <c r="F2138" s="38" t="n">
        <v>229214.6</v>
      </c>
      <c r="G2138" s="38" t="n">
        <v>229214.6</v>
      </c>
      <c r="H2138" s="40" t="inlineStr">
        <is>
          <t>Borç</t>
        </is>
      </c>
      <c r="I2138" s="38" t="n">
        <v>258523.8</v>
      </c>
      <c r="J2138" s="38" t="n">
        <v>213285.55</v>
      </c>
      <c r="K2138" s="38" t="n">
        <v>45238.25</v>
      </c>
      <c r="L2138" s="40" t="inlineStr">
        <is>
          <t>Borç</t>
        </is>
      </c>
    </row>
    <row r="2139" s="34">
      <c r="A2139" s="40" t="inlineStr">
        <is>
          <t>340.01.01.W006</t>
        </is>
      </c>
      <c r="B2139" s="40" t="inlineStr">
        <is>
          <t>Web Asya</t>
        </is>
      </c>
      <c r="C2139" s="40" t="inlineStr">
        <is>
          <t>EUR</t>
        </is>
      </c>
      <c r="D2139" s="40" t="inlineStr">
        <is>
          <t>ROYAL SEGINUS</t>
        </is>
      </c>
      <c r="E2139" s="38" t="n">
        <v>414365.86</v>
      </c>
      <c r="F2139" s="38" t="n">
        <v>0</v>
      </c>
      <c r="G2139" s="38" t="n">
        <v>414365.86</v>
      </c>
      <c r="H2139" s="40" t="inlineStr">
        <is>
          <t>Borç</t>
        </is>
      </c>
      <c r="I2139" s="38" t="n">
        <v>9817</v>
      </c>
      <c r="J2139" s="38" t="n">
        <v>0</v>
      </c>
      <c r="K2139" s="38" t="n">
        <v>9817</v>
      </c>
      <c r="L2139" s="40" t="inlineStr">
        <is>
          <t>Borç</t>
        </is>
      </c>
    </row>
    <row r="2140" s="34">
      <c r="A2140" s="40" t="inlineStr">
        <is>
          <t>340.01.01.W006</t>
        </is>
      </c>
      <c r="B2140" s="40" t="inlineStr">
        <is>
          <t>Web Asya</t>
        </is>
      </c>
      <c r="C2140" s="40" t="inlineStr">
        <is>
          <t>EUR</t>
        </is>
      </c>
      <c r="D2140" s="40" t="inlineStr">
        <is>
          <t>SERTAŞ MERKEZ</t>
        </is>
      </c>
      <c r="E2140" s="38" t="n">
        <v>68209.16</v>
      </c>
      <c r="F2140" s="38" t="n">
        <v>1248896.09</v>
      </c>
      <c r="G2140" s="38" t="n">
        <v>-1180686.93</v>
      </c>
      <c r="H2140" s="40" t="inlineStr">
        <is>
          <t>Alacak</t>
        </is>
      </c>
      <c r="I2140" s="38" t="n">
        <v>1284</v>
      </c>
      <c r="J2140" s="38" t="n">
        <v>23465.09</v>
      </c>
      <c r="K2140" s="38" t="n">
        <v>-22181.09</v>
      </c>
      <c r="L2140" s="40" t="inlineStr">
        <is>
          <t>Alacak</t>
        </is>
      </c>
    </row>
    <row r="2141" s="34">
      <c r="A2141" s="40" t="inlineStr">
        <is>
          <t>340.01.01.Y004</t>
        </is>
      </c>
      <c r="B2141" s="40" t="inlineStr">
        <is>
          <t>Yeni Atik Ticaret ve Turizm Ltd.Şti.</t>
        </is>
      </c>
      <c r="C2141" s="40" t="inlineStr">
        <is>
          <t>EUR</t>
        </is>
      </c>
      <c r="D2141" s="40" t="inlineStr">
        <is>
          <t>GİTAŞ MERKEZ</t>
        </is>
      </c>
      <c r="E2141" s="38" t="n">
        <v>183514.75</v>
      </c>
      <c r="F2141" s="38" t="n">
        <v>324211.26</v>
      </c>
      <c r="G2141" s="38" t="n">
        <v>-140696.51</v>
      </c>
      <c r="H2141" s="40" t="inlineStr">
        <is>
          <t>Alacak</t>
        </is>
      </c>
      <c r="I2141" s="38" t="n">
        <v>3422.78</v>
      </c>
      <c r="J2141" s="38" t="n">
        <v>6097.09</v>
      </c>
      <c r="K2141" s="38" t="n">
        <v>-2674.31</v>
      </c>
      <c r="L2141" s="40" t="inlineStr">
        <is>
          <t>Alacak</t>
        </is>
      </c>
    </row>
    <row r="2142" s="34">
      <c r="A2142" s="40" t="inlineStr">
        <is>
          <t>340.01.01.Y004</t>
        </is>
      </c>
      <c r="B2142" s="40" t="inlineStr">
        <is>
          <t>Yeni Atik Ticaret ve Turizm Ltd.Şti.</t>
        </is>
      </c>
      <c r="C2142" s="40" t="inlineStr">
        <is>
          <t>EUR</t>
        </is>
      </c>
      <c r="D2142" s="40" t="inlineStr">
        <is>
          <t>ROYAL ADAM EVE</t>
        </is>
      </c>
      <c r="E2142" s="38" t="n">
        <v>294513.12</v>
      </c>
      <c r="F2142" s="38" t="n">
        <v>294513.12</v>
      </c>
      <c r="G2142" s="38" t="n">
        <v>0</v>
      </c>
      <c r="I2142" s="38" t="n">
        <v>5556.39</v>
      </c>
      <c r="J2142" s="38" t="n">
        <v>5556.39</v>
      </c>
      <c r="K2142" s="38" t="n">
        <v>0</v>
      </c>
    </row>
    <row r="2143" s="34">
      <c r="A2143" s="40" t="inlineStr">
        <is>
          <t>340.01.01.Y004</t>
        </is>
      </c>
      <c r="B2143" s="40" t="inlineStr">
        <is>
          <t>Yeni Atik Ticaret ve Turizm Ltd.Şti.</t>
        </is>
      </c>
      <c r="C2143" s="40" t="inlineStr">
        <is>
          <t>EUR</t>
        </is>
      </c>
      <c r="D2143" s="40" t="inlineStr">
        <is>
          <t>SERTAŞ MERKEZ</t>
        </is>
      </c>
      <c r="E2143" s="38" t="n">
        <v>4182487.93</v>
      </c>
      <c r="F2143" s="38" t="n">
        <v>4028696.76</v>
      </c>
      <c r="G2143" s="38" t="n">
        <v>153791.17</v>
      </c>
      <c r="H2143" s="40" t="inlineStr">
        <is>
          <t>Borç</t>
        </is>
      </c>
      <c r="I2143" s="38" t="n">
        <v>78152.17</v>
      </c>
      <c r="J2143" s="38" t="n">
        <v>75582.8</v>
      </c>
      <c r="K2143" s="38" t="n">
        <v>2569.37</v>
      </c>
      <c r="L2143" s="40" t="inlineStr">
        <is>
          <t>Borç</t>
        </is>
      </c>
    </row>
    <row r="2144" s="34">
      <c r="A2144" s="40" t="inlineStr">
        <is>
          <t>340.01.01.Y007</t>
        </is>
      </c>
      <c r="B2144" s="40" t="inlineStr">
        <is>
          <t>Yore Turizm Ve İşl. Tic.A.Ş</t>
        </is>
      </c>
      <c r="C2144" s="40" t="inlineStr">
        <is>
          <t>TRY</t>
        </is>
      </c>
      <c r="D2144" s="40" t="inlineStr">
        <is>
          <t>GİTAŞ MERKEZ</t>
        </is>
      </c>
      <c r="E2144" s="38" t="n">
        <v>0</v>
      </c>
      <c r="F2144" s="38" t="n">
        <v>108297</v>
      </c>
      <c r="G2144" s="38" t="n">
        <v>-108297</v>
      </c>
      <c r="H2144" s="40" t="inlineStr">
        <is>
          <t>Alacak</t>
        </is>
      </c>
      <c r="I2144" s="38" t="n">
        <v>0</v>
      </c>
      <c r="J2144" s="38" t="n">
        <v>108297</v>
      </c>
      <c r="K2144" s="38" t="n">
        <v>-108297</v>
      </c>
      <c r="L2144" s="40" t="inlineStr">
        <is>
          <t>Alacak</t>
        </is>
      </c>
    </row>
    <row r="2145" s="34">
      <c r="A2145" s="40" t="inlineStr">
        <is>
          <t>340.01.01.Y007</t>
        </is>
      </c>
      <c r="B2145" s="40" t="inlineStr">
        <is>
          <t>Yore Turizm Ve İşl. Tic.A.Ş</t>
        </is>
      </c>
      <c r="C2145" s="40" t="inlineStr">
        <is>
          <t>TRY</t>
        </is>
      </c>
      <c r="D2145" s="40" t="inlineStr">
        <is>
          <t>ROYAL ADAM EVE</t>
        </is>
      </c>
      <c r="E2145" s="38" t="n">
        <v>97427.25</v>
      </c>
      <c r="F2145" s="38" t="n">
        <v>97427.25</v>
      </c>
      <c r="G2145" s="38" t="n">
        <v>0</v>
      </c>
      <c r="I2145" s="38" t="n">
        <v>97427.25</v>
      </c>
      <c r="J2145" s="38" t="n">
        <v>97427.25</v>
      </c>
      <c r="K2145" s="38" t="n">
        <v>0</v>
      </c>
    </row>
    <row r="2146" s="34">
      <c r="A2146" s="40" t="inlineStr">
        <is>
          <t>340.01.01.Y009</t>
        </is>
      </c>
      <c r="B2146" s="40" t="inlineStr">
        <is>
          <t>Yuppi Travel Org. Tic. Aş.</t>
        </is>
      </c>
      <c r="C2146" s="40" t="inlineStr">
        <is>
          <t>EUR</t>
        </is>
      </c>
      <c r="D2146" s="40" t="inlineStr">
        <is>
          <t>GİTAŞ MERKEZ</t>
        </is>
      </c>
      <c r="E2146" s="38" t="n">
        <v>209569.3</v>
      </c>
      <c r="F2146" s="38" t="n">
        <v>0</v>
      </c>
      <c r="G2146" s="38" t="n">
        <v>209569.3</v>
      </c>
      <c r="H2146" s="40" t="inlineStr">
        <is>
          <t>Borç</t>
        </is>
      </c>
      <c r="I2146" s="38" t="n">
        <v>3908.73</v>
      </c>
      <c r="J2146" s="38" t="n">
        <v>0</v>
      </c>
      <c r="K2146" s="38" t="n">
        <v>3908.73</v>
      </c>
      <c r="L2146" s="40" t="inlineStr">
        <is>
          <t>Borç</t>
        </is>
      </c>
    </row>
    <row r="2147" s="34">
      <c r="A2147" s="40" t="inlineStr">
        <is>
          <t>340.01.01.Y009</t>
        </is>
      </c>
      <c r="B2147" s="40" t="inlineStr">
        <is>
          <t>Yuppi Travel Org. Tic. Aş.</t>
        </is>
      </c>
      <c r="C2147" s="40" t="inlineStr">
        <is>
          <t>EUR</t>
        </is>
      </c>
      <c r="D2147" s="40" t="inlineStr">
        <is>
          <t>ROYAL ADAM EVE</t>
        </is>
      </c>
      <c r="E2147" s="38" t="n">
        <v>0</v>
      </c>
      <c r="F2147" s="38" t="n">
        <v>185669.29</v>
      </c>
      <c r="G2147" s="38" t="n">
        <v>-185669.29</v>
      </c>
      <c r="H2147" s="40" t="inlineStr">
        <is>
          <t>Alacak</t>
        </is>
      </c>
      <c r="I2147" s="38" t="n">
        <v>0</v>
      </c>
      <c r="J2147" s="38" t="n">
        <v>3480.74</v>
      </c>
      <c r="K2147" s="38" t="n">
        <v>-3480.74</v>
      </c>
      <c r="L2147" s="40" t="inlineStr">
        <is>
          <t>Alacak</t>
        </is>
      </c>
    </row>
    <row r="2148" s="34">
      <c r="A2148" s="40" t="inlineStr">
        <is>
          <t>340.01.01.Y009</t>
        </is>
      </c>
      <c r="B2148" s="40" t="inlineStr">
        <is>
          <t>Yuppi Travel Org. Tic. Aş.</t>
        </is>
      </c>
      <c r="C2148" s="40" t="inlineStr">
        <is>
          <t>EUR</t>
        </is>
      </c>
      <c r="D2148" s="40" t="inlineStr">
        <is>
          <t>SERTAŞ MERKEZ</t>
        </is>
      </c>
      <c r="E2148" s="38" t="n">
        <v>276013.62</v>
      </c>
      <c r="F2148" s="38" t="n">
        <v>681681.04</v>
      </c>
      <c r="G2148" s="38" t="n">
        <v>-405667.42</v>
      </c>
      <c r="H2148" s="40" t="inlineStr">
        <is>
          <t>Alacak</t>
        </is>
      </c>
      <c r="I2148" s="38" t="n">
        <v>5148</v>
      </c>
      <c r="J2148" s="38" t="n">
        <v>12872.75</v>
      </c>
      <c r="K2148" s="38" t="n">
        <v>-7724.75</v>
      </c>
      <c r="L2148" s="40" t="inlineStr">
        <is>
          <t>Alacak</t>
        </is>
      </c>
    </row>
    <row r="2149" s="34">
      <c r="A2149" s="40" t="inlineStr">
        <is>
          <t>340.01.01.Y012</t>
        </is>
      </c>
      <c r="B2149" s="40" t="inlineStr">
        <is>
          <t>YÜPAŞ YAPI TURİZMSAN.VE PAZ.A.Ş.</t>
        </is>
      </c>
      <c r="C2149" s="40" t="inlineStr">
        <is>
          <t>TRY</t>
        </is>
      </c>
      <c r="D2149" s="40" t="inlineStr">
        <is>
          <t>ROYAL ADAM EVE</t>
        </is>
      </c>
      <c r="E2149" s="38" t="n">
        <v>0</v>
      </c>
      <c r="F2149" s="38" t="n">
        <v>11095.01</v>
      </c>
      <c r="G2149" s="38" t="n">
        <v>-11095.01</v>
      </c>
      <c r="H2149" s="40" t="inlineStr">
        <is>
          <t>Alacak</t>
        </is>
      </c>
      <c r="I2149" s="38" t="n">
        <v>0</v>
      </c>
      <c r="J2149" s="38" t="n">
        <v>11095.01</v>
      </c>
      <c r="K2149" s="38" t="n">
        <v>-11095.01</v>
      </c>
      <c r="L2149" s="40" t="inlineStr">
        <is>
          <t>Alacak</t>
        </is>
      </c>
    </row>
    <row r="2150" s="34">
      <c r="A2150" s="40" t="inlineStr">
        <is>
          <t>340.01.02</t>
        </is>
      </c>
      <c r="B2150" s="40" t="inlineStr">
        <is>
          <t>ALINAN AVANSLAR - MÜNFERİT</t>
        </is>
      </c>
      <c r="C2150" s="40" t="inlineStr">
        <is>
          <t>TRY</t>
        </is>
      </c>
      <c r="E2150" s="38" t="n">
        <v>192587.85</v>
      </c>
      <c r="F2150" s="38" t="n">
        <v>785969.74</v>
      </c>
      <c r="G2150" s="38" t="n">
        <v>-593381.89</v>
      </c>
      <c r="I2150" s="38" t="n">
        <v>39692.94</v>
      </c>
      <c r="J2150" s="38" t="n">
        <v>14778.9</v>
      </c>
      <c r="K2150" s="38" t="n">
        <v>24914.04</v>
      </c>
    </row>
    <row r="2151" s="34">
      <c r="A2151" s="40" t="inlineStr">
        <is>
          <t>340.01.02.C009</t>
        </is>
      </c>
      <c r="B2151" s="40" t="inlineStr">
        <is>
          <t>Chrıstıan Plass</t>
        </is>
      </c>
      <c r="C2151" s="40" t="inlineStr">
        <is>
          <t>EUR</t>
        </is>
      </c>
      <c r="D2151" s="40" t="inlineStr">
        <is>
          <t>ROYAL ADAM EVE</t>
        </is>
      </c>
      <c r="E2151" s="38" t="n">
        <v>0</v>
      </c>
      <c r="F2151" s="38" t="n">
        <v>26918.64</v>
      </c>
      <c r="G2151" s="38" t="n">
        <v>-26918.64</v>
      </c>
      <c r="H2151" s="40" t="inlineStr">
        <is>
          <t>Alacak</t>
        </is>
      </c>
      <c r="I2151" s="38" t="n">
        <v>0</v>
      </c>
      <c r="J2151" s="38" t="n">
        <v>506.48</v>
      </c>
      <c r="K2151" s="38" t="n">
        <v>-506.48</v>
      </c>
      <c r="L2151" s="40" t="inlineStr">
        <is>
          <t>Alacak</t>
        </is>
      </c>
    </row>
    <row r="2152" s="34">
      <c r="A2152" s="40" t="inlineStr">
        <is>
          <t>340.01.02.M013</t>
        </is>
      </c>
      <c r="B2152" s="40" t="inlineStr">
        <is>
          <t>Individual Müşteriler Hesabı</t>
        </is>
      </c>
      <c r="C2152" s="40" t="inlineStr">
        <is>
          <t>EUR</t>
        </is>
      </c>
      <c r="D2152" s="40" t="inlineStr">
        <is>
          <t>GİTAŞ MERKEZ</t>
        </is>
      </c>
      <c r="E2152" s="38" t="n">
        <v>0</v>
      </c>
      <c r="F2152" s="38" t="n">
        <v>308775.44</v>
      </c>
      <c r="G2152" s="38" t="n">
        <v>-308775.44</v>
      </c>
      <c r="H2152" s="40" t="inlineStr">
        <is>
          <t>Alacak</t>
        </is>
      </c>
      <c r="I2152" s="38" t="n">
        <v>0</v>
      </c>
      <c r="J2152" s="38" t="n">
        <v>5821</v>
      </c>
      <c r="K2152" s="38" t="n">
        <v>-5821</v>
      </c>
      <c r="L2152" s="40" t="inlineStr">
        <is>
          <t>Alacak</t>
        </is>
      </c>
    </row>
    <row r="2153" s="34">
      <c r="A2153" s="40" t="inlineStr">
        <is>
          <t>340.01.02.M013</t>
        </is>
      </c>
      <c r="B2153" s="40" t="inlineStr">
        <is>
          <t>Individual Müşteriler Hesabı</t>
        </is>
      </c>
      <c r="C2153" s="40" t="inlineStr">
        <is>
          <t>EUR</t>
        </is>
      </c>
      <c r="D2153" s="40" t="inlineStr">
        <is>
          <t>ROYAL ADAM EVE</t>
        </is>
      </c>
      <c r="E2153" s="38" t="n">
        <v>6800</v>
      </c>
      <c r="F2153" s="38" t="n">
        <v>301253.5</v>
      </c>
      <c r="G2153" s="38" t="n">
        <v>-294453.5</v>
      </c>
      <c r="H2153" s="40" t="inlineStr">
        <is>
          <t>Alacak</t>
        </is>
      </c>
      <c r="I2153" s="38" t="n">
        <v>6800</v>
      </c>
      <c r="J2153" s="38" t="n">
        <v>5639.8</v>
      </c>
      <c r="K2153" s="38" t="n">
        <v>1160.2</v>
      </c>
      <c r="L2153" s="40" t="inlineStr">
        <is>
          <t>Borç</t>
        </is>
      </c>
    </row>
    <row r="2154" s="34">
      <c r="A2154" s="40" t="inlineStr">
        <is>
          <t>340.01.02.M013</t>
        </is>
      </c>
      <c r="B2154" s="40" t="inlineStr">
        <is>
          <t>Individual Müşteriler Hesabı</t>
        </is>
      </c>
      <c r="C2154" s="40" t="inlineStr">
        <is>
          <t>EUR</t>
        </is>
      </c>
      <c r="D2154" s="40" t="inlineStr">
        <is>
          <t>ROYAL DRAGON</t>
        </is>
      </c>
      <c r="E2154" s="38" t="n">
        <v>29987.06</v>
      </c>
      <c r="F2154" s="38" t="n">
        <v>0</v>
      </c>
      <c r="G2154" s="38" t="n">
        <v>29987.06</v>
      </c>
      <c r="H2154" s="40" t="inlineStr">
        <is>
          <t>Borç</t>
        </is>
      </c>
      <c r="I2154" s="38" t="n">
        <v>29987.06</v>
      </c>
      <c r="J2154" s="38" t="n">
        <v>0</v>
      </c>
      <c r="K2154" s="38" t="n">
        <v>29987.06</v>
      </c>
      <c r="L2154" s="40" t="inlineStr">
        <is>
          <t>Borç</t>
        </is>
      </c>
    </row>
    <row r="2155" s="34">
      <c r="A2155" s="40" t="inlineStr">
        <is>
          <t>340.01.02.M013</t>
        </is>
      </c>
      <c r="B2155" s="40" t="inlineStr">
        <is>
          <t>Individual Müşteriler Hesabı</t>
        </is>
      </c>
      <c r="C2155" s="40" t="inlineStr">
        <is>
          <t>EUR</t>
        </is>
      </c>
      <c r="D2155" s="40" t="inlineStr">
        <is>
          <t>SERTAŞ MERKEZ</t>
        </is>
      </c>
      <c r="E2155" s="38" t="n">
        <v>0</v>
      </c>
      <c r="F2155" s="38" t="n">
        <v>149022.16</v>
      </c>
      <c r="G2155" s="38" t="n">
        <v>-149022.16</v>
      </c>
      <c r="H2155" s="40" t="inlineStr">
        <is>
          <t>Alacak</t>
        </is>
      </c>
      <c r="I2155" s="38" t="n">
        <v>0</v>
      </c>
      <c r="J2155" s="38" t="n">
        <v>2811.62</v>
      </c>
      <c r="K2155" s="38" t="n">
        <v>-2811.62</v>
      </c>
      <c r="L2155" s="40" t="inlineStr">
        <is>
          <t>Alacak</t>
        </is>
      </c>
    </row>
    <row r="2156" s="34">
      <c r="A2156" s="40" t="inlineStr">
        <is>
          <t>340.01.02.T005</t>
        </is>
      </c>
      <c r="B2156" s="40" t="inlineStr">
        <is>
          <t>Tac Prm (Sea&amp;City)</t>
        </is>
      </c>
      <c r="C2156" s="40" t="inlineStr">
        <is>
          <t>EUR</t>
        </is>
      </c>
      <c r="D2156" s="40" t="inlineStr">
        <is>
          <t>SERTAŞ MERKEZ</t>
        </is>
      </c>
      <c r="E2156" s="38" t="n">
        <v>155800.79</v>
      </c>
      <c r="F2156" s="38" t="n">
        <v>0</v>
      </c>
      <c r="G2156" s="38" t="n">
        <v>155800.79</v>
      </c>
      <c r="H2156" s="40" t="inlineStr">
        <is>
          <t>Borç</t>
        </is>
      </c>
      <c r="I2156" s="38" t="n">
        <v>2905.88</v>
      </c>
      <c r="J2156" s="38" t="n">
        <v>0</v>
      </c>
      <c r="K2156" s="38" t="n">
        <v>2905.88</v>
      </c>
      <c r="L2156" s="40" t="inlineStr">
        <is>
          <t>Borç</t>
        </is>
      </c>
    </row>
    <row r="2157" s="34">
      <c r="A2157" s="40" t="inlineStr">
        <is>
          <t>340.01.03</t>
        </is>
      </c>
      <c r="B2157" s="40" t="inlineStr">
        <is>
          <t>ALINAN AVANSLAR - GRUPLAR</t>
        </is>
      </c>
      <c r="C2157" s="40" t="inlineStr">
        <is>
          <t>TRY</t>
        </is>
      </c>
      <c r="E2157" s="38" t="n">
        <v>136289.5</v>
      </c>
      <c r="F2157" s="38" t="n">
        <v>4392400.56</v>
      </c>
      <c r="G2157" s="38" t="n">
        <v>-4256111.06</v>
      </c>
      <c r="I2157" s="38" t="n">
        <v>2541.97</v>
      </c>
      <c r="J2157" s="38" t="n">
        <v>196518.77</v>
      </c>
      <c r="K2157" s="38" t="n">
        <v>-193976.8</v>
      </c>
    </row>
    <row r="2158" s="34">
      <c r="A2158" s="40" t="inlineStr">
        <is>
          <t>340.01.03.D002</t>
        </is>
      </c>
      <c r="B2158" s="40" t="inlineStr">
        <is>
          <t>DEKON KONGRE VE TURİZM HİZMETLERİ A.Ş.</t>
        </is>
      </c>
      <c r="C2158" s="40" t="inlineStr">
        <is>
          <t>EUR</t>
        </is>
      </c>
      <c r="D2158" s="40" t="inlineStr">
        <is>
          <t>GİTAŞ MERKEZ</t>
        </is>
      </c>
      <c r="E2158" s="38" t="n">
        <v>0</v>
      </c>
      <c r="F2158" s="38" t="n">
        <v>115500</v>
      </c>
      <c r="G2158" s="38" t="n">
        <v>-115500</v>
      </c>
      <c r="H2158" s="40" t="inlineStr">
        <is>
          <t>Alacak</t>
        </is>
      </c>
      <c r="I2158" s="38" t="n">
        <v>0</v>
      </c>
      <c r="J2158" s="38" t="n">
        <v>115500</v>
      </c>
      <c r="K2158" s="38" t="n">
        <v>-115500</v>
      </c>
      <c r="L2158" s="40" t="inlineStr">
        <is>
          <t>Alacak</t>
        </is>
      </c>
    </row>
    <row r="2159" s="34">
      <c r="A2159" s="40" t="inlineStr">
        <is>
          <t>340.01.03.F001</t>
        </is>
      </c>
      <c r="B2159" s="40" t="inlineStr">
        <is>
          <t>Fanatictour Turizm Sanayi Ve Ticaret Ltd</t>
        </is>
      </c>
      <c r="C2159" s="40" t="inlineStr">
        <is>
          <t>EUR</t>
        </is>
      </c>
      <c r="D2159" s="40" t="inlineStr">
        <is>
          <t>SERTAŞ MERKEZ</t>
        </is>
      </c>
      <c r="E2159" s="38" t="n">
        <v>0</v>
      </c>
      <c r="F2159" s="38" t="n">
        <v>387061.55</v>
      </c>
      <c r="G2159" s="38" t="n">
        <v>-387061.55</v>
      </c>
      <c r="H2159" s="40" t="inlineStr">
        <is>
          <t>Alacak</t>
        </is>
      </c>
      <c r="I2159" s="38" t="n">
        <v>0</v>
      </c>
      <c r="J2159" s="38" t="n">
        <v>7250</v>
      </c>
      <c r="K2159" s="38" t="n">
        <v>-7250</v>
      </c>
      <c r="L2159" s="40" t="inlineStr">
        <is>
          <t>Alacak</t>
        </is>
      </c>
    </row>
    <row r="2160" s="34">
      <c r="A2160" s="40" t="inlineStr">
        <is>
          <t>340.01.03.G003</t>
        </is>
      </c>
      <c r="B2160" s="40" t="inlineStr">
        <is>
          <t>Gepard Turizm Taşımacılık Eml.İnş.Ve Tic</t>
        </is>
      </c>
      <c r="C2160" s="40" t="inlineStr">
        <is>
          <t>EUR</t>
        </is>
      </c>
      <c r="D2160" s="40" t="inlineStr">
        <is>
          <t>GİTAŞ MERKEZ</t>
        </is>
      </c>
      <c r="E2160" s="38" t="n">
        <v>136289.5</v>
      </c>
      <c r="F2160" s="38" t="n">
        <v>0</v>
      </c>
      <c r="G2160" s="38" t="n">
        <v>136289.5</v>
      </c>
      <c r="H2160" s="40" t="inlineStr">
        <is>
          <t>Borç</t>
        </is>
      </c>
      <c r="I2160" s="38" t="n">
        <v>2541.97</v>
      </c>
      <c r="J2160" s="38" t="n">
        <v>0</v>
      </c>
      <c r="K2160" s="38" t="n">
        <v>2541.97</v>
      </c>
      <c r="L2160" s="40" t="inlineStr">
        <is>
          <t>Borç</t>
        </is>
      </c>
    </row>
    <row r="2161" s="34">
      <c r="A2161" s="40" t="inlineStr">
        <is>
          <t>340.01.03.G003</t>
        </is>
      </c>
      <c r="B2161" s="40" t="inlineStr">
        <is>
          <t>Gepard Turizm Taşımacılık Eml.İnş.Ve Tic</t>
        </is>
      </c>
      <c r="C2161" s="40" t="inlineStr">
        <is>
          <t>EUR</t>
        </is>
      </c>
      <c r="D2161" s="40" t="inlineStr">
        <is>
          <t>SERTAŞ MERKEZ</t>
        </is>
      </c>
      <c r="E2161" s="38" t="n">
        <v>0</v>
      </c>
      <c r="F2161" s="38" t="n">
        <v>76039.86</v>
      </c>
      <c r="G2161" s="38" t="n">
        <v>-76039.86</v>
      </c>
      <c r="H2161" s="40" t="inlineStr">
        <is>
          <t>Alacak</t>
        </is>
      </c>
      <c r="I2161" s="38" t="n">
        <v>0</v>
      </c>
      <c r="J2161" s="38" t="n">
        <v>1443.75</v>
      </c>
      <c r="K2161" s="38" t="n">
        <v>-1443.75</v>
      </c>
      <c r="L2161" s="40" t="inlineStr">
        <is>
          <t>Alacak</t>
        </is>
      </c>
    </row>
    <row r="2162" s="34">
      <c r="A2162" s="40" t="inlineStr">
        <is>
          <t>340.01.03.S002</t>
        </is>
      </c>
      <c r="B2162" s="40" t="inlineStr">
        <is>
          <t>Scao Organızasyon Turizm</t>
        </is>
      </c>
      <c r="C2162" s="40" t="inlineStr">
        <is>
          <t>EUR</t>
        </is>
      </c>
      <c r="D2162" s="40" t="inlineStr">
        <is>
          <t>ROYAL DRAGON</t>
        </is>
      </c>
      <c r="E2162" s="38" t="n">
        <v>0</v>
      </c>
      <c r="F2162" s="38" t="n">
        <v>13297.15</v>
      </c>
      <c r="G2162" s="38" t="n">
        <v>-13297.15</v>
      </c>
      <c r="H2162" s="40" t="inlineStr">
        <is>
          <t>Alacak</t>
        </is>
      </c>
      <c r="I2162" s="38" t="n">
        <v>0</v>
      </c>
      <c r="J2162" s="38" t="n">
        <v>250</v>
      </c>
      <c r="K2162" s="38" t="n">
        <v>-250</v>
      </c>
      <c r="L2162" s="40" t="inlineStr">
        <is>
          <t>Alacak</t>
        </is>
      </c>
    </row>
    <row r="2163" s="34">
      <c r="A2163" s="40" t="inlineStr">
        <is>
          <t>340.01.03.T001</t>
        </is>
      </c>
      <c r="B2163" s="40" t="inlineStr">
        <is>
          <t>Taş Havacılık ve Taşımacılık Ticaret Anomim Şirketi</t>
        </is>
      </c>
      <c r="C2163" s="40" t="inlineStr">
        <is>
          <t>TRY</t>
        </is>
      </c>
      <c r="D2163" s="40" t="inlineStr">
        <is>
          <t>SERTAŞ MERKEZ</t>
        </is>
      </c>
      <c r="E2163" s="38" t="n">
        <v>0</v>
      </c>
      <c r="F2163" s="38" t="n">
        <v>600</v>
      </c>
      <c r="G2163" s="38" t="n">
        <v>-600</v>
      </c>
      <c r="H2163" s="40" t="inlineStr">
        <is>
          <t>Alacak</t>
        </is>
      </c>
      <c r="I2163" s="38" t="n">
        <v>0</v>
      </c>
      <c r="J2163" s="38" t="n">
        <v>600</v>
      </c>
      <c r="K2163" s="38" t="n">
        <v>-600</v>
      </c>
      <c r="L2163" s="40" t="inlineStr">
        <is>
          <t>Alacak</t>
        </is>
      </c>
    </row>
    <row r="2164" s="34">
      <c r="A2164" s="40" t="inlineStr">
        <is>
          <t>340.01.03.T005</t>
        </is>
      </c>
      <c r="B2164" s="40" t="inlineStr">
        <is>
          <t>Top-Kon Turistik Hiz.Yat.İnş. Ve Tic. Ltd.</t>
        </is>
      </c>
      <c r="C2164" s="40" t="inlineStr">
        <is>
          <t>EUR</t>
        </is>
      </c>
      <c r="D2164" s="40" t="inlineStr">
        <is>
          <t>SERTAŞ MERKEZ</t>
        </is>
      </c>
      <c r="E2164" s="38" t="n">
        <v>0</v>
      </c>
      <c r="F2164" s="38" t="n">
        <v>799902</v>
      </c>
      <c r="G2164" s="38" t="n">
        <v>-799902</v>
      </c>
      <c r="H2164" s="40" t="inlineStr">
        <is>
          <t>Alacak</t>
        </is>
      </c>
      <c r="I2164" s="38" t="n">
        <v>0</v>
      </c>
      <c r="J2164" s="38" t="n">
        <v>15000</v>
      </c>
      <c r="K2164" s="38" t="n">
        <v>-15000</v>
      </c>
      <c r="L2164" s="40" t="inlineStr">
        <is>
          <t>Alacak</t>
        </is>
      </c>
    </row>
    <row r="2165" s="34">
      <c r="A2165" s="40" t="inlineStr">
        <is>
          <t>340.01.03.Z001</t>
        </is>
      </c>
      <c r="B2165" s="40" t="inlineStr">
        <is>
          <t>Z Event Kongre Org.Tur.Hiz.ve Tic.Ltd.Şti</t>
        </is>
      </c>
      <c r="C2165" s="40" t="inlineStr">
        <is>
          <t>EUR</t>
        </is>
      </c>
      <c r="D2165" s="40" t="inlineStr">
        <is>
          <t>SERTAŞ MERKEZ</t>
        </is>
      </c>
      <c r="E2165" s="38" t="n">
        <v>0</v>
      </c>
      <c r="F2165" s="38" t="n">
        <v>3000000</v>
      </c>
      <c r="G2165" s="38" t="n">
        <v>-3000000</v>
      </c>
      <c r="H2165" s="40" t="inlineStr">
        <is>
          <t>Alacak</t>
        </is>
      </c>
      <c r="I2165" s="38" t="n">
        <v>0</v>
      </c>
      <c r="J2165" s="38" t="n">
        <v>56475.02</v>
      </c>
      <c r="K2165" s="38" t="n">
        <v>-56475.02</v>
      </c>
      <c r="L2165" s="40" t="inlineStr">
        <is>
          <t>Alacak</t>
        </is>
      </c>
    </row>
    <row r="2166" s="34">
      <c r="A2166" s="40" t="inlineStr">
        <is>
          <t>340.01.04</t>
        </is>
      </c>
      <c r="B2166" s="40" t="inlineStr">
        <is>
          <t>ALINAN AVANSLAR - GRUP İÇİ ŞİRKETLER</t>
        </is>
      </c>
      <c r="C2166" s="40" t="inlineStr">
        <is>
          <t>TRY</t>
        </is>
      </c>
      <c r="E2166" s="38" t="n">
        <v>0</v>
      </c>
      <c r="F2166" s="38" t="n">
        <v>97200</v>
      </c>
      <c r="G2166" s="38" t="n">
        <v>-97200</v>
      </c>
      <c r="I2166" s="38" t="n">
        <v>0</v>
      </c>
      <c r="J2166" s="38" t="n">
        <v>97200</v>
      </c>
      <c r="K2166" s="38" t="n">
        <v>-97200</v>
      </c>
    </row>
    <row r="2167" s="34">
      <c r="A2167" s="40" t="inlineStr">
        <is>
          <t>340.01.04.Ç001</t>
        </is>
      </c>
      <c r="B2167" s="40" t="inlineStr">
        <is>
          <t>Çekim Enerji Yatırım Üretim Ve Tic A.Ş.</t>
        </is>
      </c>
      <c r="C2167" s="40" t="inlineStr">
        <is>
          <t>TRY</t>
        </is>
      </c>
      <c r="D2167" s="40" t="inlineStr">
        <is>
          <t>SERTAŞ MERKEZ</t>
        </is>
      </c>
      <c r="E2167" s="38" t="n">
        <v>0</v>
      </c>
      <c r="F2167" s="38" t="n">
        <v>12000</v>
      </c>
      <c r="G2167" s="38" t="n">
        <v>-12000</v>
      </c>
      <c r="H2167" s="40" t="inlineStr">
        <is>
          <t>Alacak</t>
        </is>
      </c>
      <c r="I2167" s="38" t="n">
        <v>0</v>
      </c>
      <c r="J2167" s="38" t="n">
        <v>12000</v>
      </c>
      <c r="K2167" s="38" t="n">
        <v>-12000</v>
      </c>
      <c r="L2167" s="40" t="inlineStr">
        <is>
          <t>Alacak</t>
        </is>
      </c>
    </row>
    <row r="2168" s="34">
      <c r="A2168" s="40" t="inlineStr">
        <is>
          <t>340.01.04.Ç002</t>
        </is>
      </c>
      <c r="B2168" s="40" t="inlineStr">
        <is>
          <t>Çevrim Enerji Yatırım Üretim Ve Tic.A.Ş.</t>
        </is>
      </c>
      <c r="C2168" s="40" t="inlineStr">
        <is>
          <t>TRY</t>
        </is>
      </c>
      <c r="D2168" s="40" t="inlineStr">
        <is>
          <t>SERTAŞ MERKEZ</t>
        </is>
      </c>
      <c r="E2168" s="38" t="n">
        <v>0</v>
      </c>
      <c r="F2168" s="38" t="n">
        <v>12000</v>
      </c>
      <c r="G2168" s="38" t="n">
        <v>-12000</v>
      </c>
      <c r="H2168" s="40" t="inlineStr">
        <is>
          <t>Alacak</t>
        </is>
      </c>
      <c r="I2168" s="38" t="n">
        <v>0</v>
      </c>
      <c r="J2168" s="38" t="n">
        <v>12000</v>
      </c>
      <c r="K2168" s="38" t="n">
        <v>-12000</v>
      </c>
      <c r="L2168" s="40" t="inlineStr">
        <is>
          <t>Alacak</t>
        </is>
      </c>
    </row>
    <row r="2169" s="34">
      <c r="A2169" s="40" t="inlineStr">
        <is>
          <t>340.01.04.F001</t>
        </is>
      </c>
      <c r="B2169" s="40" t="inlineStr">
        <is>
          <t>Ftaş Enerji Yatırım Üretim Ve Tic. A.Ş.</t>
        </is>
      </c>
      <c r="C2169" s="40" t="inlineStr">
        <is>
          <t>TRY</t>
        </is>
      </c>
      <c r="D2169" s="40" t="inlineStr">
        <is>
          <t>SERTAŞ MERKEZ</t>
        </is>
      </c>
      <c r="E2169" s="38" t="n">
        <v>0</v>
      </c>
      <c r="F2169" s="38" t="n">
        <v>600</v>
      </c>
      <c r="G2169" s="38" t="n">
        <v>-600</v>
      </c>
      <c r="H2169" s="40" t="inlineStr">
        <is>
          <t>Alacak</t>
        </is>
      </c>
      <c r="I2169" s="38" t="n">
        <v>0</v>
      </c>
      <c r="J2169" s="38" t="n">
        <v>600</v>
      </c>
      <c r="K2169" s="38" t="n">
        <v>-600</v>
      </c>
      <c r="L2169" s="40" t="inlineStr">
        <is>
          <t>Alacak</t>
        </is>
      </c>
    </row>
    <row r="2170" s="34">
      <c r="A2170" s="40" t="inlineStr">
        <is>
          <t>340.01.04.I001</t>
        </is>
      </c>
      <c r="B2170" s="40" t="inlineStr">
        <is>
          <t>Inebolu Enerji Yatırım Üretim Ve Tic.A.Ş</t>
        </is>
      </c>
      <c r="C2170" s="40" t="inlineStr">
        <is>
          <t>TRY</t>
        </is>
      </c>
      <c r="D2170" s="40" t="inlineStr">
        <is>
          <t>SERTAŞ MERKEZ</t>
        </is>
      </c>
      <c r="E2170" s="38" t="n">
        <v>0</v>
      </c>
      <c r="F2170" s="38" t="n">
        <v>12000</v>
      </c>
      <c r="G2170" s="38" t="n">
        <v>-12000</v>
      </c>
      <c r="H2170" s="40" t="inlineStr">
        <is>
          <t>Alacak</t>
        </is>
      </c>
      <c r="I2170" s="38" t="n">
        <v>0</v>
      </c>
      <c r="J2170" s="38" t="n">
        <v>12000</v>
      </c>
      <c r="K2170" s="38" t="n">
        <v>-12000</v>
      </c>
      <c r="L2170" s="40" t="inlineStr">
        <is>
          <t>Alacak</t>
        </is>
      </c>
    </row>
    <row r="2171" s="34">
      <c r="A2171" s="40" t="inlineStr">
        <is>
          <t>340.01.04.K002</t>
        </is>
      </c>
      <c r="B2171" s="40" t="inlineStr">
        <is>
          <t>Kiraz Enerji Yatırım Üretim Ve Tic.A.Ş.</t>
        </is>
      </c>
      <c r="C2171" s="40" t="inlineStr">
        <is>
          <t>TRY</t>
        </is>
      </c>
      <c r="D2171" s="40" t="inlineStr">
        <is>
          <t>SERTAŞ MERKEZ</t>
        </is>
      </c>
      <c r="E2171" s="38" t="n">
        <v>0</v>
      </c>
      <c r="F2171" s="38" t="n">
        <v>12000</v>
      </c>
      <c r="G2171" s="38" t="n">
        <v>-12000</v>
      </c>
      <c r="H2171" s="40" t="inlineStr">
        <is>
          <t>Alacak</t>
        </is>
      </c>
      <c r="I2171" s="38" t="n">
        <v>0</v>
      </c>
      <c r="J2171" s="38" t="n">
        <v>12000</v>
      </c>
      <c r="K2171" s="38" t="n">
        <v>-12000</v>
      </c>
      <c r="L2171" s="40" t="inlineStr">
        <is>
          <t>Alacak</t>
        </is>
      </c>
    </row>
    <row r="2172" s="34">
      <c r="A2172" s="40" t="inlineStr">
        <is>
          <t>340.01.04.P001</t>
        </is>
      </c>
      <c r="B2172" s="40" t="inlineStr">
        <is>
          <t>Pamukova Rüzgar Enerji Yatırım Üretim Ve</t>
        </is>
      </c>
      <c r="C2172" s="40" t="inlineStr">
        <is>
          <t>TRY</t>
        </is>
      </c>
      <c r="D2172" s="40" t="inlineStr">
        <is>
          <t>SERTAŞ MERKEZ</t>
        </is>
      </c>
      <c r="E2172" s="38" t="n">
        <v>0</v>
      </c>
      <c r="F2172" s="38" t="n">
        <v>12000</v>
      </c>
      <c r="G2172" s="38" t="n">
        <v>-12000</v>
      </c>
      <c r="H2172" s="40" t="inlineStr">
        <is>
          <t>Alacak</t>
        </is>
      </c>
      <c r="I2172" s="38" t="n">
        <v>0</v>
      </c>
      <c r="J2172" s="38" t="n">
        <v>12000</v>
      </c>
      <c r="K2172" s="38" t="n">
        <v>-12000</v>
      </c>
      <c r="L2172" s="40" t="inlineStr">
        <is>
          <t>Alacak</t>
        </is>
      </c>
    </row>
    <row r="2173" s="34">
      <c r="A2173" s="40" t="inlineStr">
        <is>
          <t>340.01.04.R002</t>
        </is>
      </c>
      <c r="B2173" s="40" t="inlineStr">
        <is>
          <t>Rt Enerji Turizm San.Ve Tic.A.Ş.</t>
        </is>
      </c>
      <c r="C2173" s="40" t="inlineStr">
        <is>
          <t>TRY</t>
        </is>
      </c>
      <c r="D2173" s="40" t="inlineStr">
        <is>
          <t>SERTAŞ MERKEZ</t>
        </is>
      </c>
      <c r="E2173" s="38" t="n">
        <v>0</v>
      </c>
      <c r="F2173" s="38" t="n">
        <v>12000</v>
      </c>
      <c r="G2173" s="38" t="n">
        <v>-12000</v>
      </c>
      <c r="H2173" s="40" t="inlineStr">
        <is>
          <t>Alacak</t>
        </is>
      </c>
      <c r="I2173" s="38" t="n">
        <v>0</v>
      </c>
      <c r="J2173" s="38" t="n">
        <v>12000</v>
      </c>
      <c r="K2173" s="38" t="n">
        <v>-12000</v>
      </c>
      <c r="L2173" s="40" t="inlineStr">
        <is>
          <t>Alacak</t>
        </is>
      </c>
    </row>
    <row r="2174" s="34">
      <c r="A2174" s="40" t="inlineStr">
        <is>
          <t>340.01.04.S001</t>
        </is>
      </c>
      <c r="B2174" s="40" t="inlineStr">
        <is>
          <t>Saganak Enerji Yatırım Üretim Ve Tic.A.Ş</t>
        </is>
      </c>
      <c r="C2174" s="40" t="inlineStr">
        <is>
          <t>TRY</t>
        </is>
      </c>
      <c r="D2174" s="40" t="inlineStr">
        <is>
          <t>SERTAŞ MERKEZ</t>
        </is>
      </c>
      <c r="E2174" s="38" t="n">
        <v>0</v>
      </c>
      <c r="F2174" s="38" t="n">
        <v>12000</v>
      </c>
      <c r="G2174" s="38" t="n">
        <v>-12000</v>
      </c>
      <c r="H2174" s="40" t="inlineStr">
        <is>
          <t>Alacak</t>
        </is>
      </c>
      <c r="I2174" s="38" t="n">
        <v>0</v>
      </c>
      <c r="J2174" s="38" t="n">
        <v>12000</v>
      </c>
      <c r="K2174" s="38" t="n">
        <v>-12000</v>
      </c>
      <c r="L2174" s="40" t="inlineStr">
        <is>
          <t>Alacak</t>
        </is>
      </c>
    </row>
    <row r="2175" s="34">
      <c r="A2175" s="40" t="inlineStr">
        <is>
          <t>340.01.04.S003</t>
        </is>
      </c>
      <c r="B2175" s="40" t="inlineStr">
        <is>
          <t>Stone Enerji Yatırım Üretim Ve Tic. A.Ş.</t>
        </is>
      </c>
      <c r="C2175" s="40" t="inlineStr">
        <is>
          <t>TRY</t>
        </is>
      </c>
      <c r="D2175" s="40" t="inlineStr">
        <is>
          <t>SERTAŞ MERKEZ</t>
        </is>
      </c>
      <c r="E2175" s="38" t="n">
        <v>0</v>
      </c>
      <c r="F2175" s="38" t="n">
        <v>600</v>
      </c>
      <c r="G2175" s="38" t="n">
        <v>-600</v>
      </c>
      <c r="H2175" s="40" t="inlineStr">
        <is>
          <t>Alacak</t>
        </is>
      </c>
      <c r="I2175" s="38" t="n">
        <v>0</v>
      </c>
      <c r="J2175" s="38" t="n">
        <v>600</v>
      </c>
      <c r="K2175" s="38" t="n">
        <v>-600</v>
      </c>
      <c r="L2175" s="40" t="inlineStr">
        <is>
          <t>Alacak</t>
        </is>
      </c>
    </row>
    <row r="2176" s="34">
      <c r="A2176" s="40" t="inlineStr">
        <is>
          <t>340.01.04.U001</t>
        </is>
      </c>
      <c r="B2176" s="40" t="inlineStr">
        <is>
          <t>Uygun Enerji Yatırım Üretim Ve Tic.A.Ş.</t>
        </is>
      </c>
      <c r="C2176" s="40" t="inlineStr">
        <is>
          <t>TRY</t>
        </is>
      </c>
      <c r="D2176" s="40" t="inlineStr">
        <is>
          <t>SERTAŞ MERKEZ</t>
        </is>
      </c>
      <c r="E2176" s="38" t="n">
        <v>0</v>
      </c>
      <c r="F2176" s="38" t="n">
        <v>12000</v>
      </c>
      <c r="G2176" s="38" t="n">
        <v>-12000</v>
      </c>
      <c r="H2176" s="40" t="inlineStr">
        <is>
          <t>Alacak</t>
        </is>
      </c>
      <c r="I2176" s="38" t="n">
        <v>0</v>
      </c>
      <c r="J2176" s="38" t="n">
        <v>12000</v>
      </c>
      <c r="K2176" s="38" t="n">
        <v>-12000</v>
      </c>
      <c r="L2176" s="40" t="inlineStr">
        <is>
          <t>Alacak</t>
        </is>
      </c>
    </row>
    <row r="2177" s="34">
      <c r="A2177" s="40" t="inlineStr">
        <is>
          <t>340.01.06</t>
        </is>
      </c>
      <c r="B2177" s="40" t="inlineStr">
        <is>
          <t>ALINAN AVANSLAR - OTEL KİRACILARI</t>
        </is>
      </c>
      <c r="C2177" s="40" t="inlineStr">
        <is>
          <t>TRY</t>
        </is>
      </c>
      <c r="E2177" s="38" t="n">
        <v>339403.94</v>
      </c>
      <c r="F2177" s="38" t="n">
        <v>7251461.33</v>
      </c>
      <c r="G2177" s="38" t="n">
        <v>-6912057.39</v>
      </c>
      <c r="I2177" s="38" t="n">
        <v>6389.68</v>
      </c>
      <c r="J2177" s="38" t="n">
        <v>1178926.58</v>
      </c>
      <c r="K2177" s="38" t="n">
        <v>-1172536.9</v>
      </c>
    </row>
    <row r="2178" s="34">
      <c r="A2178" s="40" t="inlineStr">
        <is>
          <t>340.01.06.A017</t>
        </is>
      </c>
      <c r="B2178" s="40" t="inlineStr">
        <is>
          <t>Aslıhan Dilara Kaymaz (Euro)</t>
        </is>
      </c>
      <c r="C2178" s="40" t="inlineStr">
        <is>
          <t>TRY</t>
        </is>
      </c>
      <c r="D2178" s="40" t="inlineStr">
        <is>
          <t>SERTAŞ MERKEZ</t>
        </is>
      </c>
      <c r="E2178" s="38" t="n">
        <v>0</v>
      </c>
      <c r="F2178" s="38" t="n">
        <v>133868.45</v>
      </c>
      <c r="G2178" s="38" t="n">
        <v>-133868.45</v>
      </c>
      <c r="H2178" s="40" t="inlineStr">
        <is>
          <t>Alacak</t>
        </is>
      </c>
      <c r="I2178" s="38" t="n">
        <v>0</v>
      </c>
      <c r="J2178" s="38" t="n">
        <v>2520</v>
      </c>
      <c r="K2178" s="38" t="n">
        <v>-2520</v>
      </c>
      <c r="L2178" s="40" t="inlineStr">
        <is>
          <t>Alacak</t>
        </is>
      </c>
    </row>
    <row r="2179" s="34">
      <c r="A2179" s="40" t="inlineStr">
        <is>
          <t>340.01.06.E001</t>
        </is>
      </c>
      <c r="B2179" s="40" t="inlineStr">
        <is>
          <t>Eyüp Sultan Deveci</t>
        </is>
      </c>
      <c r="C2179" s="40" t="inlineStr">
        <is>
          <t>TRY</t>
        </is>
      </c>
      <c r="D2179" s="40" t="inlineStr">
        <is>
          <t>SERTAŞ MERKEZ</t>
        </is>
      </c>
      <c r="E2179" s="38" t="n">
        <v>0</v>
      </c>
      <c r="F2179" s="38" t="n">
        <v>603839.3</v>
      </c>
      <c r="G2179" s="38" t="n">
        <v>-603839.3</v>
      </c>
      <c r="H2179" s="40" t="inlineStr">
        <is>
          <t>Alacak</t>
        </is>
      </c>
      <c r="I2179" s="38" t="n">
        <v>0</v>
      </c>
      <c r="J2179" s="38" t="n">
        <v>603839.3</v>
      </c>
      <c r="K2179" s="38" t="n">
        <v>-603839.3</v>
      </c>
      <c r="L2179" s="40" t="inlineStr">
        <is>
          <t>Alacak</t>
        </is>
      </c>
    </row>
    <row r="2180" s="34">
      <c r="A2180" s="40" t="inlineStr">
        <is>
          <t>340.01.06.E002</t>
        </is>
      </c>
      <c r="B2180" s="40" t="inlineStr">
        <is>
          <t>Ekrem / Arıkan</t>
        </is>
      </c>
      <c r="C2180" s="40" t="inlineStr">
        <is>
          <t>EUR</t>
        </is>
      </c>
      <c r="D2180" s="40" t="inlineStr">
        <is>
          <t>GİTAŞ MERKEZ</t>
        </is>
      </c>
      <c r="E2180" s="38" t="n">
        <v>0</v>
      </c>
      <c r="F2180" s="38" t="n">
        <v>278892.6</v>
      </c>
      <c r="G2180" s="38" t="n">
        <v>-278892.6</v>
      </c>
      <c r="H2180" s="40" t="inlineStr">
        <is>
          <t>Alacak</t>
        </is>
      </c>
      <c r="I2180" s="38" t="n">
        <v>0</v>
      </c>
      <c r="J2180" s="38" t="n">
        <v>5250</v>
      </c>
      <c r="K2180" s="38" t="n">
        <v>-5250</v>
      </c>
      <c r="L2180" s="40" t="inlineStr">
        <is>
          <t>Alacak</t>
        </is>
      </c>
    </row>
    <row r="2181" s="34">
      <c r="A2181" s="40" t="inlineStr">
        <is>
          <t>340.01.06.E011</t>
        </is>
      </c>
      <c r="B2181" s="40" t="inlineStr">
        <is>
          <t>Erkan Beydoğan /Beydoğan Foto Center</t>
        </is>
      </c>
      <c r="C2181" s="40" t="inlineStr">
        <is>
          <t>EUR</t>
        </is>
      </c>
      <c r="D2181" s="40" t="inlineStr">
        <is>
          <t>GİTAŞ MERKEZ</t>
        </is>
      </c>
      <c r="E2181" s="38" t="n">
        <v>0</v>
      </c>
      <c r="F2181" s="38" t="n">
        <v>597627</v>
      </c>
      <c r="G2181" s="38" t="n">
        <v>-597627</v>
      </c>
      <c r="H2181" s="40" t="inlineStr">
        <is>
          <t>Alacak</t>
        </is>
      </c>
      <c r="I2181" s="38" t="n">
        <v>0</v>
      </c>
      <c r="J2181" s="38" t="n">
        <v>11250</v>
      </c>
      <c r="K2181" s="38" t="n">
        <v>-11250</v>
      </c>
      <c r="L2181" s="40" t="inlineStr">
        <is>
          <t>Alacak</t>
        </is>
      </c>
    </row>
    <row r="2182" s="34">
      <c r="A2182" s="40" t="inlineStr">
        <is>
          <t>340.01.06.H002</t>
        </is>
      </c>
      <c r="B2182" s="40" t="inlineStr">
        <is>
          <t>Hakan Unal</t>
        </is>
      </c>
      <c r="C2182" s="40" t="inlineStr">
        <is>
          <t>TRY</t>
        </is>
      </c>
      <c r="D2182" s="40" t="inlineStr">
        <is>
          <t>GİTAŞ MERKEZ</t>
        </is>
      </c>
      <c r="E2182" s="38" t="n">
        <v>0</v>
      </c>
      <c r="F2182" s="38" t="n">
        <v>55778.52</v>
      </c>
      <c r="G2182" s="38" t="n">
        <v>-55778.52</v>
      </c>
      <c r="H2182" s="40" t="inlineStr">
        <is>
          <t>Alacak</t>
        </is>
      </c>
      <c r="I2182" s="38" t="n">
        <v>0</v>
      </c>
      <c r="J2182" s="38" t="n">
        <v>1050</v>
      </c>
      <c r="K2182" s="38" t="n">
        <v>-1050</v>
      </c>
      <c r="L2182" s="40" t="inlineStr">
        <is>
          <t>Alacak</t>
        </is>
      </c>
    </row>
    <row r="2183" s="34">
      <c r="A2183" s="40" t="inlineStr">
        <is>
          <t>340.01.06.H003</t>
        </is>
      </c>
      <c r="B2183" s="40" t="inlineStr">
        <is>
          <t>Hatice Süheyla Ertürk</t>
        </is>
      </c>
      <c r="C2183" s="40" t="inlineStr">
        <is>
          <t>TRY</t>
        </is>
      </c>
      <c r="D2183" s="40" t="inlineStr">
        <is>
          <t>ROYAL ADAM EVE</t>
        </is>
      </c>
      <c r="E2183" s="38" t="n">
        <v>0</v>
      </c>
      <c r="F2183" s="38" t="n">
        <v>28800</v>
      </c>
      <c r="G2183" s="38" t="n">
        <v>-28800</v>
      </c>
      <c r="H2183" s="40" t="inlineStr">
        <is>
          <t>Alacak</t>
        </is>
      </c>
      <c r="I2183" s="38" t="n">
        <v>0</v>
      </c>
      <c r="J2183" s="38" t="n">
        <v>28800</v>
      </c>
      <c r="K2183" s="38" t="n">
        <v>-28800</v>
      </c>
      <c r="L2183" s="40" t="inlineStr">
        <is>
          <t>Alacak</t>
        </is>
      </c>
    </row>
    <row r="2184" s="34">
      <c r="A2184" s="40" t="inlineStr">
        <is>
          <t>340.01.06.H006</t>
        </is>
      </c>
      <c r="B2184" s="40" t="inlineStr">
        <is>
          <t>Hüseyin Türker</t>
        </is>
      </c>
      <c r="C2184" s="40" t="inlineStr">
        <is>
          <t>TRY</t>
        </is>
      </c>
      <c r="D2184" s="40" t="inlineStr">
        <is>
          <t>GİTAŞ MERKEZ</t>
        </is>
      </c>
      <c r="E2184" s="38" t="n">
        <v>0</v>
      </c>
      <c r="F2184" s="38" t="n">
        <v>159367.2</v>
      </c>
      <c r="G2184" s="38" t="n">
        <v>-159367.2</v>
      </c>
      <c r="H2184" s="40" t="inlineStr">
        <is>
          <t>Alacak</t>
        </is>
      </c>
      <c r="I2184" s="38" t="n">
        <v>0</v>
      </c>
      <c r="J2184" s="38" t="n">
        <v>3000</v>
      </c>
      <c r="K2184" s="38" t="n">
        <v>-3000</v>
      </c>
      <c r="L2184" s="40" t="inlineStr">
        <is>
          <t>Alacak</t>
        </is>
      </c>
    </row>
    <row r="2185" s="34">
      <c r="A2185" s="40" t="inlineStr">
        <is>
          <t>340.01.06.H010</t>
        </is>
      </c>
      <c r="B2185" s="40" t="inlineStr">
        <is>
          <t>Hüseyin Apaydın</t>
        </is>
      </c>
      <c r="C2185" s="40" t="inlineStr">
        <is>
          <t>TRY</t>
        </is>
      </c>
      <c r="D2185" s="40" t="inlineStr">
        <is>
          <t>SERTAŞ MERKEZ</t>
        </is>
      </c>
      <c r="E2185" s="38" t="n">
        <v>0</v>
      </c>
      <c r="F2185" s="38" t="n">
        <v>38000</v>
      </c>
      <c r="G2185" s="38" t="n">
        <v>-38000</v>
      </c>
      <c r="H2185" s="40" t="inlineStr">
        <is>
          <t>Alacak</t>
        </is>
      </c>
      <c r="I2185" s="38" t="n">
        <v>0</v>
      </c>
      <c r="J2185" s="38" t="n">
        <v>721.5</v>
      </c>
      <c r="K2185" s="38" t="n">
        <v>-721.5</v>
      </c>
      <c r="L2185" s="40" t="inlineStr">
        <is>
          <t>Alacak</t>
        </is>
      </c>
    </row>
    <row r="2186" s="34">
      <c r="A2186" s="40" t="inlineStr">
        <is>
          <t>340.01.06.K002</t>
        </is>
      </c>
      <c r="B2186" s="40" t="inlineStr">
        <is>
          <t>Kadri Ağrağ / Sen Butik-Mayo-Hediyelik</t>
        </is>
      </c>
      <c r="C2186" s="40" t="inlineStr">
        <is>
          <t>EUR</t>
        </is>
      </c>
      <c r="D2186" s="40" t="inlineStr">
        <is>
          <t>ROYAL ADAM EVE</t>
        </is>
      </c>
      <c r="E2186" s="38" t="n">
        <v>0</v>
      </c>
      <c r="F2186" s="38" t="n">
        <v>297485.44</v>
      </c>
      <c r="G2186" s="38" t="n">
        <v>-297485.44</v>
      </c>
      <c r="H2186" s="40" t="inlineStr">
        <is>
          <t>Alacak</t>
        </is>
      </c>
      <c r="I2186" s="38" t="n">
        <v>0</v>
      </c>
      <c r="J2186" s="38" t="n">
        <v>5600</v>
      </c>
      <c r="K2186" s="38" t="n">
        <v>-5600</v>
      </c>
      <c r="L2186" s="40" t="inlineStr">
        <is>
          <t>Alacak</t>
        </is>
      </c>
    </row>
    <row r="2187" s="34">
      <c r="A2187" s="40" t="inlineStr">
        <is>
          <t>340.01.06.K004</t>
        </is>
      </c>
      <c r="B2187" s="40" t="inlineStr">
        <is>
          <t>Kemer Medikal Center Özel Sağ.Hizm.A.Ş.</t>
        </is>
      </c>
      <c r="C2187" s="40" t="inlineStr">
        <is>
          <t>EUR</t>
        </is>
      </c>
      <c r="D2187" s="40" t="inlineStr">
        <is>
          <t>ROYAL ADAM EVE</t>
        </is>
      </c>
      <c r="E2187" s="38" t="n">
        <v>0</v>
      </c>
      <c r="F2187" s="38" t="n">
        <v>13944.12</v>
      </c>
      <c r="G2187" s="38" t="n">
        <v>-13944.12</v>
      </c>
      <c r="H2187" s="40" t="inlineStr">
        <is>
          <t>Alacak</t>
        </is>
      </c>
      <c r="I2187" s="38" t="n">
        <v>0</v>
      </c>
      <c r="J2187" s="38" t="n">
        <v>13944.12</v>
      </c>
      <c r="K2187" s="38" t="n">
        <v>-13944.12</v>
      </c>
      <c r="L2187" s="40" t="inlineStr">
        <is>
          <t>Alacak</t>
        </is>
      </c>
    </row>
    <row r="2188" s="34">
      <c r="A2188" s="40" t="inlineStr">
        <is>
          <t>340.01.06.K004</t>
        </is>
      </c>
      <c r="B2188" s="40" t="inlineStr">
        <is>
          <t>Kemer Medikal Center Özel Sağ.Hizm.A.Ş.</t>
        </is>
      </c>
      <c r="C2188" s="40" t="inlineStr">
        <is>
          <t>EUR</t>
        </is>
      </c>
      <c r="D2188" s="40" t="inlineStr">
        <is>
          <t>SERTAŞ MERKEZ</t>
        </is>
      </c>
      <c r="E2188" s="38" t="n">
        <v>0</v>
      </c>
      <c r="F2188" s="38" t="n">
        <v>413399.98</v>
      </c>
      <c r="G2188" s="38" t="n">
        <v>-413399.98</v>
      </c>
      <c r="H2188" s="40" t="inlineStr">
        <is>
          <t>Alacak</t>
        </is>
      </c>
      <c r="I2188" s="38" t="n">
        <v>0</v>
      </c>
      <c r="J2188" s="38" t="n">
        <v>413399.98</v>
      </c>
      <c r="K2188" s="38" t="n">
        <v>-413399.98</v>
      </c>
      <c r="L2188" s="40" t="inlineStr">
        <is>
          <t>Alacak</t>
        </is>
      </c>
    </row>
    <row r="2189" s="34">
      <c r="A2189" s="40" t="inlineStr">
        <is>
          <t>340.01.06.M010</t>
        </is>
      </c>
      <c r="B2189" s="40" t="inlineStr">
        <is>
          <t>Meryem Bahar</t>
        </is>
      </c>
      <c r="C2189" s="40" t="inlineStr">
        <is>
          <t>TRY</t>
        </is>
      </c>
      <c r="D2189" s="40" t="inlineStr">
        <is>
          <t>SERTAŞ MERKEZ</t>
        </is>
      </c>
      <c r="E2189" s="38" t="n">
        <v>0</v>
      </c>
      <c r="F2189" s="38" t="n">
        <v>268300.5</v>
      </c>
      <c r="G2189" s="38" t="n">
        <v>-268300.5</v>
      </c>
      <c r="H2189" s="40" t="inlineStr">
        <is>
          <t>Alacak</t>
        </is>
      </c>
      <c r="I2189" s="38" t="n">
        <v>0</v>
      </c>
      <c r="J2189" s="38" t="n">
        <v>5040</v>
      </c>
      <c r="K2189" s="38" t="n">
        <v>-5040</v>
      </c>
      <c r="L2189" s="40" t="inlineStr">
        <is>
          <t>Alacak</t>
        </is>
      </c>
    </row>
    <row r="2190" s="34">
      <c r="A2190" s="40" t="inlineStr">
        <is>
          <t>340.01.06.M011</t>
        </is>
      </c>
      <c r="B2190" s="40" t="inlineStr">
        <is>
          <t>Mes-Ram Müh.Mim.Hizm.Foto.Turz.</t>
        </is>
      </c>
      <c r="C2190" s="40" t="inlineStr">
        <is>
          <t>EUR</t>
        </is>
      </c>
      <c r="D2190" s="40" t="inlineStr">
        <is>
          <t>ROYAL ALHAMBRA</t>
        </is>
      </c>
      <c r="E2190" s="38" t="n">
        <v>9574.92</v>
      </c>
      <c r="F2190" s="38" t="n">
        <v>0</v>
      </c>
      <c r="G2190" s="38" t="n">
        <v>9574.92</v>
      </c>
      <c r="H2190" s="40" t="inlineStr">
        <is>
          <t>Borç</t>
        </is>
      </c>
      <c r="I2190" s="38" t="n">
        <v>180</v>
      </c>
      <c r="J2190" s="38" t="n">
        <v>0</v>
      </c>
      <c r="K2190" s="38" t="n">
        <v>180</v>
      </c>
      <c r="L2190" s="40" t="inlineStr">
        <is>
          <t>Borç</t>
        </is>
      </c>
    </row>
    <row r="2191" s="34">
      <c r="A2191" s="40" t="inlineStr">
        <is>
          <t>340.01.06.M020</t>
        </is>
      </c>
      <c r="B2191" s="40" t="inlineStr">
        <is>
          <t>Mustafa /Cansız Meç Kuaför</t>
        </is>
      </c>
      <c r="C2191" s="40" t="inlineStr">
        <is>
          <t>EUR</t>
        </is>
      </c>
      <c r="D2191" s="40" t="inlineStr">
        <is>
          <t>GİTAŞ MERKEZ</t>
        </is>
      </c>
      <c r="E2191" s="38" t="n">
        <v>0</v>
      </c>
      <c r="F2191" s="38" t="n">
        <v>138675.85</v>
      </c>
      <c r="G2191" s="38" t="n">
        <v>-138675.85</v>
      </c>
      <c r="H2191" s="40" t="inlineStr">
        <is>
          <t>Alacak</t>
        </is>
      </c>
      <c r="I2191" s="38" t="n">
        <v>0</v>
      </c>
      <c r="J2191" s="38" t="n">
        <v>2610</v>
      </c>
      <c r="K2191" s="38" t="n">
        <v>-2610</v>
      </c>
      <c r="L2191" s="40" t="inlineStr">
        <is>
          <t>Alacak</t>
        </is>
      </c>
    </row>
    <row r="2192" s="34">
      <c r="A2192" s="40" t="inlineStr">
        <is>
          <t>340.01.06.M024</t>
        </is>
      </c>
      <c r="B2192" s="40" t="inlineStr">
        <is>
          <t>Mevlut Gunes Avans (Kira)</t>
        </is>
      </c>
      <c r="C2192" s="40" t="inlineStr">
        <is>
          <t>TRY</t>
        </is>
      </c>
      <c r="D2192" s="40" t="inlineStr">
        <is>
          <t>GİTAŞ MERKEZ</t>
        </is>
      </c>
      <c r="E2192" s="38" t="n">
        <v>0</v>
      </c>
      <c r="F2192" s="38" t="n">
        <v>2512</v>
      </c>
      <c r="G2192" s="38" t="n">
        <v>-2512</v>
      </c>
      <c r="H2192" s="40" t="inlineStr">
        <is>
          <t>Alacak</t>
        </is>
      </c>
      <c r="I2192" s="38" t="n">
        <v>0</v>
      </c>
      <c r="J2192" s="38" t="n">
        <v>2512</v>
      </c>
      <c r="K2192" s="38" t="n">
        <v>-2512</v>
      </c>
      <c r="L2192" s="40" t="inlineStr">
        <is>
          <t>Alacak</t>
        </is>
      </c>
    </row>
    <row r="2193" s="34">
      <c r="A2193" s="40" t="inlineStr">
        <is>
          <t>340.01.06.M027</t>
        </is>
      </c>
      <c r="B2193" s="40" t="inlineStr">
        <is>
          <t xml:space="preserve">Mehmet Çelenk </t>
        </is>
      </c>
      <c r="C2193" s="40" t="inlineStr">
        <is>
          <t>EUR</t>
        </is>
      </c>
      <c r="D2193" s="40" t="inlineStr">
        <is>
          <t>ROYAL ADAM EVE</t>
        </is>
      </c>
      <c r="E2193" s="38" t="n">
        <v>329829.02</v>
      </c>
      <c r="F2193" s="38" t="n">
        <v>190976.76</v>
      </c>
      <c r="G2193" s="38" t="n">
        <v>138852.26</v>
      </c>
      <c r="H2193" s="40" t="inlineStr">
        <is>
          <t>Borç</t>
        </is>
      </c>
      <c r="I2193" s="38" t="n">
        <v>6209.68</v>
      </c>
      <c r="J2193" s="38" t="n">
        <v>3619.68</v>
      </c>
      <c r="K2193" s="38" t="n">
        <v>2590</v>
      </c>
      <c r="L2193" s="40" t="inlineStr">
        <is>
          <t>Borç</t>
        </is>
      </c>
    </row>
    <row r="2194" s="34">
      <c r="A2194" s="40" t="inlineStr">
        <is>
          <t>340.01.06.N004</t>
        </is>
      </c>
      <c r="B2194" s="40" t="inlineStr">
        <is>
          <t>Nfn Tekstil Gıda Otomotiv Turizm Taşımacılık İnş.Fotoğrafçılık Kuy.Reklamcılık San.Ve Tic.Ltd.Şti.</t>
        </is>
      </c>
      <c r="C2194" s="40" t="inlineStr">
        <is>
          <t>EUR</t>
        </is>
      </c>
      <c r="D2194" s="40" t="inlineStr">
        <is>
          <t>GİTAŞ MERKEZ</t>
        </is>
      </c>
      <c r="E2194" s="38" t="n">
        <v>0</v>
      </c>
      <c r="F2194" s="38" t="n">
        <v>1853971.76</v>
      </c>
      <c r="G2194" s="38" t="n">
        <v>-1853971.76</v>
      </c>
      <c r="H2194" s="40" t="inlineStr">
        <is>
          <t>Alacak</t>
        </is>
      </c>
      <c r="I2194" s="38" t="n">
        <v>0</v>
      </c>
      <c r="J2194" s="38" t="n">
        <v>34900</v>
      </c>
      <c r="K2194" s="38" t="n">
        <v>-34900</v>
      </c>
      <c r="L2194" s="40" t="inlineStr">
        <is>
          <t>Alacak</t>
        </is>
      </c>
    </row>
    <row r="2195" s="34">
      <c r="A2195" s="40" t="inlineStr">
        <is>
          <t>340.01.06.N006</t>
        </is>
      </c>
      <c r="B2195" s="40" t="inlineStr">
        <is>
          <t>Nilüfer Acar</t>
        </is>
      </c>
      <c r="C2195" s="40" t="inlineStr">
        <is>
          <t>EUR</t>
        </is>
      </c>
      <c r="D2195" s="40" t="inlineStr">
        <is>
          <t>GİTAŞ MERKEZ</t>
        </is>
      </c>
      <c r="E2195" s="38" t="n">
        <v>0</v>
      </c>
      <c r="F2195" s="38" t="n">
        <v>44859.53</v>
      </c>
      <c r="G2195" s="38" t="n">
        <v>-44859.53</v>
      </c>
      <c r="H2195" s="40" t="inlineStr">
        <is>
          <t>Alacak</t>
        </is>
      </c>
      <c r="I2195" s="38" t="n">
        <v>0</v>
      </c>
      <c r="J2195" s="38" t="n">
        <v>840</v>
      </c>
      <c r="K2195" s="38" t="n">
        <v>-840</v>
      </c>
      <c r="L2195" s="40" t="inlineStr">
        <is>
          <t>Alacak</t>
        </is>
      </c>
    </row>
    <row r="2196" s="34">
      <c r="A2196" s="40" t="inlineStr">
        <is>
          <t>340.01.06.N007</t>
        </is>
      </c>
      <c r="B2196" s="40" t="inlineStr">
        <is>
          <t>Nıno Katsadze</t>
        </is>
      </c>
      <c r="C2196" s="40" t="inlineStr">
        <is>
          <t>EUR</t>
        </is>
      </c>
      <c r="D2196" s="40" t="inlineStr">
        <is>
          <t>ROYAL ADAM EVE</t>
        </is>
      </c>
      <c r="E2196" s="38" t="n">
        <v>0</v>
      </c>
      <c r="F2196" s="38" t="n">
        <v>111557.04</v>
      </c>
      <c r="G2196" s="38" t="n">
        <v>-111557.04</v>
      </c>
      <c r="H2196" s="40" t="inlineStr">
        <is>
          <t>Alacak</t>
        </is>
      </c>
      <c r="I2196" s="38" t="n">
        <v>0</v>
      </c>
      <c r="J2196" s="38" t="n">
        <v>2100</v>
      </c>
      <c r="K2196" s="38" t="n">
        <v>-2100</v>
      </c>
      <c r="L2196" s="40" t="inlineStr">
        <is>
          <t>Alacak</t>
        </is>
      </c>
    </row>
    <row r="2197" s="34">
      <c r="A2197" s="40" t="inlineStr">
        <is>
          <t>340.01.06.O001</t>
        </is>
      </c>
      <c r="B2197" s="40" t="inlineStr">
        <is>
          <t>Omida Optik /Turizm San.Ve Tic.Ltd.Şti</t>
        </is>
      </c>
      <c r="C2197" s="40" t="inlineStr">
        <is>
          <t>EUR</t>
        </is>
      </c>
      <c r="D2197" s="40" t="inlineStr">
        <is>
          <t>ROYAL ADAM EVE</t>
        </is>
      </c>
      <c r="E2197" s="38" t="n">
        <v>0</v>
      </c>
      <c r="F2197" s="38" t="n">
        <v>138720.72</v>
      </c>
      <c r="G2197" s="38" t="n">
        <v>-138720.72</v>
      </c>
      <c r="H2197" s="40" t="inlineStr">
        <is>
          <t>Alacak</t>
        </is>
      </c>
      <c r="I2197" s="38" t="n">
        <v>0</v>
      </c>
      <c r="J2197" s="38" t="n">
        <v>2600</v>
      </c>
      <c r="K2197" s="38" t="n">
        <v>-2600</v>
      </c>
      <c r="L2197" s="40" t="inlineStr">
        <is>
          <t>Alacak</t>
        </is>
      </c>
    </row>
    <row r="2198" s="34">
      <c r="A2198" s="40" t="inlineStr">
        <is>
          <t>340.01.06.O004</t>
        </is>
      </c>
      <c r="B2198" s="40" t="inlineStr">
        <is>
          <t>Osman Burum</t>
        </is>
      </c>
      <c r="C2198" s="40" t="inlineStr">
        <is>
          <t>TRY</t>
        </is>
      </c>
      <c r="D2198" s="40" t="inlineStr">
        <is>
          <t>SERTAŞ MERKEZ</t>
        </is>
      </c>
      <c r="E2198" s="38" t="n">
        <v>0</v>
      </c>
      <c r="F2198" s="38" t="n">
        <v>224345.52</v>
      </c>
      <c r="G2198" s="38" t="n">
        <v>-224345.52</v>
      </c>
      <c r="H2198" s="40" t="inlineStr">
        <is>
          <t>Alacak</t>
        </is>
      </c>
      <c r="I2198" s="38" t="n">
        <v>0</v>
      </c>
      <c r="J2198" s="38" t="n">
        <v>4200</v>
      </c>
      <c r="K2198" s="38" t="n">
        <v>-4200</v>
      </c>
      <c r="L2198" s="40" t="inlineStr">
        <is>
          <t>Alacak</t>
        </is>
      </c>
    </row>
    <row r="2199" s="34">
      <c r="A2199" s="40" t="inlineStr">
        <is>
          <t>340.01.06.O008</t>
        </is>
      </c>
      <c r="B2199" s="40" t="inlineStr">
        <is>
          <t>Oğuz Arslan</t>
        </is>
      </c>
      <c r="C2199" s="40" t="inlineStr">
        <is>
          <t>EUR</t>
        </is>
      </c>
      <c r="D2199" s="40" t="inlineStr">
        <is>
          <t>SERTAŞ MERKEZ</t>
        </is>
      </c>
      <c r="E2199" s="38" t="n">
        <v>0</v>
      </c>
      <c r="F2199" s="38" t="n">
        <v>200355</v>
      </c>
      <c r="G2199" s="38" t="n">
        <v>-200355</v>
      </c>
      <c r="H2199" s="40" t="inlineStr">
        <is>
          <t>Alacak</t>
        </is>
      </c>
      <c r="I2199" s="38" t="n">
        <v>0</v>
      </c>
      <c r="J2199" s="38" t="n">
        <v>3700</v>
      </c>
      <c r="K2199" s="38" t="n">
        <v>-3700</v>
      </c>
      <c r="L2199" s="40" t="inlineStr">
        <is>
          <t>Alacak</t>
        </is>
      </c>
    </row>
    <row r="2200" s="34">
      <c r="A2200" s="40" t="inlineStr">
        <is>
          <t>340.01.06.R001</t>
        </is>
      </c>
      <c r="B2200" s="40" t="inlineStr">
        <is>
          <t>Ramazan Dönmez/Palas Butik</t>
        </is>
      </c>
      <c r="C2200" s="40" t="inlineStr">
        <is>
          <t>EUR</t>
        </is>
      </c>
      <c r="D2200" s="40" t="inlineStr">
        <is>
          <t>GİTAŞ MERKEZ</t>
        </is>
      </c>
      <c r="E2200" s="38" t="n">
        <v>0</v>
      </c>
      <c r="F2200" s="38" t="n">
        <v>503198.29</v>
      </c>
      <c r="G2200" s="38" t="n">
        <v>-503198.29</v>
      </c>
      <c r="H2200" s="40" t="inlineStr">
        <is>
          <t>Alacak</t>
        </is>
      </c>
      <c r="I2200" s="38" t="n">
        <v>0</v>
      </c>
      <c r="J2200" s="38" t="n">
        <v>9450</v>
      </c>
      <c r="K2200" s="38" t="n">
        <v>-9450</v>
      </c>
      <c r="L2200" s="40" t="inlineStr">
        <is>
          <t>Alacak</t>
        </is>
      </c>
    </row>
    <row r="2201" s="34">
      <c r="A2201" s="40" t="inlineStr">
        <is>
          <t>340.01.06.S002</t>
        </is>
      </c>
      <c r="B2201" s="40" t="inlineStr">
        <is>
          <t>Seaqueens Doğa Hava Ve Su Su Spor Tur.İnş.San.Tic.Ltd.Şti.</t>
        </is>
      </c>
      <c r="C2201" s="40" t="inlineStr">
        <is>
          <t>TRY</t>
        </is>
      </c>
      <c r="D2201" s="40" t="inlineStr">
        <is>
          <t>ROYAL ADAM EVE</t>
        </is>
      </c>
      <c r="E2201" s="38" t="n">
        <v>0</v>
      </c>
      <c r="F2201" s="38" t="n">
        <v>213551.2</v>
      </c>
      <c r="G2201" s="38" t="n">
        <v>-213551.2</v>
      </c>
      <c r="H2201" s="40" t="inlineStr">
        <is>
          <t>Alacak</t>
        </is>
      </c>
      <c r="I2201" s="38" t="n">
        <v>0</v>
      </c>
      <c r="J2201" s="38" t="n">
        <v>4000</v>
      </c>
      <c r="K2201" s="38" t="n">
        <v>-4000</v>
      </c>
      <c r="L2201" s="40" t="inlineStr">
        <is>
          <t>Alacak</t>
        </is>
      </c>
    </row>
    <row r="2202" s="34">
      <c r="A2202" s="40" t="inlineStr">
        <is>
          <t>340.01.06.S005</t>
        </is>
      </c>
      <c r="B2202" s="40" t="inlineStr">
        <is>
          <t>Saraylar Diyarı Su Sporları Petrol Ürünleri Sarraflık Tekstil Taşımacılık Turizm Tic.Ve San.</t>
        </is>
      </c>
      <c r="C2202" s="40" t="inlineStr">
        <is>
          <t>EUR</t>
        </is>
      </c>
      <c r="D2202" s="40" t="inlineStr">
        <is>
          <t>SERTAŞ MERKEZ</t>
        </is>
      </c>
      <c r="E2202" s="38" t="n">
        <v>0</v>
      </c>
      <c r="F2202" s="38" t="n">
        <v>532858.8</v>
      </c>
      <c r="G2202" s="38" t="n">
        <v>-532858.8</v>
      </c>
      <c r="H2202" s="40" t="inlineStr">
        <is>
          <t>Alacak</t>
        </is>
      </c>
      <c r="I2202" s="38" t="n">
        <v>0</v>
      </c>
      <c r="J2202" s="38" t="n">
        <v>10000</v>
      </c>
      <c r="K2202" s="38" t="n">
        <v>-10000</v>
      </c>
      <c r="L2202" s="40" t="inlineStr">
        <is>
          <t>Alacak</t>
        </is>
      </c>
    </row>
    <row r="2203" s="34">
      <c r="A2203" s="40" t="inlineStr">
        <is>
          <t>340.01.06.T001</t>
        </is>
      </c>
      <c r="B2203" s="40" t="inlineStr">
        <is>
          <t>Tala / Vahedimasouleh</t>
        </is>
      </c>
      <c r="C2203" s="40" t="inlineStr">
        <is>
          <t>EUR</t>
        </is>
      </c>
      <c r="D2203" s="40" t="inlineStr">
        <is>
          <t>SERTAŞ MERKEZ</t>
        </is>
      </c>
      <c r="E2203" s="38" t="n">
        <v>0</v>
      </c>
      <c r="F2203" s="38" t="n">
        <v>53415.6</v>
      </c>
      <c r="G2203" s="38" t="n">
        <v>-53415.6</v>
      </c>
      <c r="H2203" s="40" t="inlineStr">
        <is>
          <t>Alacak</t>
        </is>
      </c>
      <c r="I2203" s="38" t="n">
        <v>0</v>
      </c>
      <c r="J2203" s="38" t="n">
        <v>1000</v>
      </c>
      <c r="K2203" s="38" t="n">
        <v>-1000</v>
      </c>
      <c r="L2203" s="40" t="inlineStr">
        <is>
          <t>Alacak</t>
        </is>
      </c>
    </row>
    <row r="2204" s="34">
      <c r="A2204" s="40" t="inlineStr">
        <is>
          <t>340.01.06.T005</t>
        </is>
      </c>
      <c r="B2204" s="40" t="inlineStr">
        <is>
          <t>Tuncay Koseoglu</t>
        </is>
      </c>
      <c r="C2204" s="40" t="inlineStr">
        <is>
          <t>TRY</t>
        </is>
      </c>
      <c r="D2204" s="40" t="inlineStr">
        <is>
          <t>GİTAŞ MERKEZ</t>
        </is>
      </c>
      <c r="E2204" s="38" t="n">
        <v>0</v>
      </c>
      <c r="F2204" s="38" t="n">
        <v>100</v>
      </c>
      <c r="G2204" s="38" t="n">
        <v>-100</v>
      </c>
      <c r="H2204" s="40" t="inlineStr">
        <is>
          <t>Alacak</t>
        </is>
      </c>
      <c r="I2204" s="38" t="n">
        <v>0</v>
      </c>
      <c r="J2204" s="38" t="n">
        <v>100</v>
      </c>
      <c r="K2204" s="38" t="n">
        <v>-100</v>
      </c>
      <c r="L2204" s="40" t="inlineStr">
        <is>
          <t>Alacak</t>
        </is>
      </c>
    </row>
    <row r="2205" s="34">
      <c r="A2205" s="40" t="inlineStr">
        <is>
          <t>340.01.06.U003</t>
        </is>
      </c>
      <c r="B2205" s="40" t="inlineStr">
        <is>
          <t>Ünkü Turizm Yat.Hizm. İnş. Gıda Tar.Ve Tic.A.Ş.</t>
        </is>
      </c>
      <c r="C2205" s="40" t="inlineStr">
        <is>
          <t>EUR</t>
        </is>
      </c>
      <c r="D2205" s="40" t="inlineStr">
        <is>
          <t>SERTAŞ MERKEZ</t>
        </is>
      </c>
      <c r="E2205" s="38" t="n">
        <v>0</v>
      </c>
      <c r="F2205" s="38" t="n">
        <v>19191.7</v>
      </c>
      <c r="G2205" s="38" t="n">
        <v>-19191.7</v>
      </c>
      <c r="H2205" s="40" t="inlineStr">
        <is>
          <t>Alacak</t>
        </is>
      </c>
      <c r="I2205" s="38" t="n">
        <v>0</v>
      </c>
      <c r="J2205" s="38" t="n">
        <v>360</v>
      </c>
      <c r="K2205" s="38" t="n">
        <v>-360</v>
      </c>
      <c r="L2205" s="40" t="inlineStr">
        <is>
          <t>Alacak</t>
        </is>
      </c>
    </row>
    <row r="2206" s="34">
      <c r="A2206" s="40" t="inlineStr">
        <is>
          <t>340.01.06.Z002</t>
        </is>
      </c>
      <c r="B2206" s="40" t="inlineStr">
        <is>
          <t>Zeki Telatar/ Illia Shtatskyi</t>
        </is>
      </c>
      <c r="C2206" s="40" t="inlineStr">
        <is>
          <t>TRY</t>
        </is>
      </c>
      <c r="D2206" s="40" t="inlineStr">
        <is>
          <t>SERTAŞ MERKEZ</t>
        </is>
      </c>
      <c r="E2206" s="38" t="n">
        <v>0</v>
      </c>
      <c r="F2206" s="38" t="n">
        <v>133868.45</v>
      </c>
      <c r="G2206" s="38" t="n">
        <v>-133868.45</v>
      </c>
      <c r="H2206" s="40" t="inlineStr">
        <is>
          <t>Alacak</t>
        </is>
      </c>
      <c r="I2206" s="38" t="n">
        <v>0</v>
      </c>
      <c r="J2206" s="38" t="n">
        <v>2520</v>
      </c>
      <c r="K2206" s="38" t="n">
        <v>-2520</v>
      </c>
      <c r="L2206" s="40" t="inlineStr">
        <is>
          <t>Alacak</t>
        </is>
      </c>
    </row>
    <row r="2207" s="34">
      <c r="A2207" s="40" t="inlineStr">
        <is>
          <t>340.01.07</t>
        </is>
      </c>
      <c r="B2207" s="40" t="inlineStr">
        <is>
          <t>ALINAN AVANSLAR - AVM KİRACILARI</t>
        </is>
      </c>
      <c r="C2207" s="40" t="inlineStr">
        <is>
          <t>TRY</t>
        </is>
      </c>
      <c r="E2207" s="38" t="n">
        <v>994895.4</v>
      </c>
      <c r="F2207" s="38" t="n">
        <v>7657796.67</v>
      </c>
      <c r="G2207" s="38" t="n">
        <v>-6662901.27</v>
      </c>
      <c r="I2207" s="38" t="n">
        <v>336420</v>
      </c>
      <c r="J2207" s="38" t="n">
        <v>461710</v>
      </c>
      <c r="K2207" s="38" t="n">
        <v>-125290</v>
      </c>
    </row>
    <row r="2208" s="34">
      <c r="A2208" s="40" t="inlineStr">
        <is>
          <t>340.01.07.A001</t>
        </is>
      </c>
      <c r="B2208" s="40" t="inlineStr">
        <is>
          <t>Abdulsamet  Çimen</t>
        </is>
      </c>
      <c r="C2208" s="40" t="inlineStr">
        <is>
          <t>TRY</t>
        </is>
      </c>
      <c r="D2208" s="40" t="inlineStr">
        <is>
          <t>SERTAŞ MERKEZ</t>
        </is>
      </c>
      <c r="E2208" s="38" t="n">
        <v>0</v>
      </c>
      <c r="F2208" s="38" t="n">
        <v>53115.3</v>
      </c>
      <c r="G2208" s="38" t="n">
        <v>-53115.3</v>
      </c>
      <c r="H2208" s="40" t="inlineStr">
        <is>
          <t>Alacak</t>
        </is>
      </c>
      <c r="I2208" s="38" t="n">
        <v>0</v>
      </c>
      <c r="J2208" s="38" t="n">
        <v>1000</v>
      </c>
      <c r="K2208" s="38" t="n">
        <v>-1000</v>
      </c>
      <c r="L2208" s="40" t="inlineStr">
        <is>
          <t>Alacak</t>
        </is>
      </c>
    </row>
    <row r="2209" s="34">
      <c r="A2209" s="40" t="inlineStr">
        <is>
          <t>340.01.07.A003</t>
        </is>
      </c>
      <c r="B2209" s="40" t="inlineStr">
        <is>
          <t>Aydın Bilgiç/Aydın Çanta Ayakkabı</t>
        </is>
      </c>
      <c r="C2209" s="40" t="inlineStr">
        <is>
          <t>TRY</t>
        </is>
      </c>
      <c r="D2209" s="40" t="inlineStr">
        <is>
          <t>SERTAŞ MERKEZ</t>
        </is>
      </c>
      <c r="E2209" s="38" t="n">
        <v>80123.39999999999</v>
      </c>
      <c r="F2209" s="38" t="n">
        <v>267022.4</v>
      </c>
      <c r="G2209" s="38" t="n">
        <v>-186899</v>
      </c>
      <c r="H2209" s="40" t="inlineStr">
        <is>
          <t>Alacak</t>
        </is>
      </c>
      <c r="I2209" s="38" t="n">
        <v>1500</v>
      </c>
      <c r="J2209" s="38" t="n">
        <v>5000</v>
      </c>
      <c r="K2209" s="38" t="n">
        <v>-3500</v>
      </c>
      <c r="L2209" s="40" t="inlineStr">
        <is>
          <t>Alacak</t>
        </is>
      </c>
    </row>
    <row r="2210" s="34">
      <c r="A2210" s="40" t="inlineStr">
        <is>
          <t>340.01.07.A009</t>
        </is>
      </c>
      <c r="B2210" s="40" t="inlineStr">
        <is>
          <t>Alev Tan / Ella Bikini</t>
        </is>
      </c>
      <c r="C2210" s="40" t="inlineStr">
        <is>
          <t>TRY</t>
        </is>
      </c>
      <c r="D2210" s="40" t="inlineStr">
        <is>
          <t>SERTAŞ MERKEZ</t>
        </is>
      </c>
      <c r="E2210" s="38" t="n">
        <v>0</v>
      </c>
      <c r="F2210" s="38" t="n">
        <v>1000710.06</v>
      </c>
      <c r="G2210" s="38" t="n">
        <v>-1000710.06</v>
      </c>
      <c r="H2210" s="40" t="inlineStr">
        <is>
          <t>Alacak</t>
        </is>
      </c>
      <c r="I2210" s="38" t="n">
        <v>0</v>
      </c>
      <c r="J2210" s="38" t="n">
        <v>19000</v>
      </c>
      <c r="K2210" s="38" t="n">
        <v>-19000</v>
      </c>
      <c r="L2210" s="40" t="inlineStr">
        <is>
          <t>Alacak</t>
        </is>
      </c>
    </row>
    <row r="2211" s="34">
      <c r="A2211" s="40" t="inlineStr">
        <is>
          <t>340.01.07.A013</t>
        </is>
      </c>
      <c r="B2211" s="40" t="inlineStr">
        <is>
          <t>Ali Alp</t>
        </is>
      </c>
      <c r="C2211" s="40" t="inlineStr">
        <is>
          <t>EUR</t>
        </is>
      </c>
      <c r="D2211" s="40" t="inlineStr">
        <is>
          <t>SERTAŞ MERKEZ</t>
        </is>
      </c>
      <c r="E2211" s="38" t="n">
        <v>0</v>
      </c>
      <c r="F2211" s="38" t="n">
        <v>301000</v>
      </c>
      <c r="G2211" s="38" t="n">
        <v>-301000</v>
      </c>
      <c r="H2211" s="40" t="inlineStr">
        <is>
          <t>Alacak</t>
        </is>
      </c>
      <c r="I2211" s="38" t="n">
        <v>0</v>
      </c>
      <c r="J2211" s="38" t="n">
        <v>5600</v>
      </c>
      <c r="K2211" s="38" t="n">
        <v>-5600</v>
      </c>
      <c r="L2211" s="40" t="inlineStr">
        <is>
          <t>Alacak</t>
        </is>
      </c>
    </row>
    <row r="2212" s="34">
      <c r="A2212" s="40" t="inlineStr">
        <is>
          <t>340.01.07.B002</t>
        </is>
      </c>
      <c r="B2212" s="40" t="inlineStr">
        <is>
          <t>Bunyamin Bozkurt</t>
        </is>
      </c>
      <c r="C2212" s="40" t="inlineStr">
        <is>
          <t>EUR</t>
        </is>
      </c>
      <c r="D2212" s="40" t="inlineStr">
        <is>
          <t>SERTAŞ MERKEZ</t>
        </is>
      </c>
      <c r="E2212" s="38" t="n">
        <v>0</v>
      </c>
      <c r="F2212" s="38" t="n">
        <v>110603.43</v>
      </c>
      <c r="G2212" s="38" t="n">
        <v>-110603.43</v>
      </c>
      <c r="H2212" s="40" t="inlineStr">
        <is>
          <t>Alacak</t>
        </is>
      </c>
      <c r="I2212" s="38" t="n">
        <v>0</v>
      </c>
      <c r="J2212" s="38" t="n">
        <v>2100</v>
      </c>
      <c r="K2212" s="38" t="n">
        <v>-2100</v>
      </c>
      <c r="L2212" s="40" t="inlineStr">
        <is>
          <t>Alacak</t>
        </is>
      </c>
    </row>
    <row r="2213" s="34">
      <c r="A2213" s="40" t="inlineStr">
        <is>
          <t>340.01.07.C002</t>
        </is>
      </c>
      <c r="B2213" s="40" t="inlineStr">
        <is>
          <t>Cuma Çakmak / Başak Silver</t>
        </is>
      </c>
      <c r="C2213" s="40" t="inlineStr">
        <is>
          <t>TRY</t>
        </is>
      </c>
      <c r="D2213" s="40" t="inlineStr">
        <is>
          <t>SERTAŞ MERKEZ</t>
        </is>
      </c>
      <c r="E2213" s="38" t="n">
        <v>0</v>
      </c>
      <c r="F2213" s="38" t="n">
        <v>132806</v>
      </c>
      <c r="G2213" s="38" t="n">
        <v>-132806</v>
      </c>
      <c r="H2213" s="40" t="inlineStr">
        <is>
          <t>Alacak</t>
        </is>
      </c>
      <c r="I2213" s="38" t="n">
        <v>0</v>
      </c>
      <c r="J2213" s="38" t="n">
        <v>2500</v>
      </c>
      <c r="K2213" s="38" t="n">
        <v>-2500</v>
      </c>
      <c r="L2213" s="40" t="inlineStr">
        <is>
          <t>Alacak</t>
        </is>
      </c>
    </row>
    <row r="2214" s="34">
      <c r="A2214" s="40" t="inlineStr">
        <is>
          <t>340.01.07.Ç002</t>
        </is>
      </c>
      <c r="B2214" s="40" t="inlineStr">
        <is>
          <t>Çetin Ünal Şen</t>
        </is>
      </c>
      <c r="C2214" s="40" t="inlineStr">
        <is>
          <t>EUR</t>
        </is>
      </c>
      <c r="D2214" s="40" t="inlineStr">
        <is>
          <t>SERTAŞ MERKEZ</t>
        </is>
      </c>
      <c r="E2214" s="38" t="n">
        <v>0</v>
      </c>
      <c r="F2214" s="38" t="n">
        <v>160388.44</v>
      </c>
      <c r="G2214" s="38" t="n">
        <v>-160388.44</v>
      </c>
      <c r="H2214" s="40" t="inlineStr">
        <is>
          <t>Alacak</t>
        </is>
      </c>
      <c r="I2214" s="38" t="n">
        <v>0</v>
      </c>
      <c r="J2214" s="38" t="n">
        <v>3020</v>
      </c>
      <c r="K2214" s="38" t="n">
        <v>-3020</v>
      </c>
      <c r="L2214" s="40" t="inlineStr">
        <is>
          <t>Alacak</t>
        </is>
      </c>
    </row>
    <row r="2215" s="34">
      <c r="A2215" s="40" t="inlineStr">
        <is>
          <t>340.01.07.H002</t>
        </is>
      </c>
      <c r="B2215" s="40" t="inlineStr">
        <is>
          <t>Hacı Alagöz</t>
        </is>
      </c>
      <c r="C2215" s="40" t="inlineStr">
        <is>
          <t>TRY</t>
        </is>
      </c>
      <c r="D2215" s="40" t="inlineStr">
        <is>
          <t>SERTAŞ MERKEZ</t>
        </is>
      </c>
      <c r="E2215" s="38" t="n">
        <v>0</v>
      </c>
      <c r="F2215" s="38" t="n">
        <v>318734.4</v>
      </c>
      <c r="G2215" s="38" t="n">
        <v>-318734.4</v>
      </c>
      <c r="H2215" s="40" t="inlineStr">
        <is>
          <t>Alacak</t>
        </is>
      </c>
      <c r="I2215" s="38" t="n">
        <v>0</v>
      </c>
      <c r="J2215" s="38" t="n">
        <v>6000</v>
      </c>
      <c r="K2215" s="38" t="n">
        <v>-6000</v>
      </c>
      <c r="L2215" s="40" t="inlineStr">
        <is>
          <t>Alacak</t>
        </is>
      </c>
    </row>
    <row r="2216" s="34">
      <c r="A2216" s="40" t="inlineStr">
        <is>
          <t>340.01.07.İ001</t>
        </is>
      </c>
      <c r="B2216" s="40" t="inlineStr">
        <is>
          <t>İbrahim Yeni</t>
        </is>
      </c>
      <c r="C2216" s="40" t="inlineStr">
        <is>
          <t>TRY</t>
        </is>
      </c>
      <c r="D2216" s="40" t="inlineStr">
        <is>
          <t>SERTAŞ MERKEZ</t>
        </is>
      </c>
      <c r="E2216" s="38" t="n">
        <v>0</v>
      </c>
      <c r="F2216" s="38" t="n">
        <v>297485.44</v>
      </c>
      <c r="G2216" s="38" t="n">
        <v>-297485.44</v>
      </c>
      <c r="H2216" s="40" t="inlineStr">
        <is>
          <t>Alacak</t>
        </is>
      </c>
      <c r="I2216" s="38" t="n">
        <v>0</v>
      </c>
      <c r="J2216" s="38" t="n">
        <v>5600</v>
      </c>
      <c r="K2216" s="38" t="n">
        <v>-5600</v>
      </c>
      <c r="L2216" s="40" t="inlineStr">
        <is>
          <t>Alacak</t>
        </is>
      </c>
    </row>
    <row r="2217" s="34">
      <c r="A2217" s="40" t="inlineStr">
        <is>
          <t>340.01.07.İ004</t>
        </is>
      </c>
      <c r="B2217" s="40" t="inlineStr">
        <is>
          <t>Ibrahim Isık</t>
        </is>
      </c>
      <c r="C2217" s="40" t="inlineStr">
        <is>
          <t>TRY</t>
        </is>
      </c>
      <c r="D2217" s="40" t="inlineStr">
        <is>
          <t>SERTAŞ MERKEZ</t>
        </is>
      </c>
      <c r="E2217" s="38" t="n">
        <v>0</v>
      </c>
      <c r="F2217" s="38" t="n">
        <v>381419.46</v>
      </c>
      <c r="G2217" s="38" t="n">
        <v>-381419.46</v>
      </c>
      <c r="H2217" s="40" t="inlineStr">
        <is>
          <t>Alacak</t>
        </is>
      </c>
      <c r="I2217" s="38" t="n">
        <v>0</v>
      </c>
      <c r="J2217" s="38" t="n">
        <v>7200</v>
      </c>
      <c r="K2217" s="38" t="n">
        <v>-7200</v>
      </c>
      <c r="L2217" s="40" t="inlineStr">
        <is>
          <t>Alacak</t>
        </is>
      </c>
    </row>
    <row r="2218" s="34">
      <c r="A2218" s="40" t="inlineStr">
        <is>
          <t>340.01.07.L001</t>
        </is>
      </c>
      <c r="B2218" s="40" t="inlineStr">
        <is>
          <t>Lamarta Ayakkabı Ltd.Şti</t>
        </is>
      </c>
      <c r="C2218" s="40" t="inlineStr">
        <is>
          <t>TRY</t>
        </is>
      </c>
      <c r="D2218" s="40" t="inlineStr">
        <is>
          <t>SERTAŞ MERKEZ</t>
        </is>
      </c>
      <c r="E2218" s="38" t="n">
        <v>0</v>
      </c>
      <c r="F2218" s="38" t="n">
        <v>270750</v>
      </c>
      <c r="G2218" s="38" t="n">
        <v>-270750</v>
      </c>
      <c r="H2218" s="40" t="inlineStr">
        <is>
          <t>Alacak</t>
        </is>
      </c>
      <c r="I2218" s="38" t="n">
        <v>0</v>
      </c>
      <c r="J2218" s="38" t="n">
        <v>5000</v>
      </c>
      <c r="K2218" s="38" t="n">
        <v>-5000</v>
      </c>
      <c r="L2218" s="40" t="inlineStr">
        <is>
          <t>Alacak</t>
        </is>
      </c>
    </row>
    <row r="2219" s="34">
      <c r="A2219" s="40" t="inlineStr">
        <is>
          <t>340.01.07.M002</t>
        </is>
      </c>
      <c r="B2219" s="40" t="inlineStr">
        <is>
          <t>Mehmet Serkan Gülmez</t>
        </is>
      </c>
      <c r="C2219" s="40" t="inlineStr">
        <is>
          <t>TRY</t>
        </is>
      </c>
      <c r="D2219" s="40" t="inlineStr">
        <is>
          <t>SERTAŞ MERKEZ</t>
        </is>
      </c>
      <c r="E2219" s="38" t="n">
        <v>590772</v>
      </c>
      <c r="F2219" s="38" t="n">
        <v>590772</v>
      </c>
      <c r="G2219" s="38" t="n">
        <v>0</v>
      </c>
      <c r="I2219" s="38" t="n">
        <v>10920</v>
      </c>
      <c r="J2219" s="38" t="n">
        <v>10920</v>
      </c>
      <c r="K2219" s="38" t="n">
        <v>0</v>
      </c>
    </row>
    <row r="2220" s="34">
      <c r="A2220" s="40" t="inlineStr">
        <is>
          <t>340.01.07.M005</t>
        </is>
      </c>
      <c r="B2220" s="40" t="inlineStr">
        <is>
          <t>Met Ka Kuyumculuk Tur.İnş.San Ve Tic.Lt</t>
        </is>
      </c>
      <c r="C2220" s="40" t="inlineStr">
        <is>
          <t>TRY</t>
        </is>
      </c>
      <c r="D2220" s="40" t="inlineStr">
        <is>
          <t>GİTAŞ MERKEZ</t>
        </is>
      </c>
      <c r="E2220" s="38" t="n">
        <v>0</v>
      </c>
      <c r="F2220" s="38" t="n">
        <v>336446.46</v>
      </c>
      <c r="G2220" s="38" t="n">
        <v>-336446.46</v>
      </c>
      <c r="H2220" s="40" t="inlineStr">
        <is>
          <t>Alacak</t>
        </is>
      </c>
      <c r="I2220" s="38" t="n">
        <v>0</v>
      </c>
      <c r="J2220" s="38" t="n">
        <v>6300</v>
      </c>
      <c r="K2220" s="38" t="n">
        <v>-6300</v>
      </c>
      <c r="L2220" s="40" t="inlineStr">
        <is>
          <t>Alacak</t>
        </is>
      </c>
    </row>
    <row r="2221" s="34">
      <c r="A2221" s="40" t="inlineStr">
        <is>
          <t>340.01.07.M005</t>
        </is>
      </c>
      <c r="B2221" s="40" t="inlineStr">
        <is>
          <t>Met Ka Kuyumculuk Tur.İnş.San Ve Tic.Lt</t>
        </is>
      </c>
      <c r="C2221" s="40" t="inlineStr">
        <is>
          <t>TRY</t>
        </is>
      </c>
      <c r="D2221" s="40" t="inlineStr">
        <is>
          <t>SERTAŞ MERKEZ</t>
        </is>
      </c>
      <c r="E2221" s="38" t="n">
        <v>0</v>
      </c>
      <c r="F2221" s="38" t="n">
        <v>224297.64</v>
      </c>
      <c r="G2221" s="38" t="n">
        <v>-224297.64</v>
      </c>
      <c r="H2221" s="40" t="inlineStr">
        <is>
          <t>Alacak</t>
        </is>
      </c>
      <c r="I2221" s="38" t="n">
        <v>0</v>
      </c>
      <c r="J2221" s="38" t="n">
        <v>4200</v>
      </c>
      <c r="K2221" s="38" t="n">
        <v>-4200</v>
      </c>
      <c r="L2221" s="40" t="inlineStr">
        <is>
          <t>Alacak</t>
        </is>
      </c>
    </row>
    <row r="2222" s="34">
      <c r="A2222" s="40" t="inlineStr">
        <is>
          <t>340.01.07.M008</t>
        </is>
      </c>
      <c r="B2222" s="40" t="inlineStr">
        <is>
          <t>Mustafa Kurt</t>
        </is>
      </c>
      <c r="C2222" s="40" t="inlineStr">
        <is>
          <t>TRY</t>
        </is>
      </c>
      <c r="D2222" s="40" t="inlineStr">
        <is>
          <t>SERTAŞ MERKEZ</t>
        </is>
      </c>
      <c r="E2222" s="38" t="n">
        <v>0</v>
      </c>
      <c r="F2222" s="38" t="n">
        <v>84833.2</v>
      </c>
      <c r="G2222" s="38" t="n">
        <v>-84833.2</v>
      </c>
      <c r="H2222" s="40" t="inlineStr">
        <is>
          <t>Alacak</t>
        </is>
      </c>
      <c r="I2222" s="38" t="n">
        <v>0</v>
      </c>
      <c r="J2222" s="38" t="n">
        <v>1600</v>
      </c>
      <c r="K2222" s="38" t="n">
        <v>-1600</v>
      </c>
      <c r="L2222" s="40" t="inlineStr">
        <is>
          <t>Alacak</t>
        </is>
      </c>
    </row>
    <row r="2223" s="34">
      <c r="A2223" s="40" t="inlineStr">
        <is>
          <t>340.01.07.M011</t>
        </is>
      </c>
      <c r="B2223" s="40" t="inlineStr">
        <is>
          <t>Murat Yeniay Avm</t>
        </is>
      </c>
      <c r="C2223" s="40" t="inlineStr">
        <is>
          <t>TRY</t>
        </is>
      </c>
      <c r="D2223" s="40" t="inlineStr">
        <is>
          <t>SERTAŞ MERKEZ</t>
        </is>
      </c>
      <c r="E2223" s="38" t="n">
        <v>0</v>
      </c>
      <c r="F2223" s="38" t="n">
        <v>334626.39</v>
      </c>
      <c r="G2223" s="38" t="n">
        <v>-334626.39</v>
      </c>
      <c r="H2223" s="40" t="inlineStr">
        <is>
          <t>Alacak</t>
        </is>
      </c>
      <c r="I2223" s="38" t="n">
        <v>0</v>
      </c>
      <c r="J2223" s="38" t="n">
        <v>6300</v>
      </c>
      <c r="K2223" s="38" t="n">
        <v>-6300</v>
      </c>
      <c r="L2223" s="40" t="inlineStr">
        <is>
          <t>Alacak</t>
        </is>
      </c>
    </row>
    <row r="2224" s="34">
      <c r="A2224" s="40" t="inlineStr">
        <is>
          <t>340.01.07.N002</t>
        </is>
      </c>
      <c r="B2224" s="40" t="inlineStr">
        <is>
          <t>Nurullah Sarı / Sarı Elektronik</t>
        </is>
      </c>
      <c r="C2224" s="40" t="inlineStr">
        <is>
          <t>TRY</t>
        </is>
      </c>
      <c r="D2224" s="40" t="inlineStr">
        <is>
          <t>SERTAŞ MERKEZ</t>
        </is>
      </c>
      <c r="E2224" s="38" t="n">
        <v>0</v>
      </c>
      <c r="F2224" s="38" t="n">
        <v>226800</v>
      </c>
      <c r="G2224" s="38" t="n">
        <v>-226800</v>
      </c>
      <c r="H2224" s="40" t="inlineStr">
        <is>
          <t>Alacak</t>
        </is>
      </c>
      <c r="I2224" s="38" t="n">
        <v>0</v>
      </c>
      <c r="J2224" s="38" t="n">
        <v>4200</v>
      </c>
      <c r="K2224" s="38" t="n">
        <v>-4200</v>
      </c>
      <c r="L2224" s="40" t="inlineStr">
        <is>
          <t>Alacak</t>
        </is>
      </c>
    </row>
    <row r="2225" s="34">
      <c r="A2225" s="40" t="inlineStr">
        <is>
          <t>340.01.07.N003</t>
        </is>
      </c>
      <c r="B2225" s="40" t="inlineStr">
        <is>
          <t>Nerda Şahin / Consept Fashıon</t>
        </is>
      </c>
      <c r="C2225" s="40" t="inlineStr">
        <is>
          <t>TRY</t>
        </is>
      </c>
      <c r="D2225" s="40" t="inlineStr">
        <is>
          <t>SERTAŞ MERKEZ</t>
        </is>
      </c>
      <c r="E2225" s="38" t="n">
        <v>324000</v>
      </c>
      <c r="F2225" s="38" t="n">
        <v>432000</v>
      </c>
      <c r="G2225" s="38" t="n">
        <v>-108000</v>
      </c>
      <c r="H2225" s="40" t="inlineStr">
        <is>
          <t>Alacak</t>
        </is>
      </c>
      <c r="I2225" s="38" t="n">
        <v>324000</v>
      </c>
      <c r="J2225" s="38" t="n">
        <v>326000</v>
      </c>
      <c r="K2225" s="38" t="n">
        <v>-2000</v>
      </c>
      <c r="L2225" s="40" t="inlineStr">
        <is>
          <t>Alacak</t>
        </is>
      </c>
    </row>
    <row r="2226" s="34">
      <c r="A2226" s="40" t="inlineStr">
        <is>
          <t>340.01.07.O003</t>
        </is>
      </c>
      <c r="B2226" s="40" t="inlineStr">
        <is>
          <t>Özcan Şen</t>
        </is>
      </c>
      <c r="C2226" s="40" t="inlineStr">
        <is>
          <t>TRY</t>
        </is>
      </c>
      <c r="D2226" s="40" t="inlineStr">
        <is>
          <t>SERTAŞ MERKEZ</t>
        </is>
      </c>
      <c r="E2226" s="38" t="n">
        <v>0</v>
      </c>
      <c r="F2226" s="38" t="n">
        <v>53122.4</v>
      </c>
      <c r="G2226" s="38" t="n">
        <v>-53122.4</v>
      </c>
      <c r="H2226" s="40" t="inlineStr">
        <is>
          <t>Alacak</t>
        </is>
      </c>
      <c r="I2226" s="38" t="n">
        <v>0</v>
      </c>
      <c r="J2226" s="38" t="n">
        <v>1000</v>
      </c>
      <c r="K2226" s="38" t="n">
        <v>-1000</v>
      </c>
      <c r="L2226" s="40" t="inlineStr">
        <is>
          <t>Alacak</t>
        </is>
      </c>
    </row>
    <row r="2227" s="34">
      <c r="A2227" s="40" t="inlineStr">
        <is>
          <t>340.01.07.R001</t>
        </is>
      </c>
      <c r="B2227" s="40" t="inlineStr">
        <is>
          <t>Recep Aygün</t>
        </is>
      </c>
      <c r="C2227" s="40" t="inlineStr">
        <is>
          <t>TRY</t>
        </is>
      </c>
      <c r="D2227" s="40" t="inlineStr">
        <is>
          <t>SERTAŞ MERKEZ</t>
        </is>
      </c>
      <c r="E2227" s="38" t="n">
        <v>0</v>
      </c>
      <c r="F2227" s="38" t="n">
        <v>356982.53</v>
      </c>
      <c r="G2227" s="38" t="n">
        <v>-356982.53</v>
      </c>
      <c r="H2227" s="40" t="inlineStr">
        <is>
          <t>Alacak</t>
        </is>
      </c>
      <c r="I2227" s="38" t="n">
        <v>0</v>
      </c>
      <c r="J2227" s="38" t="n">
        <v>6720</v>
      </c>
      <c r="K2227" s="38" t="n">
        <v>-6720</v>
      </c>
      <c r="L2227" s="40" t="inlineStr">
        <is>
          <t>Alacak</t>
        </is>
      </c>
    </row>
    <row r="2228" s="34">
      <c r="A2228" s="40" t="inlineStr">
        <is>
          <t>340.01.07.S006</t>
        </is>
      </c>
      <c r="B2228" s="40" t="inlineStr">
        <is>
          <t>Şerif Uçar</t>
        </is>
      </c>
      <c r="C2228" s="40" t="inlineStr">
        <is>
          <t>TRY</t>
        </is>
      </c>
      <c r="D2228" s="40" t="inlineStr">
        <is>
          <t>SERTAŞ MERKEZ</t>
        </is>
      </c>
      <c r="E2228" s="38" t="n">
        <v>0</v>
      </c>
      <c r="F2228" s="38" t="n">
        <v>400279.08</v>
      </c>
      <c r="G2228" s="38" t="n">
        <v>-400279.08</v>
      </c>
      <c r="H2228" s="40" t="inlineStr">
        <is>
          <t>Alacak</t>
        </is>
      </c>
      <c r="I2228" s="38" t="n">
        <v>0</v>
      </c>
      <c r="J2228" s="38" t="n">
        <v>7600</v>
      </c>
      <c r="K2228" s="38" t="n">
        <v>-7600</v>
      </c>
      <c r="L2228" s="40" t="inlineStr">
        <is>
          <t>Alacak</t>
        </is>
      </c>
    </row>
    <row r="2229" s="34">
      <c r="A2229" s="40" t="inlineStr">
        <is>
          <t>340.01.07.S011</t>
        </is>
      </c>
      <c r="B2229" s="40" t="inlineStr">
        <is>
          <t>Sezai Siverek</t>
        </is>
      </c>
      <c r="C2229" s="40" t="inlineStr">
        <is>
          <t>TRY</t>
        </is>
      </c>
      <c r="D2229" s="40" t="inlineStr">
        <is>
          <t>SERTAŞ MERKEZ</t>
        </is>
      </c>
      <c r="E2229" s="38" t="n">
        <v>0</v>
      </c>
      <c r="F2229" s="38" t="n">
        <v>948234.84</v>
      </c>
      <c r="G2229" s="38" t="n">
        <v>-948234.84</v>
      </c>
      <c r="H2229" s="40" t="inlineStr">
        <is>
          <t>Alacak</t>
        </is>
      </c>
      <c r="I2229" s="38" t="n">
        <v>0</v>
      </c>
      <c r="J2229" s="38" t="n">
        <v>17850</v>
      </c>
      <c r="K2229" s="38" t="n">
        <v>-17850</v>
      </c>
      <c r="L2229" s="40" t="inlineStr">
        <is>
          <t>Alacak</t>
        </is>
      </c>
    </row>
    <row r="2230" s="34">
      <c r="A2230" s="40" t="inlineStr">
        <is>
          <t>340.01.07.Ü001</t>
        </is>
      </c>
      <c r="B2230" s="40" t="inlineStr">
        <is>
          <t>Ünal İbelek</t>
        </is>
      </c>
      <c r="C2230" s="40" t="inlineStr">
        <is>
          <t>TRY</t>
        </is>
      </c>
      <c r="D2230" s="40" t="inlineStr">
        <is>
          <t>SERTAŞ MERKEZ</t>
        </is>
      </c>
      <c r="E2230" s="38" t="n">
        <v>0</v>
      </c>
      <c r="F2230" s="38" t="n">
        <v>159367.2</v>
      </c>
      <c r="G2230" s="38" t="n">
        <v>-159367.2</v>
      </c>
      <c r="H2230" s="40" t="inlineStr">
        <is>
          <t>Alacak</t>
        </is>
      </c>
      <c r="I2230" s="38" t="n">
        <v>0</v>
      </c>
      <c r="J2230" s="38" t="n">
        <v>3000</v>
      </c>
      <c r="K2230" s="38" t="n">
        <v>-3000</v>
      </c>
      <c r="L2230" s="40" t="inlineStr">
        <is>
          <t>Alacak</t>
        </is>
      </c>
    </row>
    <row r="2231" s="34">
      <c r="A2231" s="40" t="inlineStr">
        <is>
          <t>340.01.07.V001</t>
        </is>
      </c>
      <c r="B2231" s="40" t="inlineStr">
        <is>
          <t>Vural Gürkan</t>
        </is>
      </c>
      <c r="C2231" s="40" t="inlineStr">
        <is>
          <t>TRY</t>
        </is>
      </c>
      <c r="D2231" s="40" t="inlineStr">
        <is>
          <t>SERTAŞ MERKEZ</t>
        </is>
      </c>
      <c r="E2231" s="38" t="n">
        <v>0</v>
      </c>
      <c r="F2231" s="38" t="n">
        <v>216000</v>
      </c>
      <c r="G2231" s="38" t="n">
        <v>-216000</v>
      </c>
      <c r="H2231" s="40" t="inlineStr">
        <is>
          <t>Alacak</t>
        </is>
      </c>
      <c r="I2231" s="38" t="n">
        <v>0</v>
      </c>
      <c r="J2231" s="38" t="n">
        <v>4000</v>
      </c>
      <c r="K2231" s="38" t="n">
        <v>-4000</v>
      </c>
      <c r="L2231" s="40" t="inlineStr">
        <is>
          <t>Alacak</t>
        </is>
      </c>
    </row>
    <row r="2232" s="34">
      <c r="A2232" s="40" t="inlineStr">
        <is>
          <t>36</t>
        </is>
      </c>
      <c r="B2232" s="40" t="inlineStr">
        <is>
          <t>ÖDENECEK VERGİ VE DİĞER YÜKÜMLÜLÜKLER</t>
        </is>
      </c>
      <c r="C2232" s="40" t="inlineStr">
        <is>
          <t>TRY</t>
        </is>
      </c>
      <c r="E2232" s="38" t="n">
        <v>62731316.72</v>
      </c>
      <c r="F2232" s="38" t="n">
        <v>6336076.2</v>
      </c>
      <c r="G2232" s="38" t="n">
        <v>56395240.52</v>
      </c>
      <c r="I2232" s="38" t="n">
        <v>62731316.72</v>
      </c>
      <c r="J2232" s="38" t="n">
        <v>6335960.04</v>
      </c>
      <c r="K2232" s="38" t="n">
        <v>56395356.68</v>
      </c>
    </row>
    <row r="2233" s="34">
      <c r="A2233" s="40" t="inlineStr">
        <is>
          <t>360</t>
        </is>
      </c>
      <c r="B2233" s="40" t="inlineStr">
        <is>
          <t>ÖDENECEK VERGİ VE FONLAR HESABI</t>
        </is>
      </c>
      <c r="C2233" s="40" t="inlineStr">
        <is>
          <t>TRY</t>
        </is>
      </c>
      <c r="E2233" s="38" t="n">
        <v>30199146.45</v>
      </c>
      <c r="F2233" s="38" t="n">
        <v>6336076.2</v>
      </c>
      <c r="G2233" s="38" t="n">
        <v>23863070.25</v>
      </c>
      <c r="I2233" s="38" t="n">
        <v>30199146.45</v>
      </c>
      <c r="J2233" s="38" t="n">
        <v>6335960.04</v>
      </c>
      <c r="K2233" s="38" t="n">
        <v>23863186.41</v>
      </c>
    </row>
    <row r="2234" s="34">
      <c r="A2234" s="40" t="inlineStr">
        <is>
          <t>360.01</t>
        </is>
      </c>
      <c r="B2234" s="40" t="inlineStr">
        <is>
          <t>ÖDENECEK VERGİ VE FONLAR HESABI</t>
        </is>
      </c>
      <c r="C2234" s="40" t="inlineStr">
        <is>
          <t>TRY</t>
        </is>
      </c>
      <c r="E2234" s="38" t="n">
        <v>30199146.45</v>
      </c>
      <c r="F2234" s="38" t="n">
        <v>6336076.2</v>
      </c>
      <c r="G2234" s="38" t="n">
        <v>23863070.25</v>
      </c>
      <c r="I2234" s="38" t="n">
        <v>30199146.45</v>
      </c>
      <c r="J2234" s="38" t="n">
        <v>6335960.04</v>
      </c>
      <c r="K2234" s="38" t="n">
        <v>23863186.41</v>
      </c>
    </row>
    <row r="2235" s="34">
      <c r="A2235" s="40" t="inlineStr">
        <is>
          <t>360.01.01</t>
        </is>
      </c>
      <c r="B2235" s="40" t="inlineStr">
        <is>
          <t>ÖDENECEK VERGİ VE FONLAR</t>
        </is>
      </c>
      <c r="C2235" s="40" t="inlineStr">
        <is>
          <t>TRY</t>
        </is>
      </c>
      <c r="E2235" s="38" t="n">
        <v>30199146.45</v>
      </c>
      <c r="F2235" s="38" t="n">
        <v>6336076.2</v>
      </c>
      <c r="G2235" s="38" t="n">
        <v>23863070.25</v>
      </c>
      <c r="I2235" s="38" t="n">
        <v>30199146.45</v>
      </c>
      <c r="J2235" s="38" t="n">
        <v>6335960.04</v>
      </c>
      <c r="K2235" s="38" t="n">
        <v>23863186.41</v>
      </c>
    </row>
    <row r="2236" s="34">
      <c r="A2236" s="40" t="inlineStr">
        <is>
          <t>360.01.01.0001</t>
        </is>
      </c>
      <c r="B2236" s="40" t="inlineStr">
        <is>
          <t>Stopaj</t>
        </is>
      </c>
      <c r="C2236" s="40" t="inlineStr">
        <is>
          <t>TRY</t>
        </is>
      </c>
      <c r="D2236" s="40" t="inlineStr">
        <is>
          <t>GİTAŞ MERKEZ</t>
        </is>
      </c>
      <c r="E2236" s="38" t="n">
        <v>4599817.09</v>
      </c>
      <c r="F2236" s="38" t="n">
        <v>20000</v>
      </c>
      <c r="G2236" s="38" t="n">
        <v>4579817.09</v>
      </c>
      <c r="H2236" s="40" t="inlineStr">
        <is>
          <t>Borç</t>
        </is>
      </c>
      <c r="I2236" s="38" t="n">
        <v>4599817.09</v>
      </c>
      <c r="J2236" s="38" t="n">
        <v>20000</v>
      </c>
      <c r="K2236" s="38" t="n">
        <v>4579817.09</v>
      </c>
      <c r="L2236" s="40" t="inlineStr">
        <is>
          <t>Borç</t>
        </is>
      </c>
    </row>
    <row r="2237" s="34">
      <c r="A2237" s="40" t="inlineStr">
        <is>
          <t>360.01.01.0001</t>
        </is>
      </c>
      <c r="B2237" s="40" t="inlineStr">
        <is>
          <t>Stopaj</t>
        </is>
      </c>
      <c r="C2237" s="40" t="inlineStr">
        <is>
          <t>TRY</t>
        </is>
      </c>
      <c r="D2237" s="40" t="inlineStr">
        <is>
          <t>ROYAL ADAM EVE</t>
        </is>
      </c>
      <c r="E2237" s="38" t="n">
        <v>3252071.2</v>
      </c>
      <c r="F2237" s="38" t="n">
        <v>16250</v>
      </c>
      <c r="G2237" s="38" t="n">
        <v>3235821.2</v>
      </c>
      <c r="H2237" s="40" t="inlineStr">
        <is>
          <t>Borç</t>
        </is>
      </c>
      <c r="I2237" s="38" t="n">
        <v>3252071.2</v>
      </c>
      <c r="J2237" s="38" t="n">
        <v>16250</v>
      </c>
      <c r="K2237" s="38" t="n">
        <v>3235821.2</v>
      </c>
      <c r="L2237" s="40" t="inlineStr">
        <is>
          <t>Borç</t>
        </is>
      </c>
    </row>
    <row r="2238" s="34">
      <c r="A2238" s="40" t="inlineStr">
        <is>
          <t>360.01.01.0001</t>
        </is>
      </c>
      <c r="B2238" s="40" t="inlineStr">
        <is>
          <t>Stopaj</t>
        </is>
      </c>
      <c r="C2238" s="40" t="inlineStr">
        <is>
          <t>TRY</t>
        </is>
      </c>
      <c r="D2238" s="40" t="inlineStr">
        <is>
          <t>ROYAL DRAGON</t>
        </is>
      </c>
      <c r="E2238" s="38" t="n">
        <v>0</v>
      </c>
      <c r="F2238" s="38" t="n">
        <v>4905.6</v>
      </c>
      <c r="G2238" s="38" t="n">
        <v>-4905.6</v>
      </c>
      <c r="H2238" s="40" t="inlineStr">
        <is>
          <t>Alacak</t>
        </is>
      </c>
      <c r="I2238" s="38" t="n">
        <v>0</v>
      </c>
      <c r="J2238" s="38" t="n">
        <v>4905.6</v>
      </c>
      <c r="K2238" s="38" t="n">
        <v>-4905.6</v>
      </c>
      <c r="L2238" s="40" t="inlineStr">
        <is>
          <t>Alacak</t>
        </is>
      </c>
    </row>
    <row r="2239" s="34">
      <c r="A2239" s="40" t="inlineStr">
        <is>
          <t>360.01.01.0001</t>
        </is>
      </c>
      <c r="B2239" s="40" t="inlineStr">
        <is>
          <t>Stopaj</t>
        </is>
      </c>
      <c r="C2239" s="40" t="inlineStr">
        <is>
          <t>TRY</t>
        </is>
      </c>
      <c r="D2239" s="40" t="inlineStr">
        <is>
          <t>ROYAL SEGINUS</t>
        </is>
      </c>
      <c r="E2239" s="38" t="n">
        <v>0</v>
      </c>
      <c r="F2239" s="38" t="n">
        <v>25782.13</v>
      </c>
      <c r="G2239" s="38" t="n">
        <v>-25782.13</v>
      </c>
      <c r="H2239" s="40" t="inlineStr">
        <is>
          <t>Alacak</t>
        </is>
      </c>
      <c r="I2239" s="38" t="n">
        <v>0</v>
      </c>
      <c r="J2239" s="38" t="n">
        <v>25782.13</v>
      </c>
      <c r="K2239" s="38" t="n">
        <v>-25782.13</v>
      </c>
      <c r="L2239" s="40" t="inlineStr">
        <is>
          <t>Alacak</t>
        </is>
      </c>
    </row>
    <row r="2240" s="34">
      <c r="A2240" s="40" t="inlineStr">
        <is>
          <t>360.01.01.0001</t>
        </is>
      </c>
      <c r="B2240" s="40" t="inlineStr">
        <is>
          <t>Stopaj</t>
        </is>
      </c>
      <c r="C2240" s="40" t="inlineStr">
        <is>
          <t>TRY</t>
        </is>
      </c>
      <c r="D2240" s="40" t="inlineStr">
        <is>
          <t>SERTAŞ MERKEZ</t>
        </is>
      </c>
      <c r="E2240" s="38" t="n">
        <v>9820548.85</v>
      </c>
      <c r="F2240" s="38" t="n">
        <v>62828.12</v>
      </c>
      <c r="G2240" s="38" t="n">
        <v>9757720.73</v>
      </c>
      <c r="H2240" s="40" t="inlineStr">
        <is>
          <t>Borç</t>
        </is>
      </c>
      <c r="I2240" s="38" t="n">
        <v>9820548.85</v>
      </c>
      <c r="J2240" s="38" t="n">
        <v>62828.12</v>
      </c>
      <c r="K2240" s="38" t="n">
        <v>9757720.73</v>
      </c>
      <c r="L2240" s="40" t="inlineStr">
        <is>
          <t>Borç</t>
        </is>
      </c>
    </row>
    <row r="2241" s="34">
      <c r="A2241" s="40" t="inlineStr">
        <is>
          <t>360.01.01.0002</t>
        </is>
      </c>
      <c r="B2241" s="40" t="inlineStr">
        <is>
          <t>Damga Vergisi</t>
        </is>
      </c>
      <c r="C2241" s="40" t="inlineStr">
        <is>
          <t>TRY</t>
        </is>
      </c>
      <c r="D2241" s="40" t="inlineStr">
        <is>
          <t>GİTAŞ MERKEZ</t>
        </is>
      </c>
      <c r="E2241" s="38" t="n">
        <v>227696.35</v>
      </c>
      <c r="F2241" s="38" t="n">
        <v>0</v>
      </c>
      <c r="G2241" s="38" t="n">
        <v>227696.35</v>
      </c>
      <c r="H2241" s="40" t="inlineStr">
        <is>
          <t>Borç</t>
        </is>
      </c>
      <c r="I2241" s="38" t="n">
        <v>227696.35</v>
      </c>
      <c r="J2241" s="38" t="n">
        <v>0</v>
      </c>
      <c r="K2241" s="38" t="n">
        <v>227696.35</v>
      </c>
      <c r="L2241" s="40" t="inlineStr">
        <is>
          <t>Borç</t>
        </is>
      </c>
    </row>
    <row r="2242" s="34">
      <c r="A2242" s="40" t="inlineStr">
        <is>
          <t>360.01.01.0002</t>
        </is>
      </c>
      <c r="B2242" s="40" t="inlineStr">
        <is>
          <t>Damga Vergisi</t>
        </is>
      </c>
      <c r="C2242" s="40" t="inlineStr">
        <is>
          <t>TRY</t>
        </is>
      </c>
      <c r="D2242" s="40" t="inlineStr">
        <is>
          <t>ROYAL ADAM EVE</t>
        </is>
      </c>
      <c r="E2242" s="38" t="n">
        <v>154022.93</v>
      </c>
      <c r="F2242" s="38" t="n">
        <v>0</v>
      </c>
      <c r="G2242" s="38" t="n">
        <v>154022.93</v>
      </c>
      <c r="H2242" s="40" t="inlineStr">
        <is>
          <t>Borç</t>
        </is>
      </c>
      <c r="I2242" s="38" t="n">
        <v>154022.93</v>
      </c>
      <c r="J2242" s="38" t="n">
        <v>0</v>
      </c>
      <c r="K2242" s="38" t="n">
        <v>154022.93</v>
      </c>
      <c r="L2242" s="40" t="inlineStr">
        <is>
          <t>Borç</t>
        </is>
      </c>
    </row>
    <row r="2243" s="34">
      <c r="A2243" s="40" t="inlineStr">
        <is>
          <t>360.01.01.0002</t>
        </is>
      </c>
      <c r="B2243" s="40" t="inlineStr">
        <is>
          <t>Damga Vergisi</t>
        </is>
      </c>
      <c r="C2243" s="40" t="inlineStr">
        <is>
          <t>TRY</t>
        </is>
      </c>
      <c r="D2243" s="40" t="inlineStr">
        <is>
          <t>ROYAL DRAGON</t>
        </is>
      </c>
      <c r="E2243" s="38" t="n">
        <v>0</v>
      </c>
      <c r="F2243" s="38" t="n">
        <v>4012.46</v>
      </c>
      <c r="G2243" s="38" t="n">
        <v>-4012.46</v>
      </c>
      <c r="H2243" s="40" t="inlineStr">
        <is>
          <t>Alacak</t>
        </is>
      </c>
      <c r="I2243" s="38" t="n">
        <v>0</v>
      </c>
      <c r="J2243" s="38" t="n">
        <v>4012.46</v>
      </c>
      <c r="K2243" s="38" t="n">
        <v>-4012.46</v>
      </c>
      <c r="L2243" s="40" t="inlineStr">
        <is>
          <t>Alacak</t>
        </is>
      </c>
    </row>
    <row r="2244" s="34">
      <c r="A2244" s="40" t="inlineStr">
        <is>
          <t>360.01.01.0002</t>
        </is>
      </c>
      <c r="B2244" s="40" t="inlineStr">
        <is>
          <t>Damga Vergisi</t>
        </is>
      </c>
      <c r="C2244" s="40" t="inlineStr">
        <is>
          <t>TRY</t>
        </is>
      </c>
      <c r="D2244" s="40" t="inlineStr">
        <is>
          <t>ROYAL SEGINUS</t>
        </is>
      </c>
      <c r="E2244" s="38" t="n">
        <v>0</v>
      </c>
      <c r="F2244" s="38" t="n">
        <v>3803.27</v>
      </c>
      <c r="G2244" s="38" t="n">
        <v>-3803.27</v>
      </c>
      <c r="H2244" s="40" t="inlineStr">
        <is>
          <t>Alacak</t>
        </is>
      </c>
      <c r="I2244" s="38" t="n">
        <v>0</v>
      </c>
      <c r="J2244" s="38" t="n">
        <v>3803.27</v>
      </c>
      <c r="K2244" s="38" t="n">
        <v>-3803.27</v>
      </c>
      <c r="L2244" s="40" t="inlineStr">
        <is>
          <t>Alacak</t>
        </is>
      </c>
    </row>
    <row r="2245" s="34">
      <c r="A2245" s="40" t="inlineStr">
        <is>
          <t>360.01.01.0002</t>
        </is>
      </c>
      <c r="B2245" s="40" t="inlineStr">
        <is>
          <t>Damga Vergisi</t>
        </is>
      </c>
      <c r="C2245" s="40" t="inlineStr">
        <is>
          <t>TRY</t>
        </is>
      </c>
      <c r="D2245" s="40" t="inlineStr">
        <is>
          <t>SERTAŞ MERKEZ</t>
        </is>
      </c>
      <c r="E2245" s="38" t="n">
        <v>424142.49</v>
      </c>
      <c r="F2245" s="38" t="n">
        <v>2375.93</v>
      </c>
      <c r="G2245" s="38" t="n">
        <v>421766.56</v>
      </c>
      <c r="H2245" s="40" t="inlineStr">
        <is>
          <t>Borç</t>
        </is>
      </c>
      <c r="I2245" s="38" t="n">
        <v>424142.49</v>
      </c>
      <c r="J2245" s="38" t="n">
        <v>2375.93</v>
      </c>
      <c r="K2245" s="38" t="n">
        <v>421766.56</v>
      </c>
      <c r="L2245" s="40" t="inlineStr">
        <is>
          <t>Borç</t>
        </is>
      </c>
    </row>
    <row r="2246" s="34">
      <c r="A2246" s="40" t="inlineStr">
        <is>
          <t>360.01.01.0003</t>
        </is>
      </c>
      <c r="B2246" s="40" t="inlineStr">
        <is>
          <t>Kdv</t>
        </is>
      </c>
      <c r="C2246" s="40" t="inlineStr">
        <is>
          <t>TRY</t>
        </is>
      </c>
      <c r="D2246" s="40" t="inlineStr">
        <is>
          <t>ROYAL ADAM EVE</t>
        </is>
      </c>
      <c r="E2246" s="38" t="n">
        <v>3144.69</v>
      </c>
      <c r="F2246" s="38" t="n">
        <v>0</v>
      </c>
      <c r="G2246" s="38" t="n">
        <v>3144.69</v>
      </c>
      <c r="H2246" s="40" t="inlineStr">
        <is>
          <t>Borç</t>
        </is>
      </c>
      <c r="I2246" s="38" t="n">
        <v>3144.69</v>
      </c>
      <c r="J2246" s="38" t="n">
        <v>0</v>
      </c>
      <c r="K2246" s="38" t="n">
        <v>3144.69</v>
      </c>
      <c r="L2246" s="40" t="inlineStr">
        <is>
          <t>Borç</t>
        </is>
      </c>
    </row>
    <row r="2247" s="34">
      <c r="A2247" s="40" t="inlineStr">
        <is>
          <t>360.01.01.0005</t>
        </is>
      </c>
      <c r="B2247" s="40" t="inlineStr">
        <is>
          <t>Tevkifatlı 3/10 Kdv</t>
        </is>
      </c>
      <c r="C2247" s="40" t="inlineStr">
        <is>
          <t>TRY</t>
        </is>
      </c>
      <c r="D2247" s="40" t="inlineStr">
        <is>
          <t>ROYAL ADAM EVE</t>
        </is>
      </c>
      <c r="E2247" s="38" t="n">
        <v>0</v>
      </c>
      <c r="F2247" s="38" t="n">
        <v>7113.75</v>
      </c>
      <c r="G2247" s="38" t="n">
        <v>-7113.75</v>
      </c>
      <c r="H2247" s="40" t="inlineStr">
        <is>
          <t>Alacak</t>
        </is>
      </c>
      <c r="I2247" s="38" t="n">
        <v>0</v>
      </c>
      <c r="J2247" s="38" t="n">
        <v>7113.75</v>
      </c>
      <c r="K2247" s="38" t="n">
        <v>-7113.75</v>
      </c>
      <c r="L2247" s="40" t="inlineStr">
        <is>
          <t>Alacak</t>
        </is>
      </c>
    </row>
    <row r="2248" s="34">
      <c r="A2248" s="40" t="inlineStr">
        <is>
          <t>360.01.01.0005</t>
        </is>
      </c>
      <c r="B2248" s="40" t="inlineStr">
        <is>
          <t>Tevkifatlı 3/10 Kdv</t>
        </is>
      </c>
      <c r="C2248" s="40" t="inlineStr">
        <is>
          <t>TRY</t>
        </is>
      </c>
      <c r="D2248" s="40" t="inlineStr">
        <is>
          <t>ROYAL DRAGON</t>
        </is>
      </c>
      <c r="E2248" s="38" t="n">
        <v>0</v>
      </c>
      <c r="F2248" s="38" t="n">
        <v>5974.5</v>
      </c>
      <c r="G2248" s="38" t="n">
        <v>-5974.5</v>
      </c>
      <c r="H2248" s="40" t="inlineStr">
        <is>
          <t>Alacak</t>
        </is>
      </c>
      <c r="I2248" s="38" t="n">
        <v>0</v>
      </c>
      <c r="J2248" s="38" t="n">
        <v>5974.5</v>
      </c>
      <c r="K2248" s="38" t="n">
        <v>-5974.5</v>
      </c>
      <c r="L2248" s="40" t="inlineStr">
        <is>
          <t>Alacak</t>
        </is>
      </c>
    </row>
    <row r="2249" s="34">
      <c r="A2249" s="40" t="inlineStr">
        <is>
          <t>360.01.01.0005</t>
        </is>
      </c>
      <c r="B2249" s="40" t="inlineStr">
        <is>
          <t>Tevkifatlı 3/10 Kdv</t>
        </is>
      </c>
      <c r="C2249" s="40" t="inlineStr">
        <is>
          <t>TRY</t>
        </is>
      </c>
      <c r="D2249" s="40" t="inlineStr">
        <is>
          <t>ROYAL SEGINUS</t>
        </is>
      </c>
      <c r="E2249" s="38" t="n">
        <v>0</v>
      </c>
      <c r="F2249" s="38" t="n">
        <v>6457.5</v>
      </c>
      <c r="G2249" s="38" t="n">
        <v>-6457.5</v>
      </c>
      <c r="H2249" s="40" t="inlineStr">
        <is>
          <t>Alacak</t>
        </is>
      </c>
      <c r="I2249" s="38" t="n">
        <v>0</v>
      </c>
      <c r="J2249" s="38" t="n">
        <v>6457.5</v>
      </c>
      <c r="K2249" s="38" t="n">
        <v>-6457.5</v>
      </c>
      <c r="L2249" s="40" t="inlineStr">
        <is>
          <t>Alacak</t>
        </is>
      </c>
    </row>
    <row r="2250" s="34">
      <c r="A2250" s="40" t="inlineStr">
        <is>
          <t>360.01.01.0007</t>
        </is>
      </c>
      <c r="B2250" s="40" t="inlineStr">
        <is>
          <t>Tevkifatlı 9/10 Kdv</t>
        </is>
      </c>
      <c r="C2250" s="40" t="inlineStr">
        <is>
          <t>TRY</t>
        </is>
      </c>
      <c r="D2250" s="40" t="inlineStr">
        <is>
          <t>GİTAŞ MERKEZ</t>
        </is>
      </c>
      <c r="E2250" s="38" t="n">
        <v>22534.65</v>
      </c>
      <c r="F2250" s="38" t="n">
        <v>0</v>
      </c>
      <c r="G2250" s="38" t="n">
        <v>22534.65</v>
      </c>
      <c r="H2250" s="40" t="inlineStr">
        <is>
          <t>Borç</t>
        </is>
      </c>
      <c r="I2250" s="38" t="n">
        <v>22534.65</v>
      </c>
      <c r="J2250" s="38" t="n">
        <v>0</v>
      </c>
      <c r="K2250" s="38" t="n">
        <v>22534.65</v>
      </c>
      <c r="L2250" s="40" t="inlineStr">
        <is>
          <t>Borç</t>
        </is>
      </c>
    </row>
    <row r="2251" s="34">
      <c r="A2251" s="40" t="inlineStr">
        <is>
          <t>360.01.01.0007</t>
        </is>
      </c>
      <c r="B2251" s="40" t="inlineStr">
        <is>
          <t>Tevkifatlı 9/10 Kdv</t>
        </is>
      </c>
      <c r="C2251" s="40" t="inlineStr">
        <is>
          <t>TRY</t>
        </is>
      </c>
      <c r="D2251" s="40" t="inlineStr">
        <is>
          <t>ROYAL ADAM EVE</t>
        </is>
      </c>
      <c r="E2251" s="38" t="n">
        <v>50376.08</v>
      </c>
      <c r="F2251" s="38" t="n">
        <v>24975</v>
      </c>
      <c r="G2251" s="38" t="n">
        <v>25401.08</v>
      </c>
      <c r="H2251" s="40" t="inlineStr">
        <is>
          <t>Borç</t>
        </is>
      </c>
      <c r="I2251" s="38" t="n">
        <v>50376.08</v>
      </c>
      <c r="J2251" s="38" t="n">
        <v>24975</v>
      </c>
      <c r="K2251" s="38" t="n">
        <v>25401.08</v>
      </c>
      <c r="L2251" s="40" t="inlineStr">
        <is>
          <t>Borç</t>
        </is>
      </c>
    </row>
    <row r="2252" s="34">
      <c r="A2252" s="40" t="inlineStr">
        <is>
          <t>360.01.01.0007</t>
        </is>
      </c>
      <c r="B2252" s="40" t="inlineStr">
        <is>
          <t>Tevkifatlı 9/10 Kdv</t>
        </is>
      </c>
      <c r="C2252" s="40" t="inlineStr">
        <is>
          <t>TRY</t>
        </is>
      </c>
      <c r="D2252" s="40" t="inlineStr">
        <is>
          <t>SERTAŞ MERKEZ</t>
        </is>
      </c>
      <c r="E2252" s="38" t="n">
        <v>160688.65</v>
      </c>
      <c r="F2252" s="38" t="n">
        <v>0</v>
      </c>
      <c r="G2252" s="38" t="n">
        <v>160688.65</v>
      </c>
      <c r="H2252" s="40" t="inlineStr">
        <is>
          <t>Borç</t>
        </is>
      </c>
      <c r="I2252" s="38" t="n">
        <v>160688.65</v>
      </c>
      <c r="J2252" s="38" t="n">
        <v>0</v>
      </c>
      <c r="K2252" s="38" t="n">
        <v>160688.65</v>
      </c>
      <c r="L2252" s="40" t="inlineStr">
        <is>
          <t>Borç</t>
        </is>
      </c>
    </row>
    <row r="2253" s="34">
      <c r="A2253" s="40" t="inlineStr">
        <is>
          <t>360.01.01.0008</t>
        </is>
      </c>
      <c r="B2253" s="40" t="inlineStr">
        <is>
          <t>Tevkifatlı 5/10 Kdv</t>
        </is>
      </c>
      <c r="C2253" s="40" t="inlineStr">
        <is>
          <t>TRY</t>
        </is>
      </c>
      <c r="D2253" s="40" t="inlineStr">
        <is>
          <t>GİTAŞ MERKEZ</t>
        </is>
      </c>
      <c r="E2253" s="38" t="n">
        <v>212010</v>
      </c>
      <c r="F2253" s="38" t="n">
        <v>0</v>
      </c>
      <c r="G2253" s="38" t="n">
        <v>212010</v>
      </c>
      <c r="H2253" s="40" t="inlineStr">
        <is>
          <t>Borç</t>
        </is>
      </c>
      <c r="I2253" s="38" t="n">
        <v>212010</v>
      </c>
      <c r="J2253" s="38" t="n">
        <v>0</v>
      </c>
      <c r="K2253" s="38" t="n">
        <v>212010</v>
      </c>
      <c r="L2253" s="40" t="inlineStr">
        <is>
          <t>Borç</t>
        </is>
      </c>
    </row>
    <row r="2254" s="34">
      <c r="A2254" s="40" t="inlineStr">
        <is>
          <t>360.01.01.0008</t>
        </is>
      </c>
      <c r="B2254" s="40" t="inlineStr">
        <is>
          <t>Tevkifatlı 5/10 Kdv</t>
        </is>
      </c>
      <c r="C2254" s="40" t="inlineStr">
        <is>
          <t>TRY</t>
        </is>
      </c>
      <c r="D2254" s="40" t="inlineStr">
        <is>
          <t>ROYAL ADAM EVE</t>
        </is>
      </c>
      <c r="E2254" s="38" t="n">
        <v>217282.48</v>
      </c>
      <c r="F2254" s="38" t="n">
        <v>0</v>
      </c>
      <c r="G2254" s="38" t="n">
        <v>217282.48</v>
      </c>
      <c r="H2254" s="40" t="inlineStr">
        <is>
          <t>Borç</t>
        </is>
      </c>
      <c r="I2254" s="38" t="n">
        <v>217282.48</v>
      </c>
      <c r="J2254" s="38" t="n">
        <v>0</v>
      </c>
      <c r="K2254" s="38" t="n">
        <v>217282.48</v>
      </c>
      <c r="L2254" s="40" t="inlineStr">
        <is>
          <t>Borç</t>
        </is>
      </c>
    </row>
    <row r="2255" s="34">
      <c r="A2255" s="40" t="inlineStr">
        <is>
          <t>360.01.01.0008</t>
        </is>
      </c>
      <c r="B2255" s="40" t="inlineStr">
        <is>
          <t>Tevkifatlı 5/10 Kdv</t>
        </is>
      </c>
      <c r="C2255" s="40" t="inlineStr">
        <is>
          <t>TRY</t>
        </is>
      </c>
      <c r="D2255" s="40" t="inlineStr">
        <is>
          <t>SERTAŞ MERKEZ</t>
        </is>
      </c>
      <c r="E2255" s="38" t="n">
        <v>536989.28</v>
      </c>
      <c r="F2255" s="38" t="n">
        <v>0</v>
      </c>
      <c r="G2255" s="38" t="n">
        <v>536989.28</v>
      </c>
      <c r="H2255" s="40" t="inlineStr">
        <is>
          <t>Borç</t>
        </is>
      </c>
      <c r="I2255" s="38" t="n">
        <v>536989.28</v>
      </c>
      <c r="J2255" s="38" t="n">
        <v>0</v>
      </c>
      <c r="K2255" s="38" t="n">
        <v>536989.28</v>
      </c>
      <c r="L2255" s="40" t="inlineStr">
        <is>
          <t>Borç</t>
        </is>
      </c>
    </row>
    <row r="2256" s="34">
      <c r="A2256" s="40" t="inlineStr">
        <is>
          <t>360.01.01.0009</t>
        </is>
      </c>
      <c r="B2256" s="40" t="inlineStr">
        <is>
          <t>Damga Vergisi Beyannamesi</t>
        </is>
      </c>
      <c r="C2256" s="40" t="inlineStr">
        <is>
          <t>TRY</t>
        </is>
      </c>
      <c r="D2256" s="40" t="inlineStr">
        <is>
          <t>GİTAŞ MERKEZ</t>
        </is>
      </c>
      <c r="E2256" s="38" t="n">
        <v>1259.97</v>
      </c>
      <c r="F2256" s="38" t="n">
        <v>0</v>
      </c>
      <c r="G2256" s="38" t="n">
        <v>1259.97</v>
      </c>
      <c r="H2256" s="40" t="inlineStr">
        <is>
          <t>Borç</t>
        </is>
      </c>
      <c r="I2256" s="38" t="n">
        <v>1259.97</v>
      </c>
      <c r="J2256" s="38" t="n">
        <v>0</v>
      </c>
      <c r="K2256" s="38" t="n">
        <v>1259.97</v>
      </c>
      <c r="L2256" s="40" t="inlineStr">
        <is>
          <t>Borç</t>
        </is>
      </c>
    </row>
    <row r="2257" s="34">
      <c r="A2257" s="40" t="inlineStr">
        <is>
          <t>360.01.01.0009</t>
        </is>
      </c>
      <c r="B2257" s="40" t="inlineStr">
        <is>
          <t>Damga Vergisi Beyannamesi</t>
        </is>
      </c>
      <c r="C2257" s="40" t="inlineStr">
        <is>
          <t>TRY</t>
        </is>
      </c>
      <c r="D2257" s="40" t="inlineStr">
        <is>
          <t>ROYAL ADAM EVE</t>
        </is>
      </c>
      <c r="E2257" s="38" t="n">
        <v>1211.51</v>
      </c>
      <c r="F2257" s="38" t="n">
        <v>0</v>
      </c>
      <c r="G2257" s="38" t="n">
        <v>1211.51</v>
      </c>
      <c r="H2257" s="40" t="inlineStr">
        <is>
          <t>Borç</t>
        </is>
      </c>
      <c r="I2257" s="38" t="n">
        <v>1211.51</v>
      </c>
      <c r="J2257" s="38" t="n">
        <v>0</v>
      </c>
      <c r="K2257" s="38" t="n">
        <v>1211.51</v>
      </c>
      <c r="L2257" s="40" t="inlineStr">
        <is>
          <t>Borç</t>
        </is>
      </c>
    </row>
    <row r="2258" s="34">
      <c r="A2258" s="40" t="inlineStr">
        <is>
          <t>360.01.01.0009</t>
        </is>
      </c>
      <c r="B2258" s="40" t="inlineStr">
        <is>
          <t>Damga Vergisi Beyannamesi</t>
        </is>
      </c>
      <c r="C2258" s="40" t="inlineStr">
        <is>
          <t>TRY</t>
        </is>
      </c>
      <c r="D2258" s="40" t="inlineStr">
        <is>
          <t>SERTAŞ MERKEZ</t>
        </is>
      </c>
      <c r="E2258" s="38" t="n">
        <v>728.54</v>
      </c>
      <c r="F2258" s="38" t="n">
        <v>16826.94</v>
      </c>
      <c r="G2258" s="38" t="n">
        <v>-16098.4</v>
      </c>
      <c r="H2258" s="40" t="inlineStr">
        <is>
          <t>Alacak</t>
        </is>
      </c>
      <c r="I2258" s="38" t="n">
        <v>728.54</v>
      </c>
      <c r="J2258" s="38" t="n">
        <v>16826.94</v>
      </c>
      <c r="K2258" s="38" t="n">
        <v>-16098.4</v>
      </c>
      <c r="L2258" s="40" t="inlineStr">
        <is>
          <t>Alacak</t>
        </is>
      </c>
    </row>
    <row r="2259" s="34">
      <c r="A2259" s="40" t="inlineStr">
        <is>
          <t>360.01.01.0011</t>
        </is>
      </c>
      <c r="B2259" s="40" t="inlineStr">
        <is>
          <t>Beyanname Damga Vergileri</t>
        </is>
      </c>
      <c r="C2259" s="40" t="inlineStr">
        <is>
          <t>TRY</t>
        </is>
      </c>
      <c r="D2259" s="40" t="inlineStr">
        <is>
          <t>GİTAŞ MERKEZ</t>
        </is>
      </c>
      <c r="E2259" s="38" t="n">
        <v>4252.4</v>
      </c>
      <c r="F2259" s="38" t="n">
        <v>6625.4</v>
      </c>
      <c r="G2259" s="38" t="n">
        <v>-2373</v>
      </c>
      <c r="H2259" s="40" t="inlineStr">
        <is>
          <t>Alacak</t>
        </is>
      </c>
      <c r="I2259" s="38" t="n">
        <v>4252.4</v>
      </c>
      <c r="J2259" s="38" t="n">
        <v>6625.4</v>
      </c>
      <c r="K2259" s="38" t="n">
        <v>-2373</v>
      </c>
      <c r="L2259" s="40" t="inlineStr">
        <is>
          <t>Alacak</t>
        </is>
      </c>
    </row>
    <row r="2260" s="34">
      <c r="A2260" s="40" t="inlineStr">
        <is>
          <t>360.01.01.0011</t>
        </is>
      </c>
      <c r="B2260" s="40" t="inlineStr">
        <is>
          <t>Beyanname Damga Vergileri</t>
        </is>
      </c>
      <c r="C2260" s="40" t="inlineStr">
        <is>
          <t>TRY</t>
        </is>
      </c>
      <c r="D2260" s="40" t="inlineStr">
        <is>
          <t>ROYAL ADAM EVE</t>
        </is>
      </c>
      <c r="E2260" s="38" t="n">
        <v>5834.4</v>
      </c>
      <c r="F2260" s="38" t="n">
        <v>4894.7</v>
      </c>
      <c r="G2260" s="38" t="n">
        <v>939.7</v>
      </c>
      <c r="H2260" s="40" t="inlineStr">
        <is>
          <t>Borç</t>
        </is>
      </c>
      <c r="I2260" s="38" t="n">
        <v>5834.4</v>
      </c>
      <c r="J2260" s="38" t="n">
        <v>4894.7</v>
      </c>
      <c r="K2260" s="38" t="n">
        <v>939.7</v>
      </c>
      <c r="L2260" s="40" t="inlineStr">
        <is>
          <t>Borç</t>
        </is>
      </c>
    </row>
    <row r="2261" s="34">
      <c r="A2261" s="40" t="inlineStr">
        <is>
          <t>360.01.01.0011</t>
        </is>
      </c>
      <c r="B2261" s="40" t="inlineStr">
        <is>
          <t>Beyanname Damga Vergileri</t>
        </is>
      </c>
      <c r="C2261" s="40" t="inlineStr">
        <is>
          <t>TRY</t>
        </is>
      </c>
      <c r="D2261" s="40" t="inlineStr">
        <is>
          <t>SERTAŞ MERKEZ</t>
        </is>
      </c>
      <c r="E2261" s="38" t="n">
        <v>8350.700000000001</v>
      </c>
      <c r="F2261" s="38" t="n">
        <v>12747.22</v>
      </c>
      <c r="G2261" s="38" t="n">
        <v>-4396.52</v>
      </c>
      <c r="H2261" s="40" t="inlineStr">
        <is>
          <t>Alacak</t>
        </is>
      </c>
      <c r="I2261" s="38" t="n">
        <v>8350.700000000001</v>
      </c>
      <c r="J2261" s="38" t="n">
        <v>12747.22</v>
      </c>
      <c r="K2261" s="38" t="n">
        <v>-4396.52</v>
      </c>
      <c r="L2261" s="40" t="inlineStr">
        <is>
          <t>Alacak</t>
        </is>
      </c>
    </row>
    <row r="2262" s="34">
      <c r="A2262" s="40" t="inlineStr">
        <is>
          <t>360.01.01.0012</t>
        </is>
      </c>
      <c r="B2262" s="40" t="inlineStr">
        <is>
          <t>Tam Tevkifatlı Kdv</t>
        </is>
      </c>
      <c r="C2262" s="40" t="inlineStr">
        <is>
          <t>TRY</t>
        </is>
      </c>
      <c r="D2262" s="40" t="inlineStr">
        <is>
          <t>SERTAŞ MERKEZ</t>
        </is>
      </c>
      <c r="E2262" s="38" t="n">
        <v>2035.62</v>
      </c>
      <c r="F2262" s="38" t="n">
        <v>0</v>
      </c>
      <c r="G2262" s="38" t="n">
        <v>2035.62</v>
      </c>
      <c r="H2262" s="40" t="inlineStr">
        <is>
          <t>Borç</t>
        </is>
      </c>
      <c r="I2262" s="38" t="n">
        <v>2035.62</v>
      </c>
      <c r="J2262" s="38" t="n">
        <v>0</v>
      </c>
      <c r="K2262" s="38" t="n">
        <v>2035.62</v>
      </c>
      <c r="L2262" s="40" t="inlineStr">
        <is>
          <t>Borç</t>
        </is>
      </c>
    </row>
    <row r="2263" s="34">
      <c r="A2263" s="40" t="inlineStr">
        <is>
          <t>360.01.01.0013</t>
        </is>
      </c>
      <c r="B2263" s="40" t="inlineStr">
        <is>
          <t>Turizm Katkı Payı</t>
        </is>
      </c>
      <c r="C2263" s="40" t="inlineStr">
        <is>
          <t>TRY</t>
        </is>
      </c>
      <c r="D2263" s="40" t="inlineStr">
        <is>
          <t>GİTAŞ MERKEZ</t>
        </is>
      </c>
      <c r="E2263" s="38" t="n">
        <v>255786.49</v>
      </c>
      <c r="F2263" s="38" t="n">
        <v>0</v>
      </c>
      <c r="G2263" s="38" t="n">
        <v>255786.49</v>
      </c>
      <c r="H2263" s="40" t="inlineStr">
        <is>
          <t>Borç</t>
        </is>
      </c>
      <c r="I2263" s="38" t="n">
        <v>255786.49</v>
      </c>
      <c r="J2263" s="38" t="n">
        <v>0</v>
      </c>
      <c r="K2263" s="38" t="n">
        <v>255786.49</v>
      </c>
      <c r="L2263" s="40" t="inlineStr">
        <is>
          <t>Borç</t>
        </is>
      </c>
    </row>
    <row r="2264" s="34">
      <c r="A2264" s="40" t="inlineStr">
        <is>
          <t>360.01.01.0013</t>
        </is>
      </c>
      <c r="B2264" s="40" t="inlineStr">
        <is>
          <t>Turizm Katkı Payı</t>
        </is>
      </c>
      <c r="C2264" s="40" t="inlineStr">
        <is>
          <t>TRY</t>
        </is>
      </c>
      <c r="D2264" s="40" t="inlineStr">
        <is>
          <t>ROYAL ADAM EVE</t>
        </is>
      </c>
      <c r="E2264" s="38" t="n">
        <v>62350.55</v>
      </c>
      <c r="F2264" s="38" t="n">
        <v>0</v>
      </c>
      <c r="G2264" s="38" t="n">
        <v>62350.55</v>
      </c>
      <c r="H2264" s="40" t="inlineStr">
        <is>
          <t>Borç</t>
        </is>
      </c>
      <c r="I2264" s="38" t="n">
        <v>62350.55</v>
      </c>
      <c r="J2264" s="38" t="n">
        <v>0</v>
      </c>
      <c r="K2264" s="38" t="n">
        <v>62350.55</v>
      </c>
      <c r="L2264" s="40" t="inlineStr">
        <is>
          <t>Borç</t>
        </is>
      </c>
    </row>
    <row r="2265" s="34">
      <c r="A2265" s="40" t="inlineStr">
        <is>
          <t>360.01.01.0013</t>
        </is>
      </c>
      <c r="B2265" s="40" t="inlineStr">
        <is>
          <t>Turizm Katkı Payı</t>
        </is>
      </c>
      <c r="C2265" s="40" t="inlineStr">
        <is>
          <t>TRY</t>
        </is>
      </c>
      <c r="D2265" s="40" t="inlineStr">
        <is>
          <t>ROYAL HOLIDAY</t>
        </is>
      </c>
      <c r="E2265" s="38" t="n">
        <v>16793.79</v>
      </c>
      <c r="F2265" s="38" t="n">
        <v>16793.79</v>
      </c>
      <c r="G2265" s="38" t="n">
        <v>0</v>
      </c>
      <c r="I2265" s="38" t="n">
        <v>16793.79</v>
      </c>
      <c r="J2265" s="38" t="n">
        <v>16793.79</v>
      </c>
      <c r="K2265" s="38" t="n">
        <v>0</v>
      </c>
    </row>
    <row r="2266" s="34">
      <c r="A2266" s="40" t="inlineStr">
        <is>
          <t>360.01.01.0013</t>
        </is>
      </c>
      <c r="B2266" s="40" t="inlineStr">
        <is>
          <t>Turizm Katkı Payı</t>
        </is>
      </c>
      <c r="C2266" s="40" t="inlineStr">
        <is>
          <t>TRY</t>
        </is>
      </c>
      <c r="D2266" s="40" t="inlineStr">
        <is>
          <t>ROYAL SEGINUS</t>
        </is>
      </c>
      <c r="E2266" s="38" t="n">
        <v>636932.26</v>
      </c>
      <c r="F2266" s="38" t="n">
        <v>636932.26</v>
      </c>
      <c r="G2266" s="38" t="n">
        <v>0</v>
      </c>
      <c r="I2266" s="38" t="n">
        <v>636932.26</v>
      </c>
      <c r="J2266" s="38" t="n">
        <v>636932.26</v>
      </c>
      <c r="K2266" s="38" t="n">
        <v>0</v>
      </c>
    </row>
    <row r="2267" s="34">
      <c r="A2267" s="40" t="inlineStr">
        <is>
          <t>360.01.01.0013</t>
        </is>
      </c>
      <c r="B2267" s="40" t="inlineStr">
        <is>
          <t>Turizm Katkı Payı</t>
        </is>
      </c>
      <c r="C2267" s="40" t="inlineStr">
        <is>
          <t>TRY</t>
        </is>
      </c>
      <c r="D2267" s="40" t="inlineStr">
        <is>
          <t>SERTAŞ MERKEZ</t>
        </is>
      </c>
      <c r="E2267" s="38" t="n">
        <v>764573.7</v>
      </c>
      <c r="F2267" s="38" t="n">
        <v>698073.03</v>
      </c>
      <c r="G2267" s="38" t="n">
        <v>66500.67</v>
      </c>
      <c r="H2267" s="40" t="inlineStr">
        <is>
          <t>Borç</t>
        </is>
      </c>
      <c r="I2267" s="38" t="n">
        <v>764573.7</v>
      </c>
      <c r="J2267" s="38" t="n">
        <v>698073.03</v>
      </c>
      <c r="K2267" s="38" t="n">
        <v>66500.67</v>
      </c>
      <c r="L2267" s="40" t="inlineStr">
        <is>
          <t>Borç</t>
        </is>
      </c>
    </row>
    <row r="2268" s="34">
      <c r="A2268" s="40" t="inlineStr">
        <is>
          <t>360.01.01.0013</t>
        </is>
      </c>
      <c r="B2268" s="40" t="inlineStr">
        <is>
          <t>Turizm Katkı Payı</t>
        </is>
      </c>
      <c r="C2268" s="40" t="inlineStr">
        <is>
          <t>TRY</t>
        </is>
      </c>
      <c r="D2268" s="40" t="inlineStr">
        <is>
          <t>STONE ÇARŞI</t>
        </is>
      </c>
      <c r="E2268" s="38" t="n">
        <v>42114.67</v>
      </c>
      <c r="F2268" s="38" t="n">
        <v>42114.67</v>
      </c>
      <c r="G2268" s="38" t="n">
        <v>0</v>
      </c>
      <c r="I2268" s="38" t="n">
        <v>42114.67</v>
      </c>
      <c r="J2268" s="38" t="n">
        <v>42114.67</v>
      </c>
      <c r="K2268" s="38" t="n">
        <v>0</v>
      </c>
    </row>
    <row r="2269" s="34">
      <c r="A2269" s="40" t="inlineStr">
        <is>
          <t>360.01.01.0014</t>
        </is>
      </c>
      <c r="B2269" s="40" t="inlineStr">
        <is>
          <t>Geri Kazanım Katılım Payı</t>
        </is>
      </c>
      <c r="C2269" s="40" t="inlineStr">
        <is>
          <t>TRY</t>
        </is>
      </c>
      <c r="D2269" s="40" t="inlineStr">
        <is>
          <t>SERTAŞ MERKEZ</t>
        </is>
      </c>
      <c r="E2269" s="38" t="n">
        <v>0</v>
      </c>
      <c r="F2269" s="38" t="n">
        <v>8155</v>
      </c>
      <c r="G2269" s="38" t="n">
        <v>-8155</v>
      </c>
      <c r="H2269" s="40" t="inlineStr">
        <is>
          <t>Alacak</t>
        </is>
      </c>
      <c r="I2269" s="38" t="n">
        <v>0</v>
      </c>
      <c r="J2269" s="38" t="n">
        <v>8155</v>
      </c>
      <c r="K2269" s="38" t="n">
        <v>-8155</v>
      </c>
      <c r="L2269" s="40" t="inlineStr">
        <is>
          <t>Alacak</t>
        </is>
      </c>
    </row>
    <row r="2270" s="34">
      <c r="A2270" s="40" t="inlineStr">
        <is>
          <t>360.01.01.0016</t>
        </is>
      </c>
      <c r="B2270" s="40" t="inlineStr">
        <is>
          <t>Konaklama Vergisi</t>
        </is>
      </c>
      <c r="C2270" s="40" t="inlineStr">
        <is>
          <t>TRY</t>
        </is>
      </c>
      <c r="D2270" s="40" t="inlineStr">
        <is>
          <t>GİTAŞ MERKEZ</t>
        </is>
      </c>
      <c r="E2270" s="38" t="n">
        <v>2253477.93</v>
      </c>
      <c r="F2270" s="38" t="n">
        <v>0</v>
      </c>
      <c r="G2270" s="38" t="n">
        <v>2253477.93</v>
      </c>
      <c r="H2270" s="40" t="inlineStr">
        <is>
          <t>Borç</t>
        </is>
      </c>
      <c r="I2270" s="38" t="n">
        <v>2253477.93</v>
      </c>
      <c r="J2270" s="38" t="n">
        <v>0</v>
      </c>
      <c r="K2270" s="38" t="n">
        <v>2253477.93</v>
      </c>
      <c r="L2270" s="40" t="inlineStr">
        <is>
          <t>Borç</t>
        </is>
      </c>
    </row>
    <row r="2271" s="34">
      <c r="A2271" s="40" t="inlineStr">
        <is>
          <t>360.01.01.0016</t>
        </is>
      </c>
      <c r="B2271" s="40" t="inlineStr">
        <is>
          <t>Konaklama Vergisi</t>
        </is>
      </c>
      <c r="C2271" s="40" t="inlineStr">
        <is>
          <t>TRY</t>
        </is>
      </c>
      <c r="D2271" s="40" t="inlineStr">
        <is>
          <t>ROYAL ADAM EVE</t>
        </is>
      </c>
      <c r="E2271" s="38" t="n">
        <v>1090680.25</v>
      </c>
      <c r="F2271" s="38" t="n">
        <v>612173.27</v>
      </c>
      <c r="G2271" s="38" t="n">
        <v>478506.98</v>
      </c>
      <c r="H2271" s="40" t="inlineStr">
        <is>
          <t>Borç</t>
        </is>
      </c>
      <c r="I2271" s="38" t="n">
        <v>1090680.25</v>
      </c>
      <c r="J2271" s="38" t="n">
        <v>612057.11</v>
      </c>
      <c r="K2271" s="38" t="n">
        <v>478623.14</v>
      </c>
      <c r="L2271" s="40" t="inlineStr">
        <is>
          <t>Borç</t>
        </is>
      </c>
    </row>
    <row r="2272" s="34">
      <c r="A2272" s="40" t="inlineStr">
        <is>
          <t>360.01.01.0016</t>
        </is>
      </c>
      <c r="B2272" s="40" t="inlineStr">
        <is>
          <t>Konaklama Vergisi</t>
        </is>
      </c>
      <c r="C2272" s="40" t="inlineStr">
        <is>
          <t>TRY</t>
        </is>
      </c>
      <c r="D2272" s="40" t="inlineStr">
        <is>
          <t>ROYAL ALHAMBRA</t>
        </is>
      </c>
      <c r="E2272" s="38" t="n">
        <v>712.16</v>
      </c>
      <c r="F2272" s="38" t="n">
        <v>793312.63</v>
      </c>
      <c r="G2272" s="38" t="n">
        <v>-792600.47</v>
      </c>
      <c r="H2272" s="40" t="inlineStr">
        <is>
          <t>Alacak</t>
        </is>
      </c>
      <c r="I2272" s="38" t="n">
        <v>712.16</v>
      </c>
      <c r="J2272" s="38" t="n">
        <v>793312.63</v>
      </c>
      <c r="K2272" s="38" t="n">
        <v>-792600.47</v>
      </c>
      <c r="L2272" s="40" t="inlineStr">
        <is>
          <t>Alacak</t>
        </is>
      </c>
    </row>
    <row r="2273" s="34">
      <c r="A2273" s="40" t="inlineStr">
        <is>
          <t>360.01.01.0016</t>
        </is>
      </c>
      <c r="B2273" s="40" t="inlineStr">
        <is>
          <t>Konaklama Vergisi</t>
        </is>
      </c>
      <c r="C2273" s="40" t="inlineStr">
        <is>
          <t>TRY</t>
        </is>
      </c>
      <c r="D2273" s="40" t="inlineStr">
        <is>
          <t>ROYAL DRAGON</t>
        </is>
      </c>
      <c r="E2273" s="38" t="n">
        <v>7056.11</v>
      </c>
      <c r="F2273" s="38" t="n">
        <v>753839.98</v>
      </c>
      <c r="G2273" s="38" t="n">
        <v>-746783.87</v>
      </c>
      <c r="H2273" s="40" t="inlineStr">
        <is>
          <t>Alacak</t>
        </is>
      </c>
      <c r="I2273" s="38" t="n">
        <v>7056.11</v>
      </c>
      <c r="J2273" s="38" t="n">
        <v>753839.98</v>
      </c>
      <c r="K2273" s="38" t="n">
        <v>-746783.87</v>
      </c>
      <c r="L2273" s="40" t="inlineStr">
        <is>
          <t>Alacak</t>
        </is>
      </c>
    </row>
    <row r="2274" s="34">
      <c r="A2274" s="40" t="inlineStr">
        <is>
          <t>360.01.01.0016</t>
        </is>
      </c>
      <c r="B2274" s="40" t="inlineStr">
        <is>
          <t>Konaklama Vergisi</t>
        </is>
      </c>
      <c r="C2274" s="40" t="inlineStr">
        <is>
          <t>TRY</t>
        </is>
      </c>
      <c r="D2274" s="40" t="inlineStr">
        <is>
          <t>ROYAL HOLIDAY</t>
        </is>
      </c>
      <c r="E2274" s="38" t="n">
        <v>6669.27</v>
      </c>
      <c r="F2274" s="38" t="n">
        <v>1248694.07</v>
      </c>
      <c r="G2274" s="38" t="n">
        <v>-1242024.8</v>
      </c>
      <c r="H2274" s="40" t="inlineStr">
        <is>
          <t>Alacak</t>
        </is>
      </c>
      <c r="I2274" s="38" t="n">
        <v>6669.27</v>
      </c>
      <c r="J2274" s="38" t="n">
        <v>1248694.07</v>
      </c>
      <c r="K2274" s="38" t="n">
        <v>-1242024.8</v>
      </c>
      <c r="L2274" s="40" t="inlineStr">
        <is>
          <t>Alacak</t>
        </is>
      </c>
    </row>
    <row r="2275" s="34">
      <c r="A2275" s="40" t="inlineStr">
        <is>
          <t>360.01.01.0016</t>
        </is>
      </c>
      <c r="B2275" s="40" t="inlineStr">
        <is>
          <t>Konaklama Vergisi</t>
        </is>
      </c>
      <c r="C2275" s="40" t="inlineStr">
        <is>
          <t>TRY</t>
        </is>
      </c>
      <c r="D2275" s="40" t="inlineStr">
        <is>
          <t>ROYAL SEGINUS</t>
        </is>
      </c>
      <c r="E2275" s="38" t="n">
        <v>10055.81</v>
      </c>
      <c r="F2275" s="38" t="n">
        <v>1300414.98</v>
      </c>
      <c r="G2275" s="38" t="n">
        <v>-1290359.17</v>
      </c>
      <c r="H2275" s="40" t="inlineStr">
        <is>
          <t>Alacak</t>
        </is>
      </c>
      <c r="I2275" s="38" t="n">
        <v>10055.81</v>
      </c>
      <c r="J2275" s="38" t="n">
        <v>1300414.98</v>
      </c>
      <c r="K2275" s="38" t="n">
        <v>-1290359.17</v>
      </c>
      <c r="L2275" s="40" t="inlineStr">
        <is>
          <t>Alacak</t>
        </is>
      </c>
    </row>
    <row r="2276" s="34">
      <c r="A2276" s="40" t="inlineStr">
        <is>
          <t>360.01.01.0016</t>
        </is>
      </c>
      <c r="B2276" s="40" t="inlineStr">
        <is>
          <t>Konaklama Vergisi</t>
        </is>
      </c>
      <c r="C2276" s="40" t="inlineStr">
        <is>
          <t>TRY</t>
        </is>
      </c>
      <c r="D2276" s="40" t="inlineStr">
        <is>
          <t>SERTAŞ MERKEZ</t>
        </is>
      </c>
      <c r="E2276" s="38" t="n">
        <v>5346508.58</v>
      </c>
      <c r="F2276" s="38" t="n">
        <v>0</v>
      </c>
      <c r="G2276" s="38" t="n">
        <v>5346508.58</v>
      </c>
      <c r="H2276" s="40" t="inlineStr">
        <is>
          <t>Borç</t>
        </is>
      </c>
      <c r="I2276" s="38" t="n">
        <v>5346508.58</v>
      </c>
      <c r="J2276" s="38" t="n">
        <v>0</v>
      </c>
      <c r="K2276" s="38" t="n">
        <v>5346508.58</v>
      </c>
      <c r="L2276" s="40" t="inlineStr">
        <is>
          <t>Borç</t>
        </is>
      </c>
    </row>
    <row r="2277" s="34">
      <c r="A2277" s="40" t="inlineStr">
        <is>
          <t>360.01.01.0019</t>
        </is>
      </c>
      <c r="B2277" s="40" t="inlineStr">
        <is>
          <t>Tevkifatlı 2/10 Kdv</t>
        </is>
      </c>
      <c r="C2277" s="40" t="inlineStr">
        <is>
          <t>TRY</t>
        </is>
      </c>
      <c r="D2277" s="40" t="inlineStr">
        <is>
          <t>GİTAŞ MERKEZ</t>
        </is>
      </c>
      <c r="E2277" s="38" t="n">
        <v>437</v>
      </c>
      <c r="F2277" s="38" t="n">
        <v>0</v>
      </c>
      <c r="G2277" s="38" t="n">
        <v>437</v>
      </c>
      <c r="H2277" s="40" t="inlineStr">
        <is>
          <t>Borç</t>
        </is>
      </c>
      <c r="I2277" s="38" t="n">
        <v>437</v>
      </c>
      <c r="J2277" s="38" t="n">
        <v>0</v>
      </c>
      <c r="K2277" s="38" t="n">
        <v>437</v>
      </c>
      <c r="L2277" s="40" t="inlineStr">
        <is>
          <t>Borç</t>
        </is>
      </c>
    </row>
    <row r="2278" s="34">
      <c r="A2278" s="40" t="inlineStr">
        <is>
          <t>361</t>
        </is>
      </c>
      <c r="B2278" s="40" t="inlineStr">
        <is>
          <t>ÖDENECEK SOSYAL GÜVENLİK KESİNTİLERİ HESABI</t>
        </is>
      </c>
      <c r="C2278" s="40" t="inlineStr">
        <is>
          <t>TRY</t>
        </is>
      </c>
      <c r="E2278" s="38" t="n">
        <v>31404130.27</v>
      </c>
      <c r="F2278" s="38" t="n">
        <v>0</v>
      </c>
      <c r="G2278" s="38" t="n">
        <v>31404130.27</v>
      </c>
      <c r="I2278" s="38" t="n">
        <v>31404130.27</v>
      </c>
      <c r="J2278" s="38" t="n">
        <v>0</v>
      </c>
      <c r="K2278" s="38" t="n">
        <v>31404130.27</v>
      </c>
    </row>
    <row r="2279" s="34">
      <c r="A2279" s="40" t="inlineStr">
        <is>
          <t>361.01</t>
        </is>
      </c>
      <c r="B2279" s="40" t="inlineStr">
        <is>
          <t>ÖDENECEK SOSYAL GÜVENLİK KESİNTİLERİ HESABI</t>
        </is>
      </c>
      <c r="C2279" s="40" t="inlineStr">
        <is>
          <t>TRY</t>
        </is>
      </c>
      <c r="E2279" s="38" t="n">
        <v>31404130.27</v>
      </c>
      <c r="F2279" s="38" t="n">
        <v>0</v>
      </c>
      <c r="G2279" s="38" t="n">
        <v>31404130.27</v>
      </c>
      <c r="I2279" s="38" t="n">
        <v>31404130.27</v>
      </c>
      <c r="J2279" s="38" t="n">
        <v>0</v>
      </c>
      <c r="K2279" s="38" t="n">
        <v>31404130.27</v>
      </c>
    </row>
    <row r="2280" s="34">
      <c r="A2280" s="40" t="inlineStr">
        <is>
          <t>361.01.01</t>
        </is>
      </c>
      <c r="B2280" s="40" t="inlineStr">
        <is>
          <t>ÖDENECEK SOSYAL GÜVENLİK KESİNTİLERİ HESABI</t>
        </is>
      </c>
      <c r="C2280" s="40" t="inlineStr">
        <is>
          <t>TRY</t>
        </is>
      </c>
      <c r="E2280" s="38" t="n">
        <v>31404130.27</v>
      </c>
      <c r="F2280" s="38" t="n">
        <v>0</v>
      </c>
      <c r="G2280" s="38" t="n">
        <v>31404130.27</v>
      </c>
      <c r="I2280" s="38" t="n">
        <v>31404130.27</v>
      </c>
      <c r="J2280" s="38" t="n">
        <v>0</v>
      </c>
      <c r="K2280" s="38" t="n">
        <v>31404130.27</v>
      </c>
    </row>
    <row r="2281" s="34">
      <c r="A2281" s="40" t="inlineStr">
        <is>
          <t>361.01.01.0001</t>
        </is>
      </c>
      <c r="B2281" s="40" t="inlineStr">
        <is>
          <t>Ödenecek Ssk Primleri</t>
        </is>
      </c>
      <c r="C2281" s="40" t="inlineStr">
        <is>
          <t>TRY</t>
        </is>
      </c>
      <c r="D2281" s="40" t="inlineStr">
        <is>
          <t>GİTAŞ MERKEZ</t>
        </is>
      </c>
      <c r="E2281" s="38" t="n">
        <v>5743880.49</v>
      </c>
      <c r="F2281" s="38" t="n">
        <v>0</v>
      </c>
      <c r="G2281" s="38" t="n">
        <v>5743880.49</v>
      </c>
      <c r="H2281" s="40" t="inlineStr">
        <is>
          <t>Borç</t>
        </is>
      </c>
      <c r="I2281" s="38" t="n">
        <v>5743880.49</v>
      </c>
      <c r="J2281" s="38" t="n">
        <v>0</v>
      </c>
      <c r="K2281" s="38" t="n">
        <v>5743880.49</v>
      </c>
      <c r="L2281" s="40" t="inlineStr">
        <is>
          <t>Borç</t>
        </is>
      </c>
    </row>
    <row r="2282" s="34">
      <c r="A2282" s="40" t="inlineStr">
        <is>
          <t>361.01.01.0001</t>
        </is>
      </c>
      <c r="B2282" s="40" t="inlineStr">
        <is>
          <t>Ödenecek Ssk Primleri</t>
        </is>
      </c>
      <c r="C2282" s="40" t="inlineStr">
        <is>
          <t>TRY</t>
        </is>
      </c>
      <c r="D2282" s="40" t="inlineStr">
        <is>
          <t>ROYAL ADAM EVE</t>
        </is>
      </c>
      <c r="E2282" s="38" t="n">
        <v>4891056.43</v>
      </c>
      <c r="F2282" s="38" t="n">
        <v>0</v>
      </c>
      <c r="G2282" s="38" t="n">
        <v>4891056.43</v>
      </c>
      <c r="H2282" s="40" t="inlineStr">
        <is>
          <t>Borç</t>
        </is>
      </c>
      <c r="I2282" s="38" t="n">
        <v>4891056.43</v>
      </c>
      <c r="J2282" s="38" t="n">
        <v>0</v>
      </c>
      <c r="K2282" s="38" t="n">
        <v>4891056.43</v>
      </c>
      <c r="L2282" s="40" t="inlineStr">
        <is>
          <t>Borç</t>
        </is>
      </c>
    </row>
    <row r="2283" s="34">
      <c r="A2283" s="40" t="inlineStr">
        <is>
          <t>361.01.01.0001</t>
        </is>
      </c>
      <c r="B2283" s="40" t="inlineStr">
        <is>
          <t>Ödenecek Ssk Primleri</t>
        </is>
      </c>
      <c r="C2283" s="40" t="inlineStr">
        <is>
          <t>TRY</t>
        </is>
      </c>
      <c r="D2283" s="40" t="inlineStr">
        <is>
          <t>SERTAŞ MERKEZ</t>
        </is>
      </c>
      <c r="E2283" s="38" t="n">
        <v>12514376.35</v>
      </c>
      <c r="F2283" s="38" t="n">
        <v>0</v>
      </c>
      <c r="G2283" s="38" t="n">
        <v>12514376.35</v>
      </c>
      <c r="H2283" s="40" t="inlineStr">
        <is>
          <t>Borç</t>
        </is>
      </c>
      <c r="I2283" s="38" t="n">
        <v>12514376.35</v>
      </c>
      <c r="J2283" s="38" t="n">
        <v>0</v>
      </c>
      <c r="K2283" s="38" t="n">
        <v>12514376.35</v>
      </c>
      <c r="L2283" s="40" t="inlineStr">
        <is>
          <t>Borç</t>
        </is>
      </c>
    </row>
    <row r="2284" s="34">
      <c r="A2284" s="40" t="inlineStr">
        <is>
          <t>361.01.01.0002</t>
        </is>
      </c>
      <c r="B2284" s="40" t="inlineStr">
        <is>
          <t>Ödenecek Sgd Primleri</t>
        </is>
      </c>
      <c r="C2284" s="40" t="inlineStr">
        <is>
          <t>TRY</t>
        </is>
      </c>
      <c r="D2284" s="40" t="inlineStr">
        <is>
          <t>GİTAŞ MERKEZ</t>
        </is>
      </c>
      <c r="E2284" s="38" t="n">
        <v>1746403.19</v>
      </c>
      <c r="F2284" s="38" t="n">
        <v>0</v>
      </c>
      <c r="G2284" s="38" t="n">
        <v>1746403.19</v>
      </c>
      <c r="H2284" s="40" t="inlineStr">
        <is>
          <t>Borç</t>
        </is>
      </c>
      <c r="I2284" s="38" t="n">
        <v>1746403.19</v>
      </c>
      <c r="J2284" s="38" t="n">
        <v>0</v>
      </c>
      <c r="K2284" s="38" t="n">
        <v>1746403.19</v>
      </c>
      <c r="L2284" s="40" t="inlineStr">
        <is>
          <t>Borç</t>
        </is>
      </c>
    </row>
    <row r="2285" s="34">
      <c r="A2285" s="40" t="inlineStr">
        <is>
          <t>361.01.01.0002</t>
        </is>
      </c>
      <c r="B2285" s="40" t="inlineStr">
        <is>
          <t>Ödenecek Sgd Primleri</t>
        </is>
      </c>
      <c r="C2285" s="40" t="inlineStr">
        <is>
          <t>TRY</t>
        </is>
      </c>
      <c r="D2285" s="40" t="inlineStr">
        <is>
          <t>ROYAL ADAM EVE</t>
        </is>
      </c>
      <c r="E2285" s="38" t="n">
        <v>864624.3100000001</v>
      </c>
      <c r="F2285" s="38" t="n">
        <v>0</v>
      </c>
      <c r="G2285" s="38" t="n">
        <v>864624.3100000001</v>
      </c>
      <c r="H2285" s="40" t="inlineStr">
        <is>
          <t>Borç</t>
        </is>
      </c>
      <c r="I2285" s="38" t="n">
        <v>864624.3100000001</v>
      </c>
      <c r="J2285" s="38" t="n">
        <v>0</v>
      </c>
      <c r="K2285" s="38" t="n">
        <v>864624.3100000001</v>
      </c>
      <c r="L2285" s="40" t="inlineStr">
        <is>
          <t>Borç</t>
        </is>
      </c>
    </row>
    <row r="2286" s="34">
      <c r="A2286" s="40" t="inlineStr">
        <is>
          <t>361.01.01.0002</t>
        </is>
      </c>
      <c r="B2286" s="40" t="inlineStr">
        <is>
          <t>Ödenecek Sgd Primleri</t>
        </is>
      </c>
      <c r="C2286" s="40" t="inlineStr">
        <is>
          <t>TRY</t>
        </is>
      </c>
      <c r="D2286" s="40" t="inlineStr">
        <is>
          <t>SERTAŞ MERKEZ</t>
        </is>
      </c>
      <c r="E2286" s="38" t="n">
        <v>3510061.31</v>
      </c>
      <c r="F2286" s="38" t="n">
        <v>0</v>
      </c>
      <c r="G2286" s="38" t="n">
        <v>3510061.31</v>
      </c>
      <c r="H2286" s="40" t="inlineStr">
        <is>
          <t>Borç</t>
        </is>
      </c>
      <c r="I2286" s="38" t="n">
        <v>3510061.31</v>
      </c>
      <c r="J2286" s="38" t="n">
        <v>0</v>
      </c>
      <c r="K2286" s="38" t="n">
        <v>3510061.31</v>
      </c>
      <c r="L2286" s="40" t="inlineStr">
        <is>
          <t>Borç</t>
        </is>
      </c>
    </row>
    <row r="2287" s="34">
      <c r="A2287" s="40" t="inlineStr">
        <is>
          <t>361.01.01.0003</t>
        </is>
      </c>
      <c r="B2287" s="40" t="inlineStr">
        <is>
          <t>Ödenecek İşsizlik Primleri</t>
        </is>
      </c>
      <c r="C2287" s="40" t="inlineStr">
        <is>
          <t>TRY</t>
        </is>
      </c>
      <c r="D2287" s="40" t="inlineStr">
        <is>
          <t>GİTAŞ MERKEZ</t>
        </is>
      </c>
      <c r="E2287" s="38" t="n">
        <v>519742.73</v>
      </c>
      <c r="F2287" s="38" t="n">
        <v>0</v>
      </c>
      <c r="G2287" s="38" t="n">
        <v>519742.73</v>
      </c>
      <c r="H2287" s="40" t="inlineStr">
        <is>
          <t>Borç</t>
        </is>
      </c>
      <c r="I2287" s="38" t="n">
        <v>519742.73</v>
      </c>
      <c r="J2287" s="38" t="n">
        <v>0</v>
      </c>
      <c r="K2287" s="38" t="n">
        <v>519742.73</v>
      </c>
      <c r="L2287" s="40" t="inlineStr">
        <is>
          <t>Borç</t>
        </is>
      </c>
    </row>
    <row r="2288" s="34">
      <c r="A2288" s="40" t="inlineStr">
        <is>
          <t>361.01.01.0003</t>
        </is>
      </c>
      <c r="B2288" s="40" t="inlineStr">
        <is>
          <t>Ödenecek İşsizlik Primleri</t>
        </is>
      </c>
      <c r="C2288" s="40" t="inlineStr">
        <is>
          <t>TRY</t>
        </is>
      </c>
      <c r="D2288" s="40" t="inlineStr">
        <is>
          <t>ROYAL ADAM EVE</t>
        </is>
      </c>
      <c r="E2288" s="38" t="n">
        <v>447863.14</v>
      </c>
      <c r="F2288" s="38" t="n">
        <v>0</v>
      </c>
      <c r="G2288" s="38" t="n">
        <v>447863.14</v>
      </c>
      <c r="H2288" s="40" t="inlineStr">
        <is>
          <t>Borç</t>
        </is>
      </c>
      <c r="I2288" s="38" t="n">
        <v>447863.14</v>
      </c>
      <c r="J2288" s="38" t="n">
        <v>0</v>
      </c>
      <c r="K2288" s="38" t="n">
        <v>447863.14</v>
      </c>
      <c r="L2288" s="40" t="inlineStr">
        <is>
          <t>Borç</t>
        </is>
      </c>
    </row>
    <row r="2289" s="34">
      <c r="A2289" s="40" t="inlineStr">
        <is>
          <t>361.01.01.0003</t>
        </is>
      </c>
      <c r="B2289" s="40" t="inlineStr">
        <is>
          <t>Ödenecek İşsizlik Primleri</t>
        </is>
      </c>
      <c r="C2289" s="40" t="inlineStr">
        <is>
          <t>TRY</t>
        </is>
      </c>
      <c r="D2289" s="40" t="inlineStr">
        <is>
          <t>SERTAŞ MERKEZ</t>
        </is>
      </c>
      <c r="E2289" s="38" t="n">
        <v>1136722.22</v>
      </c>
      <c r="F2289" s="38" t="n">
        <v>0</v>
      </c>
      <c r="G2289" s="38" t="n">
        <v>1136722.22</v>
      </c>
      <c r="H2289" s="40" t="inlineStr">
        <is>
          <t>Borç</t>
        </is>
      </c>
      <c r="I2289" s="38" t="n">
        <v>1136722.22</v>
      </c>
      <c r="J2289" s="38" t="n">
        <v>0</v>
      </c>
      <c r="K2289" s="38" t="n">
        <v>1136722.22</v>
      </c>
      <c r="L2289" s="40" t="inlineStr">
        <is>
          <t>Borç</t>
        </is>
      </c>
    </row>
    <row r="2290" s="34">
      <c r="A2290" s="40" t="inlineStr">
        <is>
          <t>361.01.01.0004</t>
        </is>
      </c>
      <c r="B2290" s="40" t="inlineStr">
        <is>
          <t>Ödenecek Engelli Ssk Primleri</t>
        </is>
      </c>
      <c r="C2290" s="40" t="inlineStr">
        <is>
          <t>TRY</t>
        </is>
      </c>
      <c r="D2290" s="40" t="inlineStr">
        <is>
          <t>ROYAL ADAM EVE</t>
        </is>
      </c>
      <c r="E2290" s="38" t="n">
        <v>29400.1</v>
      </c>
      <c r="F2290" s="38" t="n">
        <v>0</v>
      </c>
      <c r="G2290" s="38" t="n">
        <v>29400.1</v>
      </c>
      <c r="H2290" s="40" t="inlineStr">
        <is>
          <t>Borç</t>
        </is>
      </c>
      <c r="I2290" s="38" t="n">
        <v>29400.1</v>
      </c>
      <c r="J2290" s="38" t="n">
        <v>0</v>
      </c>
      <c r="K2290" s="38" t="n">
        <v>29400.1</v>
      </c>
      <c r="L2290" s="40" t="inlineStr">
        <is>
          <t>Borç</t>
        </is>
      </c>
    </row>
    <row r="2291" s="34">
      <c r="A2291" s="40" t="inlineStr">
        <is>
          <t>369</t>
        </is>
      </c>
      <c r="B2291" s="40" t="inlineStr">
        <is>
          <t>ÖDENECEK DİĞER YÜKÜMLÜLÜKLER HESABI</t>
        </is>
      </c>
      <c r="C2291" s="40" t="inlineStr">
        <is>
          <t>TRY</t>
        </is>
      </c>
      <c r="E2291" s="38" t="n">
        <v>1128040</v>
      </c>
      <c r="F2291" s="38" t="n">
        <v>0</v>
      </c>
      <c r="G2291" s="38" t="n">
        <v>1128040</v>
      </c>
      <c r="I2291" s="38" t="n">
        <v>1128040</v>
      </c>
      <c r="J2291" s="38" t="n">
        <v>0</v>
      </c>
      <c r="K2291" s="38" t="n">
        <v>1128040</v>
      </c>
    </row>
    <row r="2292" s="34">
      <c r="A2292" s="40" t="inlineStr">
        <is>
          <t>369.01</t>
        </is>
      </c>
      <c r="B2292" s="40" t="inlineStr">
        <is>
          <t>ÖDENECEK DİĞER YÜKÜMLÜLÜKLER HESABI</t>
        </is>
      </c>
      <c r="C2292" s="40" t="inlineStr">
        <is>
          <t>TRY</t>
        </is>
      </c>
      <c r="E2292" s="38" t="n">
        <v>1128040</v>
      </c>
      <c r="F2292" s="38" t="n">
        <v>0</v>
      </c>
      <c r="G2292" s="38" t="n">
        <v>1128040</v>
      </c>
      <c r="I2292" s="38" t="n">
        <v>1128040</v>
      </c>
      <c r="J2292" s="38" t="n">
        <v>0</v>
      </c>
      <c r="K2292" s="38" t="n">
        <v>1128040</v>
      </c>
    </row>
    <row r="2293" s="34">
      <c r="A2293" s="40" t="inlineStr">
        <is>
          <t>369.01.01</t>
        </is>
      </c>
      <c r="B2293" s="40" t="inlineStr">
        <is>
          <t>ÖDENECEK DİĞER YÜKÜMLÜLÜKLER HESABI</t>
        </is>
      </c>
      <c r="C2293" s="40" t="inlineStr">
        <is>
          <t>TRY</t>
        </is>
      </c>
      <c r="E2293" s="38" t="n">
        <v>1128040</v>
      </c>
      <c r="F2293" s="38" t="n">
        <v>0</v>
      </c>
      <c r="G2293" s="38" t="n">
        <v>1128040</v>
      </c>
      <c r="I2293" s="38" t="n">
        <v>1128040</v>
      </c>
      <c r="J2293" s="38" t="n">
        <v>0</v>
      </c>
      <c r="K2293" s="38" t="n">
        <v>1128040</v>
      </c>
    </row>
    <row r="2294" s="34">
      <c r="A2294" s="40" t="inlineStr">
        <is>
          <t>369.01.01.0001</t>
        </is>
      </c>
      <c r="B2294" s="40" t="inlineStr">
        <is>
          <t>Ödenecek Zorunlu BES Kesintileri</t>
        </is>
      </c>
      <c r="C2294" s="40" t="inlineStr">
        <is>
          <t>TRY</t>
        </is>
      </c>
      <c r="D2294" s="40" t="inlineStr">
        <is>
          <t>GİTAŞ MERKEZ</t>
        </is>
      </c>
      <c r="E2294" s="38" t="n">
        <v>441540</v>
      </c>
      <c r="F2294" s="38" t="n">
        <v>0</v>
      </c>
      <c r="G2294" s="38" t="n">
        <v>441540</v>
      </c>
      <c r="H2294" s="40" t="inlineStr">
        <is>
          <t>Borç</t>
        </is>
      </c>
      <c r="I2294" s="38" t="n">
        <v>441540</v>
      </c>
      <c r="J2294" s="38" t="n">
        <v>0</v>
      </c>
      <c r="K2294" s="38" t="n">
        <v>441540</v>
      </c>
      <c r="L2294" s="40" t="inlineStr">
        <is>
          <t>Borç</t>
        </is>
      </c>
    </row>
    <row r="2295" s="34">
      <c r="A2295" s="40" t="inlineStr">
        <is>
          <t>369.01.01.0001</t>
        </is>
      </c>
      <c r="B2295" s="40" t="inlineStr">
        <is>
          <t>Ödenecek Zorunlu BES Kesintileri</t>
        </is>
      </c>
      <c r="C2295" s="40" t="inlineStr">
        <is>
          <t>TRY</t>
        </is>
      </c>
      <c r="D2295" s="40" t="inlineStr">
        <is>
          <t>ROYAL ADAM EVE</t>
        </is>
      </c>
      <c r="E2295" s="38" t="n">
        <v>225734</v>
      </c>
      <c r="F2295" s="38" t="n">
        <v>0</v>
      </c>
      <c r="G2295" s="38" t="n">
        <v>225734</v>
      </c>
      <c r="H2295" s="40" t="inlineStr">
        <is>
          <t>Borç</t>
        </is>
      </c>
      <c r="I2295" s="38" t="n">
        <v>225734</v>
      </c>
      <c r="J2295" s="38" t="n">
        <v>0</v>
      </c>
      <c r="K2295" s="38" t="n">
        <v>225734</v>
      </c>
      <c r="L2295" s="40" t="inlineStr">
        <is>
          <t>Borç</t>
        </is>
      </c>
    </row>
    <row r="2296" s="34">
      <c r="A2296" s="40" t="inlineStr">
        <is>
          <t>369.01.01.0001</t>
        </is>
      </c>
      <c r="B2296" s="40" t="inlineStr">
        <is>
          <t>Ödenecek Zorunlu BES Kesintileri</t>
        </is>
      </c>
      <c r="C2296" s="40" t="inlineStr">
        <is>
          <t>TRY</t>
        </is>
      </c>
      <c r="D2296" s="40" t="inlineStr">
        <is>
          <t>SERTAŞ MERKEZ</t>
        </is>
      </c>
      <c r="E2296" s="38" t="n">
        <v>460766</v>
      </c>
      <c r="F2296" s="38" t="n">
        <v>0</v>
      </c>
      <c r="G2296" s="38" t="n">
        <v>460766</v>
      </c>
      <c r="H2296" s="40" t="inlineStr">
        <is>
          <t>Borç</t>
        </is>
      </c>
      <c r="I2296" s="38" t="n">
        <v>460766</v>
      </c>
      <c r="J2296" s="38" t="n">
        <v>0</v>
      </c>
      <c r="K2296" s="38" t="n">
        <v>460766</v>
      </c>
      <c r="L2296" s="40" t="inlineStr">
        <is>
          <t>Borç</t>
        </is>
      </c>
    </row>
    <row r="2297" s="34">
      <c r="A2297" s="40" t="inlineStr">
        <is>
          <t>38</t>
        </is>
      </c>
      <c r="B2297" s="40" t="inlineStr">
        <is>
          <t>GELECEK AYLAR GELİR/GİDER TAHAKKUK HESABI</t>
        </is>
      </c>
      <c r="C2297" s="40" t="inlineStr">
        <is>
          <t>TRY</t>
        </is>
      </c>
      <c r="E2297" s="38" t="n">
        <v>20701440.42</v>
      </c>
      <c r="F2297" s="38" t="n">
        <v>179279.5</v>
      </c>
      <c r="G2297" s="38" t="n">
        <v>20522160.92</v>
      </c>
      <c r="I2297" s="38" t="n">
        <v>20701440.42</v>
      </c>
      <c r="J2297" s="38" t="n">
        <v>179279.5</v>
      </c>
      <c r="K2297" s="38" t="n">
        <v>20522160.92</v>
      </c>
    </row>
    <row r="2298" s="34">
      <c r="A2298" s="40" t="inlineStr">
        <is>
          <t>381</t>
        </is>
      </c>
      <c r="B2298" s="40" t="inlineStr">
        <is>
          <t>DİĞER TAHAKKUKLAR HESABI</t>
        </is>
      </c>
      <c r="C2298" s="40" t="inlineStr">
        <is>
          <t>TRY</t>
        </is>
      </c>
      <c r="E2298" s="38" t="n">
        <v>20701440.42</v>
      </c>
      <c r="F2298" s="38" t="n">
        <v>179279.5</v>
      </c>
      <c r="G2298" s="38" t="n">
        <v>20522160.92</v>
      </c>
      <c r="I2298" s="38" t="n">
        <v>20701440.42</v>
      </c>
      <c r="J2298" s="38" t="n">
        <v>179279.5</v>
      </c>
      <c r="K2298" s="38" t="n">
        <v>20522160.92</v>
      </c>
    </row>
    <row r="2299" s="34">
      <c r="A2299" s="40" t="inlineStr">
        <is>
          <t>381.01</t>
        </is>
      </c>
      <c r="B2299" s="40" t="inlineStr">
        <is>
          <t>DİĞER TAHAKKUKLAR HESABI</t>
        </is>
      </c>
      <c r="C2299" s="40" t="inlineStr">
        <is>
          <t>TRY</t>
        </is>
      </c>
      <c r="E2299" s="38" t="n">
        <v>20701440.42</v>
      </c>
      <c r="F2299" s="38" t="n">
        <v>179279.5</v>
      </c>
      <c r="G2299" s="38" t="n">
        <v>20522160.92</v>
      </c>
      <c r="I2299" s="38" t="n">
        <v>20701440.42</v>
      </c>
      <c r="J2299" s="38" t="n">
        <v>179279.5</v>
      </c>
      <c r="K2299" s="38" t="n">
        <v>20522160.92</v>
      </c>
    </row>
    <row r="2300" s="34">
      <c r="A2300" s="40" t="inlineStr">
        <is>
          <t>381.01.01</t>
        </is>
      </c>
      <c r="B2300" s="40" t="inlineStr">
        <is>
          <t>DİĞER TAHAKKUKLAR HESABI</t>
        </is>
      </c>
      <c r="C2300" s="40" t="inlineStr">
        <is>
          <t>TRY</t>
        </is>
      </c>
      <c r="E2300" s="38" t="n">
        <v>20701440.42</v>
      </c>
      <c r="F2300" s="38" t="n">
        <v>179279.5</v>
      </c>
      <c r="G2300" s="38" t="n">
        <v>20522160.92</v>
      </c>
      <c r="I2300" s="38" t="n">
        <v>20701440.42</v>
      </c>
      <c r="J2300" s="38" t="n">
        <v>179279.5</v>
      </c>
      <c r="K2300" s="38" t="n">
        <v>20522160.92</v>
      </c>
    </row>
    <row r="2301" s="34">
      <c r="A2301" s="40" t="inlineStr">
        <is>
          <t>381.01.01.0001</t>
        </is>
      </c>
      <c r="B2301" s="40" t="inlineStr">
        <is>
          <t>Emlak Vergisi</t>
        </is>
      </c>
      <c r="C2301" s="40" t="inlineStr">
        <is>
          <t>TRY</t>
        </is>
      </c>
      <c r="D2301" s="40" t="inlineStr">
        <is>
          <t>GİTAŞ MERKEZ</t>
        </is>
      </c>
      <c r="E2301" s="38" t="n">
        <v>6764029.1</v>
      </c>
      <c r="F2301" s="38" t="n">
        <v>0</v>
      </c>
      <c r="G2301" s="38" t="n">
        <v>6764029.1</v>
      </c>
      <c r="H2301" s="40" t="inlineStr">
        <is>
          <t>Borç</t>
        </is>
      </c>
      <c r="I2301" s="38" t="n">
        <v>6764029.1</v>
      </c>
      <c r="J2301" s="38" t="n">
        <v>0</v>
      </c>
      <c r="K2301" s="38" t="n">
        <v>6764029.1</v>
      </c>
      <c r="L2301" s="40" t="inlineStr">
        <is>
          <t>Borç</t>
        </is>
      </c>
    </row>
    <row r="2302" s="34">
      <c r="A2302" s="40" t="inlineStr">
        <is>
          <t>381.01.01.0001</t>
        </is>
      </c>
      <c r="B2302" s="40" t="inlineStr">
        <is>
          <t>Emlak Vergisi</t>
        </is>
      </c>
      <c r="C2302" s="40" t="inlineStr">
        <is>
          <t>TRY</t>
        </is>
      </c>
      <c r="D2302" s="40" t="inlineStr">
        <is>
          <t>ROYAL ADAM EVE</t>
        </is>
      </c>
      <c r="E2302" s="38" t="n">
        <v>3725314</v>
      </c>
      <c r="F2302" s="38" t="n">
        <v>0</v>
      </c>
      <c r="G2302" s="38" t="n">
        <v>3725314</v>
      </c>
      <c r="H2302" s="40" t="inlineStr">
        <is>
          <t>Borç</t>
        </is>
      </c>
      <c r="I2302" s="38" t="n">
        <v>3725314</v>
      </c>
      <c r="J2302" s="38" t="n">
        <v>0</v>
      </c>
      <c r="K2302" s="38" t="n">
        <v>3725314</v>
      </c>
      <c r="L2302" s="40" t="inlineStr">
        <is>
          <t>Borç</t>
        </is>
      </c>
    </row>
    <row r="2303" s="34">
      <c r="A2303" s="40" t="inlineStr">
        <is>
          <t>381.01.01.0001</t>
        </is>
      </c>
      <c r="B2303" s="40" t="inlineStr">
        <is>
          <t>Emlak Vergisi</t>
        </is>
      </c>
      <c r="C2303" s="40" t="inlineStr">
        <is>
          <t>TRY</t>
        </is>
      </c>
      <c r="D2303" s="40" t="inlineStr">
        <is>
          <t>SERTAŞ MERKEZ</t>
        </is>
      </c>
      <c r="E2303" s="38" t="n">
        <v>9689258.199999999</v>
      </c>
      <c r="F2303" s="38" t="n">
        <v>0</v>
      </c>
      <c r="G2303" s="38" t="n">
        <v>9689258.199999999</v>
      </c>
      <c r="H2303" s="40" t="inlineStr">
        <is>
          <t>Borç</t>
        </is>
      </c>
      <c r="I2303" s="38" t="n">
        <v>9689258.199999999</v>
      </c>
      <c r="J2303" s="38" t="n">
        <v>0</v>
      </c>
      <c r="K2303" s="38" t="n">
        <v>9689258.199999999</v>
      </c>
      <c r="L2303" s="40" t="inlineStr">
        <is>
          <t>Borç</t>
        </is>
      </c>
    </row>
    <row r="2304" s="34">
      <c r="A2304" s="40" t="inlineStr">
        <is>
          <t>381.01.01.0002</t>
        </is>
      </c>
      <c r="B2304" s="40" t="inlineStr">
        <is>
          <t>Motorlu TaşıTLar Vergisi Gider Tahakkuku</t>
        </is>
      </c>
      <c r="C2304" s="40" t="inlineStr">
        <is>
          <t>TRY</t>
        </is>
      </c>
      <c r="D2304" s="40" t="inlineStr">
        <is>
          <t>GİTAŞ MERKEZ</t>
        </is>
      </c>
      <c r="E2304" s="38" t="n">
        <v>0</v>
      </c>
      <c r="F2304" s="38" t="n">
        <v>25163.5</v>
      </c>
      <c r="G2304" s="38" t="n">
        <v>-25163.5</v>
      </c>
      <c r="H2304" s="40" t="inlineStr">
        <is>
          <t>Alacak</t>
        </is>
      </c>
      <c r="I2304" s="38" t="n">
        <v>0</v>
      </c>
      <c r="J2304" s="38" t="n">
        <v>25163.5</v>
      </c>
      <c r="K2304" s="38" t="n">
        <v>-25163.5</v>
      </c>
      <c r="L2304" s="40" t="inlineStr">
        <is>
          <t>Alacak</t>
        </is>
      </c>
    </row>
    <row r="2305" s="34">
      <c r="A2305" s="40" t="inlineStr">
        <is>
          <t>381.01.01.0002</t>
        </is>
      </c>
      <c r="B2305" s="40" t="inlineStr">
        <is>
          <t>Motorlu TaşıTLar Vergisi Gider Tahakkuku</t>
        </is>
      </c>
      <c r="C2305" s="40" t="inlineStr">
        <is>
          <t>TRY</t>
        </is>
      </c>
      <c r="D2305" s="40" t="inlineStr">
        <is>
          <t>SERTAŞ MERKEZ</t>
        </is>
      </c>
      <c r="E2305" s="38" t="n">
        <v>0</v>
      </c>
      <c r="F2305" s="38" t="n">
        <v>148703.5</v>
      </c>
      <c r="G2305" s="38" t="n">
        <v>-148703.5</v>
      </c>
      <c r="H2305" s="40" t="inlineStr">
        <is>
          <t>Alacak</t>
        </is>
      </c>
      <c r="I2305" s="38" t="n">
        <v>0</v>
      </c>
      <c r="J2305" s="38" t="n">
        <v>148703.5</v>
      </c>
      <c r="K2305" s="38" t="n">
        <v>-148703.5</v>
      </c>
      <c r="L2305" s="40" t="inlineStr">
        <is>
          <t>Alacak</t>
        </is>
      </c>
    </row>
    <row r="2306" s="34">
      <c r="A2306" s="40" t="inlineStr">
        <is>
          <t>381.01.01.0003</t>
        </is>
      </c>
      <c r="B2306" s="40" t="inlineStr">
        <is>
          <t>Kültür Varlıkları Katkı Payı Gider Tahakkuku</t>
        </is>
      </c>
      <c r="C2306" s="40" t="inlineStr">
        <is>
          <t>TRY</t>
        </is>
      </c>
      <c r="D2306" s="40" t="inlineStr">
        <is>
          <t>ROYAL ADAM EVE</t>
        </is>
      </c>
      <c r="E2306" s="38" t="n">
        <v>372531.4</v>
      </c>
      <c r="F2306" s="38" t="n">
        <v>0</v>
      </c>
      <c r="G2306" s="38" t="n">
        <v>372531.4</v>
      </c>
      <c r="H2306" s="40" t="inlineStr">
        <is>
          <t>Borç</t>
        </is>
      </c>
      <c r="I2306" s="38" t="n">
        <v>372531.4</v>
      </c>
      <c r="J2306" s="38" t="n">
        <v>0</v>
      </c>
      <c r="K2306" s="38" t="n">
        <v>372531.4</v>
      </c>
      <c r="L2306" s="40" t="inlineStr">
        <is>
          <t>Borç</t>
        </is>
      </c>
    </row>
    <row r="2307" s="34">
      <c r="A2307" s="40" t="inlineStr">
        <is>
          <t>381.01.01.0003</t>
        </is>
      </c>
      <c r="B2307" s="40" t="inlineStr">
        <is>
          <t>Kültür Varlıkları Katkı Payı Gider Tahakkuku</t>
        </is>
      </c>
      <c r="C2307" s="40" t="inlineStr">
        <is>
          <t>TRY</t>
        </is>
      </c>
      <c r="D2307" s="40" t="inlineStr">
        <is>
          <t>SERTAŞ MERKEZ</t>
        </is>
      </c>
      <c r="E2307" s="38" t="n">
        <v>63438.6</v>
      </c>
      <c r="F2307" s="38" t="n">
        <v>0</v>
      </c>
      <c r="G2307" s="38" t="n">
        <v>63438.6</v>
      </c>
      <c r="H2307" s="40" t="inlineStr">
        <is>
          <t>Borç</t>
        </is>
      </c>
      <c r="I2307" s="38" t="n">
        <v>63438.6</v>
      </c>
      <c r="J2307" s="38" t="n">
        <v>0</v>
      </c>
      <c r="K2307" s="38" t="n">
        <v>63438.6</v>
      </c>
      <c r="L2307" s="40" t="inlineStr">
        <is>
          <t>Borç</t>
        </is>
      </c>
    </row>
    <row r="2308" s="34">
      <c r="A2308" s="40" t="inlineStr">
        <is>
          <t>381.01.01.0004</t>
        </is>
      </c>
      <c r="B2308" s="40" t="inlineStr">
        <is>
          <t>Çevre Temizlik Vergisi Gider Tahakkuku</t>
        </is>
      </c>
      <c r="C2308" s="40" t="inlineStr">
        <is>
          <t>TRY</t>
        </is>
      </c>
      <c r="D2308" s="40" t="inlineStr">
        <is>
          <t>ROYAL ADAM EVE</t>
        </is>
      </c>
      <c r="E2308" s="38" t="n">
        <v>31875</v>
      </c>
      <c r="F2308" s="38" t="n">
        <v>0</v>
      </c>
      <c r="G2308" s="38" t="n">
        <v>31875</v>
      </c>
      <c r="H2308" s="40" t="inlineStr">
        <is>
          <t>Borç</t>
        </is>
      </c>
      <c r="I2308" s="38" t="n">
        <v>31875</v>
      </c>
      <c r="J2308" s="38" t="n">
        <v>0</v>
      </c>
      <c r="K2308" s="38" t="n">
        <v>31875</v>
      </c>
      <c r="L2308" s="40" t="inlineStr">
        <is>
          <t>Borç</t>
        </is>
      </c>
    </row>
    <row r="2309" s="34">
      <c r="A2309" s="40" t="inlineStr">
        <is>
          <t>381.01.01.0004</t>
        </is>
      </c>
      <c r="B2309" s="40" t="inlineStr">
        <is>
          <t>Çevre Temizlik Vergisi Gider Tahakkuku</t>
        </is>
      </c>
      <c r="C2309" s="40" t="inlineStr">
        <is>
          <t>TRY</t>
        </is>
      </c>
      <c r="D2309" s="40" t="inlineStr">
        <is>
          <t>SERTAŞ MERKEZ</t>
        </is>
      </c>
      <c r="E2309" s="38" t="n">
        <v>21875</v>
      </c>
      <c r="F2309" s="38" t="n">
        <v>0</v>
      </c>
      <c r="G2309" s="38" t="n">
        <v>21875</v>
      </c>
      <c r="H2309" s="40" t="inlineStr">
        <is>
          <t>Borç</t>
        </is>
      </c>
      <c r="I2309" s="38" t="n">
        <v>21875</v>
      </c>
      <c r="J2309" s="38" t="n">
        <v>0</v>
      </c>
      <c r="K2309" s="38" t="n">
        <v>21875</v>
      </c>
      <c r="L2309" s="40" t="inlineStr">
        <is>
          <t>Borç</t>
        </is>
      </c>
    </row>
    <row r="2310" s="34">
      <c r="A2310" s="40" t="inlineStr">
        <is>
          <t>381.01.01.0005</t>
        </is>
      </c>
      <c r="B2310" s="40" t="inlineStr">
        <is>
          <t>İlan Ve Reklam Vergisi Gider Tahakkuku</t>
        </is>
      </c>
      <c r="C2310" s="40" t="inlineStr">
        <is>
          <t>TRY</t>
        </is>
      </c>
      <c r="D2310" s="40" t="inlineStr">
        <is>
          <t>SERTAŞ MERKEZ</t>
        </is>
      </c>
      <c r="E2310" s="38" t="n">
        <v>2037.5</v>
      </c>
      <c r="F2310" s="38" t="n">
        <v>5412.5</v>
      </c>
      <c r="G2310" s="38" t="n">
        <v>-3375</v>
      </c>
      <c r="H2310" s="40" t="inlineStr">
        <is>
          <t>Alacak</t>
        </is>
      </c>
      <c r="I2310" s="38" t="n">
        <v>2037.5</v>
      </c>
      <c r="J2310" s="38" t="n">
        <v>5412.5</v>
      </c>
      <c r="K2310" s="38" t="n">
        <v>-3375</v>
      </c>
      <c r="L2310" s="40" t="inlineStr">
        <is>
          <t>Alacak</t>
        </is>
      </c>
    </row>
    <row r="2311" s="34">
      <c r="A2311" s="40" t="inlineStr">
        <is>
          <t>381.01.01.0010</t>
        </is>
      </c>
      <c r="B2311" s="40" t="inlineStr">
        <is>
          <t>Milli Emlak Hasılat Payı Tahakkuku</t>
        </is>
      </c>
      <c r="C2311" s="40" t="inlineStr">
        <is>
          <t>TRY</t>
        </is>
      </c>
      <c r="D2311" s="40" t="inlineStr">
        <is>
          <t>ROYAL ADAM EVE</t>
        </is>
      </c>
      <c r="E2311" s="38" t="n">
        <v>31081.62</v>
      </c>
      <c r="F2311" s="38" t="n">
        <v>0</v>
      </c>
      <c r="G2311" s="38" t="n">
        <v>31081.62</v>
      </c>
      <c r="H2311" s="40" t="inlineStr">
        <is>
          <t>Borç</t>
        </is>
      </c>
      <c r="I2311" s="38" t="n">
        <v>31081.62</v>
      </c>
      <c r="J2311" s="38" t="n">
        <v>0</v>
      </c>
      <c r="K2311" s="38" t="n">
        <v>31081.62</v>
      </c>
      <c r="L2311" s="40" t="inlineStr">
        <is>
          <t>Borç</t>
        </is>
      </c>
    </row>
    <row r="2312" s="34">
      <c r="A2312" s="40" t="inlineStr">
        <is>
          <t>39</t>
        </is>
      </c>
      <c r="B2312" s="40" t="inlineStr">
        <is>
          <t>DİĞER KISA VADELİ YABANCI KAYNAKLAR</t>
        </is>
      </c>
      <c r="C2312" s="40" t="inlineStr">
        <is>
          <t>TRY</t>
        </is>
      </c>
      <c r="E2312" s="38" t="n">
        <v>210694070.82</v>
      </c>
      <c r="F2312" s="38" t="n">
        <v>258155001.73</v>
      </c>
      <c r="G2312" s="38" t="n">
        <v>-47460930.91</v>
      </c>
      <c r="I2312" s="38" t="n">
        <v>210122608.92</v>
      </c>
      <c r="J2312" s="38" t="n">
        <v>257502680.65</v>
      </c>
      <c r="K2312" s="38" t="n">
        <v>-47380071.73</v>
      </c>
    </row>
    <row r="2313" s="34">
      <c r="A2313" s="40" t="inlineStr">
        <is>
          <t>391</t>
        </is>
      </c>
      <c r="B2313" s="40" t="inlineStr">
        <is>
          <t>HESAPLANAN KDV HESABI</t>
        </is>
      </c>
      <c r="C2313" s="40" t="inlineStr">
        <is>
          <t>TRY</t>
        </is>
      </c>
      <c r="E2313" s="38" t="n">
        <v>925.78</v>
      </c>
      <c r="F2313" s="38" t="n">
        <v>48128777.85</v>
      </c>
      <c r="G2313" s="38" t="n">
        <v>-48127852.07</v>
      </c>
      <c r="I2313" s="38" t="n">
        <v>925.78</v>
      </c>
      <c r="J2313" s="38" t="n">
        <v>48047918.67</v>
      </c>
      <c r="K2313" s="38" t="n">
        <v>-48046992.89</v>
      </c>
    </row>
    <row r="2314" s="34">
      <c r="A2314" s="40" t="inlineStr">
        <is>
          <t>391.01</t>
        </is>
      </c>
      <c r="B2314" s="40" t="inlineStr">
        <is>
          <t>HESAPLANAN KDV HESABI</t>
        </is>
      </c>
      <c r="C2314" s="40" t="inlineStr">
        <is>
          <t>TRY</t>
        </is>
      </c>
      <c r="E2314" s="38" t="n">
        <v>925.78</v>
      </c>
      <c r="F2314" s="38" t="n">
        <v>48128777.85</v>
      </c>
      <c r="G2314" s="38" t="n">
        <v>-48127852.07</v>
      </c>
      <c r="I2314" s="38" t="n">
        <v>925.78</v>
      </c>
      <c r="J2314" s="38" t="n">
        <v>48047918.67</v>
      </c>
      <c r="K2314" s="38" t="n">
        <v>-48046992.89</v>
      </c>
    </row>
    <row r="2315" s="34">
      <c r="A2315" s="40" t="inlineStr">
        <is>
          <t>391.01.01</t>
        </is>
      </c>
      <c r="B2315" s="40" t="inlineStr">
        <is>
          <t>HESAPLANAN KDV</t>
        </is>
      </c>
      <c r="C2315" s="40" t="inlineStr">
        <is>
          <t>TRY</t>
        </is>
      </c>
      <c r="E2315" s="38" t="n">
        <v>925.78</v>
      </c>
      <c r="F2315" s="38" t="n">
        <v>47835895.9</v>
      </c>
      <c r="G2315" s="38" t="n">
        <v>-47834970.12</v>
      </c>
      <c r="I2315" s="38" t="n">
        <v>925.78</v>
      </c>
      <c r="J2315" s="38" t="n">
        <v>47834734.36</v>
      </c>
      <c r="K2315" s="38" t="n">
        <v>-47833808.58</v>
      </c>
    </row>
    <row r="2316" s="34">
      <c r="A2316" s="40" t="inlineStr">
        <is>
          <t>391.01.01.0002</t>
        </is>
      </c>
      <c r="B2316" s="40" t="inlineStr">
        <is>
          <t>Hesaplanan Kdv %10</t>
        </is>
      </c>
      <c r="C2316" s="40" t="inlineStr">
        <is>
          <t>TRY</t>
        </is>
      </c>
      <c r="D2316" s="40" t="inlineStr">
        <is>
          <t>ROYAL ADAM EVE</t>
        </is>
      </c>
      <c r="E2316" s="38" t="n">
        <v>0</v>
      </c>
      <c r="F2316" s="38" t="n">
        <v>6141355.57</v>
      </c>
      <c r="G2316" s="38" t="n">
        <v>-6141355.57</v>
      </c>
      <c r="H2316" s="40" t="inlineStr">
        <is>
          <t>Alacak</t>
        </is>
      </c>
      <c r="I2316" s="38" t="n">
        <v>0</v>
      </c>
      <c r="J2316" s="38" t="n">
        <v>6140194.03</v>
      </c>
      <c r="K2316" s="38" t="n">
        <v>-6140194.03</v>
      </c>
      <c r="L2316" s="40" t="inlineStr">
        <is>
          <t>Alacak</t>
        </is>
      </c>
    </row>
    <row r="2317" s="34">
      <c r="A2317" s="40" t="inlineStr">
        <is>
          <t>391.01.01.0002</t>
        </is>
      </c>
      <c r="B2317" s="40" t="inlineStr">
        <is>
          <t>Hesaplanan Kdv %10</t>
        </is>
      </c>
      <c r="C2317" s="40" t="inlineStr">
        <is>
          <t>TRY</t>
        </is>
      </c>
      <c r="D2317" s="40" t="inlineStr">
        <is>
          <t>ROYAL ALHAMBRA</t>
        </is>
      </c>
      <c r="E2317" s="38" t="n">
        <v>375.49</v>
      </c>
      <c r="F2317" s="38" t="n">
        <v>7944031.77</v>
      </c>
      <c r="G2317" s="38" t="n">
        <v>-7943656.28</v>
      </c>
      <c r="H2317" s="40" t="inlineStr">
        <is>
          <t>Alacak</t>
        </is>
      </c>
      <c r="I2317" s="38" t="n">
        <v>375.49</v>
      </c>
      <c r="J2317" s="38" t="n">
        <v>7944031.77</v>
      </c>
      <c r="K2317" s="38" t="n">
        <v>-7943656.28</v>
      </c>
      <c r="L2317" s="40" t="inlineStr">
        <is>
          <t>Alacak</t>
        </is>
      </c>
    </row>
    <row r="2318" s="34">
      <c r="A2318" s="40" t="inlineStr">
        <is>
          <t>391.01.01.0002</t>
        </is>
      </c>
      <c r="B2318" s="40" t="inlineStr">
        <is>
          <t>Hesaplanan Kdv %10</t>
        </is>
      </c>
      <c r="C2318" s="40" t="inlineStr">
        <is>
          <t>TRY</t>
        </is>
      </c>
      <c r="D2318" s="40" t="inlineStr">
        <is>
          <t>ROYAL DRAGON</t>
        </is>
      </c>
      <c r="E2318" s="38" t="n">
        <v>0</v>
      </c>
      <c r="F2318" s="38" t="n">
        <v>7564753.71</v>
      </c>
      <c r="G2318" s="38" t="n">
        <v>-7564753.71</v>
      </c>
      <c r="H2318" s="40" t="inlineStr">
        <is>
          <t>Alacak</t>
        </is>
      </c>
      <c r="I2318" s="38" t="n">
        <v>0</v>
      </c>
      <c r="J2318" s="38" t="n">
        <v>7564753.71</v>
      </c>
      <c r="K2318" s="38" t="n">
        <v>-7564753.71</v>
      </c>
      <c r="L2318" s="40" t="inlineStr">
        <is>
          <t>Alacak</t>
        </is>
      </c>
    </row>
    <row r="2319" s="34">
      <c r="A2319" s="40" t="inlineStr">
        <is>
          <t>391.01.01.0002</t>
        </is>
      </c>
      <c r="B2319" s="40" t="inlineStr">
        <is>
          <t>Hesaplanan Kdv %10</t>
        </is>
      </c>
      <c r="C2319" s="40" t="inlineStr">
        <is>
          <t>TRY</t>
        </is>
      </c>
      <c r="D2319" s="40" t="inlineStr">
        <is>
          <t>ROYAL HOLIDAY</t>
        </is>
      </c>
      <c r="E2319" s="38" t="n">
        <v>0</v>
      </c>
      <c r="F2319" s="38" t="n">
        <v>12500435.53</v>
      </c>
      <c r="G2319" s="38" t="n">
        <v>-12500435.53</v>
      </c>
      <c r="H2319" s="40" t="inlineStr">
        <is>
          <t>Alacak</t>
        </is>
      </c>
      <c r="I2319" s="38" t="n">
        <v>0</v>
      </c>
      <c r="J2319" s="38" t="n">
        <v>12500435.53</v>
      </c>
      <c r="K2319" s="38" t="n">
        <v>-12500435.53</v>
      </c>
      <c r="L2319" s="40" t="inlineStr">
        <is>
          <t>Alacak</t>
        </is>
      </c>
    </row>
    <row r="2320" s="34">
      <c r="A2320" s="40" t="inlineStr">
        <is>
          <t>391.01.01.0002</t>
        </is>
      </c>
      <c r="B2320" s="40" t="inlineStr">
        <is>
          <t>Hesaplanan Kdv %10</t>
        </is>
      </c>
      <c r="C2320" s="40" t="inlineStr">
        <is>
          <t>TRY</t>
        </is>
      </c>
      <c r="D2320" s="40" t="inlineStr">
        <is>
          <t>ROYAL SEGINUS</t>
        </is>
      </c>
      <c r="E2320" s="38" t="n">
        <v>550.29</v>
      </c>
      <c r="F2320" s="38" t="n">
        <v>13017397.05</v>
      </c>
      <c r="G2320" s="38" t="n">
        <v>-13016846.76</v>
      </c>
      <c r="H2320" s="40" t="inlineStr">
        <is>
          <t>Alacak</t>
        </is>
      </c>
      <c r="I2320" s="38" t="n">
        <v>550.29</v>
      </c>
      <c r="J2320" s="38" t="n">
        <v>13017397.05</v>
      </c>
      <c r="K2320" s="38" t="n">
        <v>-13016846.76</v>
      </c>
      <c r="L2320" s="40" t="inlineStr">
        <is>
          <t>Alacak</t>
        </is>
      </c>
    </row>
    <row r="2321" s="34">
      <c r="A2321" s="40" t="inlineStr">
        <is>
          <t>391.01.01.0003</t>
        </is>
      </c>
      <c r="B2321" s="40" t="inlineStr">
        <is>
          <t>Hesaplanan Kdv %20</t>
        </is>
      </c>
      <c r="C2321" s="40" t="inlineStr">
        <is>
          <t>TRY</t>
        </is>
      </c>
      <c r="D2321" s="40" t="inlineStr">
        <is>
          <t>ROYAL ADAM EVE</t>
        </is>
      </c>
      <c r="E2321" s="38" t="n">
        <v>0</v>
      </c>
      <c r="F2321" s="38" t="n">
        <v>172470.23</v>
      </c>
      <c r="G2321" s="38" t="n">
        <v>-172470.23</v>
      </c>
      <c r="H2321" s="40" t="inlineStr">
        <is>
          <t>Alacak</t>
        </is>
      </c>
      <c r="I2321" s="38" t="n">
        <v>0</v>
      </c>
      <c r="J2321" s="38" t="n">
        <v>172470.23</v>
      </c>
      <c r="K2321" s="38" t="n">
        <v>-172470.23</v>
      </c>
      <c r="L2321" s="40" t="inlineStr">
        <is>
          <t>Alacak</t>
        </is>
      </c>
    </row>
    <row r="2322" s="34">
      <c r="A2322" s="40" t="inlineStr">
        <is>
          <t>391.01.01.0003</t>
        </is>
      </c>
      <c r="B2322" s="40" t="inlineStr">
        <is>
          <t>Hesaplanan Kdv %20</t>
        </is>
      </c>
      <c r="C2322" s="40" t="inlineStr">
        <is>
          <t>TRY</t>
        </is>
      </c>
      <c r="D2322" s="40" t="inlineStr">
        <is>
          <t>ROYAL ALHAMBRA</t>
        </is>
      </c>
      <c r="E2322" s="38" t="n">
        <v>0</v>
      </c>
      <c r="F2322" s="38" t="n">
        <v>7201.71</v>
      </c>
      <c r="G2322" s="38" t="n">
        <v>-7201.71</v>
      </c>
      <c r="H2322" s="40" t="inlineStr">
        <is>
          <t>Alacak</t>
        </is>
      </c>
      <c r="I2322" s="38" t="n">
        <v>0</v>
      </c>
      <c r="J2322" s="38" t="n">
        <v>7201.71</v>
      </c>
      <c r="K2322" s="38" t="n">
        <v>-7201.71</v>
      </c>
      <c r="L2322" s="40" t="inlineStr">
        <is>
          <t>Alacak</t>
        </is>
      </c>
    </row>
    <row r="2323" s="34">
      <c r="A2323" s="40" t="inlineStr">
        <is>
          <t>391.01.01.0003</t>
        </is>
      </c>
      <c r="B2323" s="40" t="inlineStr">
        <is>
          <t>Hesaplanan Kdv %20</t>
        </is>
      </c>
      <c r="C2323" s="40" t="inlineStr">
        <is>
          <t>TRY</t>
        </is>
      </c>
      <c r="D2323" s="40" t="inlineStr">
        <is>
          <t>ROYAL DRAGON</t>
        </is>
      </c>
      <c r="E2323" s="38" t="n">
        <v>0</v>
      </c>
      <c r="F2323" s="38" t="n">
        <v>7301.18</v>
      </c>
      <c r="G2323" s="38" t="n">
        <v>-7301.18</v>
      </c>
      <c r="H2323" s="40" t="inlineStr">
        <is>
          <t>Alacak</t>
        </is>
      </c>
      <c r="I2323" s="38" t="n">
        <v>0</v>
      </c>
      <c r="J2323" s="38" t="n">
        <v>7301.18</v>
      </c>
      <c r="K2323" s="38" t="n">
        <v>-7301.18</v>
      </c>
      <c r="L2323" s="40" t="inlineStr">
        <is>
          <t>Alacak</t>
        </is>
      </c>
    </row>
    <row r="2324" s="34">
      <c r="A2324" s="40" t="inlineStr">
        <is>
          <t>391.01.01.0003</t>
        </is>
      </c>
      <c r="B2324" s="40" t="inlineStr">
        <is>
          <t>Hesaplanan Kdv %20</t>
        </is>
      </c>
      <c r="C2324" s="40" t="inlineStr">
        <is>
          <t>TRY</t>
        </is>
      </c>
      <c r="D2324" s="40" t="inlineStr">
        <is>
          <t>ROYAL HOLIDAY</t>
        </is>
      </c>
      <c r="E2324" s="38" t="n">
        <v>0</v>
      </c>
      <c r="F2324" s="38" t="n">
        <v>27941.15</v>
      </c>
      <c r="G2324" s="38" t="n">
        <v>-27941.15</v>
      </c>
      <c r="H2324" s="40" t="inlineStr">
        <is>
          <t>Alacak</t>
        </is>
      </c>
      <c r="I2324" s="38" t="n">
        <v>0</v>
      </c>
      <c r="J2324" s="38" t="n">
        <v>27941.15</v>
      </c>
      <c r="K2324" s="38" t="n">
        <v>-27941.15</v>
      </c>
      <c r="L2324" s="40" t="inlineStr">
        <is>
          <t>Alacak</t>
        </is>
      </c>
    </row>
    <row r="2325" s="34">
      <c r="A2325" s="40" t="inlineStr">
        <is>
          <t>391.01.01.0003</t>
        </is>
      </c>
      <c r="B2325" s="40" t="inlineStr">
        <is>
          <t>Hesaplanan Kdv %20</t>
        </is>
      </c>
      <c r="C2325" s="40" t="inlineStr">
        <is>
          <t>TRY</t>
        </is>
      </c>
      <c r="D2325" s="40" t="inlineStr">
        <is>
          <t>ROYAL SEGINUS</t>
        </is>
      </c>
      <c r="E2325" s="38" t="n">
        <v>0</v>
      </c>
      <c r="F2325" s="38" t="n">
        <v>453008</v>
      </c>
      <c r="G2325" s="38" t="n">
        <v>-453008</v>
      </c>
      <c r="H2325" s="40" t="inlineStr">
        <is>
          <t>Alacak</t>
        </is>
      </c>
      <c r="I2325" s="38" t="n">
        <v>0</v>
      </c>
      <c r="J2325" s="38" t="n">
        <v>453008</v>
      </c>
      <c r="K2325" s="38" t="n">
        <v>-453008</v>
      </c>
      <c r="L2325" s="40" t="inlineStr">
        <is>
          <t>Alacak</t>
        </is>
      </c>
    </row>
    <row r="2326" s="34">
      <c r="A2326" s="40" t="inlineStr">
        <is>
          <t>391.01.03</t>
        </is>
      </c>
      <c r="B2326" s="40" t="inlineStr">
        <is>
          <t>ALISLARDAN İADE KDV</t>
        </is>
      </c>
      <c r="C2326" s="40" t="inlineStr">
        <is>
          <t>TRY</t>
        </is>
      </c>
      <c r="E2326" s="38" t="n">
        <v>0</v>
      </c>
      <c r="F2326" s="38" t="n">
        <v>291442.57</v>
      </c>
      <c r="G2326" s="38" t="n">
        <v>-291442.57</v>
      </c>
      <c r="I2326" s="38" t="n">
        <v>0</v>
      </c>
      <c r="J2326" s="38" t="n">
        <v>211744.93</v>
      </c>
      <c r="K2326" s="38" t="n">
        <v>-211744.93</v>
      </c>
    </row>
    <row r="2327" s="34">
      <c r="A2327" s="40" t="inlineStr">
        <is>
          <t>391.01.03.0001</t>
        </is>
      </c>
      <c r="B2327" s="40" t="inlineStr">
        <is>
          <t>Alislardan Iade Kdv %1</t>
        </is>
      </c>
      <c r="C2327" s="40" t="inlineStr">
        <is>
          <t>TRY</t>
        </is>
      </c>
      <c r="D2327" s="40" t="inlineStr">
        <is>
          <t>ROYAL ADAM EVE</t>
        </is>
      </c>
      <c r="E2327" s="38" t="n">
        <v>0</v>
      </c>
      <c r="F2327" s="38" t="n">
        <v>65.51000000000001</v>
      </c>
      <c r="G2327" s="38" t="n">
        <v>-65.51000000000001</v>
      </c>
      <c r="H2327" s="40" t="inlineStr">
        <is>
          <t>Alacak</t>
        </is>
      </c>
      <c r="I2327" s="38" t="n">
        <v>0</v>
      </c>
      <c r="J2327" s="38" t="n">
        <v>65.51000000000001</v>
      </c>
      <c r="K2327" s="38" t="n">
        <v>-65.51000000000001</v>
      </c>
      <c r="L2327" s="40" t="inlineStr">
        <is>
          <t>Alacak</t>
        </is>
      </c>
    </row>
    <row r="2328" s="34">
      <c r="A2328" s="40" t="inlineStr">
        <is>
          <t>391.01.03.0001</t>
        </is>
      </c>
      <c r="B2328" s="40" t="inlineStr">
        <is>
          <t>Alislardan Iade Kdv %1</t>
        </is>
      </c>
      <c r="C2328" s="40" t="inlineStr">
        <is>
          <t>TRY</t>
        </is>
      </c>
      <c r="D2328" s="40" t="inlineStr">
        <is>
          <t>ROYAL ALHAMBRA</t>
        </is>
      </c>
      <c r="E2328" s="38" t="n">
        <v>0</v>
      </c>
      <c r="F2328" s="38" t="n">
        <v>268.28</v>
      </c>
      <c r="G2328" s="38" t="n">
        <v>-268.28</v>
      </c>
      <c r="H2328" s="40" t="inlineStr">
        <is>
          <t>Alacak</t>
        </is>
      </c>
      <c r="I2328" s="38" t="n">
        <v>0</v>
      </c>
      <c r="J2328" s="38" t="n">
        <v>268.28</v>
      </c>
      <c r="K2328" s="38" t="n">
        <v>-268.28</v>
      </c>
      <c r="L2328" s="40" t="inlineStr">
        <is>
          <t>Alacak</t>
        </is>
      </c>
    </row>
    <row r="2329" s="34">
      <c r="A2329" s="40" t="inlineStr">
        <is>
          <t>391.01.03.0001</t>
        </is>
      </c>
      <c r="B2329" s="40" t="inlineStr">
        <is>
          <t>Alislardan Iade Kdv %1</t>
        </is>
      </c>
      <c r="C2329" s="40" t="inlineStr">
        <is>
          <t>TRY</t>
        </is>
      </c>
      <c r="D2329" s="40" t="inlineStr">
        <is>
          <t>ROYAL HOLIDAY</t>
        </is>
      </c>
      <c r="E2329" s="38" t="n">
        <v>0</v>
      </c>
      <c r="F2329" s="38" t="n">
        <v>122.55</v>
      </c>
      <c r="G2329" s="38" t="n">
        <v>-122.55</v>
      </c>
      <c r="H2329" s="40" t="inlineStr">
        <is>
          <t>Alacak</t>
        </is>
      </c>
      <c r="I2329" s="38" t="n">
        <v>0</v>
      </c>
      <c r="J2329" s="38" t="n">
        <v>122.55</v>
      </c>
      <c r="K2329" s="38" t="n">
        <v>-122.55</v>
      </c>
      <c r="L2329" s="40" t="inlineStr">
        <is>
          <t>Alacak</t>
        </is>
      </c>
    </row>
    <row r="2330" s="34">
      <c r="A2330" s="40" t="inlineStr">
        <is>
          <t>391.01.03.0001</t>
        </is>
      </c>
      <c r="B2330" s="40" t="inlineStr">
        <is>
          <t>Alislardan Iade Kdv %1</t>
        </is>
      </c>
      <c r="C2330" s="40" t="inlineStr">
        <is>
          <t>TRY</t>
        </is>
      </c>
      <c r="D2330" s="40" t="inlineStr">
        <is>
          <t>ROYAL SEGINUS</t>
        </is>
      </c>
      <c r="E2330" s="38" t="n">
        <v>0</v>
      </c>
      <c r="F2330" s="38" t="n">
        <v>281.6</v>
      </c>
      <c r="G2330" s="38" t="n">
        <v>-281.6</v>
      </c>
      <c r="H2330" s="40" t="inlineStr">
        <is>
          <t>Alacak</t>
        </is>
      </c>
      <c r="I2330" s="38" t="n">
        <v>0</v>
      </c>
      <c r="J2330" s="38" t="n">
        <v>281.6</v>
      </c>
      <c r="K2330" s="38" t="n">
        <v>-281.6</v>
      </c>
      <c r="L2330" s="40" t="inlineStr">
        <is>
          <t>Alacak</t>
        </is>
      </c>
    </row>
    <row r="2331" s="34">
      <c r="A2331" s="40" t="inlineStr">
        <is>
          <t>391.01.03.0003</t>
        </is>
      </c>
      <c r="B2331" s="40" t="inlineStr">
        <is>
          <t>Alislardan Iade Kdv %20</t>
        </is>
      </c>
      <c r="C2331" s="40" t="inlineStr">
        <is>
          <t>TRY</t>
        </is>
      </c>
      <c r="D2331" s="40" t="inlineStr">
        <is>
          <t>ROYAL DRAGON</t>
        </is>
      </c>
      <c r="E2331" s="38" t="n">
        <v>0</v>
      </c>
      <c r="F2331" s="38" t="n">
        <v>16796.74</v>
      </c>
      <c r="G2331" s="38" t="n">
        <v>-16796.74</v>
      </c>
      <c r="H2331" s="40" t="inlineStr">
        <is>
          <t>Alacak</t>
        </is>
      </c>
      <c r="I2331" s="38" t="n">
        <v>0</v>
      </c>
      <c r="J2331" s="38" t="n">
        <v>16796.74</v>
      </c>
      <c r="K2331" s="38" t="n">
        <v>-16796.74</v>
      </c>
      <c r="L2331" s="40" t="inlineStr">
        <is>
          <t>Alacak</t>
        </is>
      </c>
    </row>
    <row r="2332" s="34">
      <c r="A2332" s="40" t="inlineStr">
        <is>
          <t>391.01.03.0003</t>
        </is>
      </c>
      <c r="B2332" s="40" t="inlineStr">
        <is>
          <t>Alislardan Iade Kdv %20</t>
        </is>
      </c>
      <c r="C2332" s="40" t="inlineStr">
        <is>
          <t>TRY</t>
        </is>
      </c>
      <c r="D2332" s="40" t="inlineStr">
        <is>
          <t>ROYAL HOLIDAY</t>
        </is>
      </c>
      <c r="E2332" s="38" t="n">
        <v>0</v>
      </c>
      <c r="F2332" s="38" t="n">
        <v>18937.5</v>
      </c>
      <c r="G2332" s="38" t="n">
        <v>-18937.5</v>
      </c>
      <c r="H2332" s="40" t="inlineStr">
        <is>
          <t>Alacak</t>
        </is>
      </c>
      <c r="I2332" s="38" t="n">
        <v>0</v>
      </c>
      <c r="J2332" s="38" t="n">
        <v>18937.5</v>
      </c>
      <c r="K2332" s="38" t="n">
        <v>-18937.5</v>
      </c>
      <c r="L2332" s="40" t="inlineStr">
        <is>
          <t>Alacak</t>
        </is>
      </c>
    </row>
    <row r="2333" s="34">
      <c r="A2333" s="40" t="inlineStr">
        <is>
          <t>391.01.03.0003</t>
        </is>
      </c>
      <c r="B2333" s="40" t="inlineStr">
        <is>
          <t>Alislardan Iade Kdv %20</t>
        </is>
      </c>
      <c r="C2333" s="40" t="inlineStr">
        <is>
          <t>TRY</t>
        </is>
      </c>
      <c r="D2333" s="40" t="inlineStr">
        <is>
          <t>ROYAL SEGINUS</t>
        </is>
      </c>
      <c r="E2333" s="38" t="n">
        <v>0</v>
      </c>
      <c r="F2333" s="38" t="n">
        <v>110291.73</v>
      </c>
      <c r="G2333" s="38" t="n">
        <v>-110291.73</v>
      </c>
      <c r="H2333" s="40" t="inlineStr">
        <is>
          <t>Alacak</t>
        </is>
      </c>
      <c r="I2333" s="38" t="n">
        <v>0</v>
      </c>
      <c r="J2333" s="38" t="n">
        <v>30594.09</v>
      </c>
      <c r="K2333" s="38" t="n">
        <v>-30594.09</v>
      </c>
      <c r="L2333" s="40" t="inlineStr">
        <is>
          <t>Alacak</t>
        </is>
      </c>
    </row>
    <row r="2334" s="34">
      <c r="A2334" s="40" t="inlineStr">
        <is>
          <t>391.01.03.0008</t>
        </is>
      </c>
      <c r="B2334" s="40" t="inlineStr">
        <is>
          <t>Alışlardan İade ve İlave KDV %20</t>
        </is>
      </c>
      <c r="C2334" s="40" t="inlineStr">
        <is>
          <t>TRY</t>
        </is>
      </c>
      <c r="D2334" s="40" t="inlineStr">
        <is>
          <t>ROYAL ADAM EVE</t>
        </is>
      </c>
      <c r="E2334" s="38" t="n">
        <v>0</v>
      </c>
      <c r="F2334" s="38" t="n">
        <v>37539.57</v>
      </c>
      <c r="G2334" s="38" t="n">
        <v>-37539.57</v>
      </c>
      <c r="H2334" s="40" t="inlineStr">
        <is>
          <t>Alacak</t>
        </is>
      </c>
      <c r="I2334" s="38" t="n">
        <v>0</v>
      </c>
      <c r="J2334" s="38" t="n">
        <v>37539.57</v>
      </c>
      <c r="K2334" s="38" t="n">
        <v>-37539.57</v>
      </c>
      <c r="L2334" s="40" t="inlineStr">
        <is>
          <t>Alacak</t>
        </is>
      </c>
    </row>
    <row r="2335" s="34">
      <c r="A2335" s="40" t="inlineStr">
        <is>
          <t>391.01.03.0009</t>
        </is>
      </c>
      <c r="B2335" s="40" t="inlineStr">
        <is>
          <t>Alışlardan İade ve İlave KDV %10</t>
        </is>
      </c>
      <c r="C2335" s="40" t="inlineStr">
        <is>
          <t>TRY</t>
        </is>
      </c>
      <c r="D2335" s="40" t="inlineStr">
        <is>
          <t>ROYAL ALHAMBRA</t>
        </is>
      </c>
      <c r="E2335" s="38" t="n">
        <v>0</v>
      </c>
      <c r="F2335" s="38" t="n">
        <v>107139.09</v>
      </c>
      <c r="G2335" s="38" t="n">
        <v>-107139.09</v>
      </c>
      <c r="H2335" s="40" t="inlineStr">
        <is>
          <t>Alacak</t>
        </is>
      </c>
      <c r="I2335" s="38" t="n">
        <v>0</v>
      </c>
      <c r="J2335" s="38" t="n">
        <v>107139.09</v>
      </c>
      <c r="K2335" s="38" t="n">
        <v>-107139.09</v>
      </c>
      <c r="L2335" s="40" t="inlineStr">
        <is>
          <t>Alacak</t>
        </is>
      </c>
    </row>
    <row r="2336" s="34">
      <c r="A2336" s="40" t="inlineStr">
        <is>
          <t>391.01.04</t>
        </is>
      </c>
      <c r="B2336" s="40" t="inlineStr">
        <is>
          <t>ILAVE KDV</t>
        </is>
      </c>
      <c r="C2336" s="40" t="inlineStr">
        <is>
          <t>TRY</t>
        </is>
      </c>
      <c r="E2336" s="38" t="n">
        <v>0</v>
      </c>
      <c r="F2336" s="38" t="n">
        <v>1439.38</v>
      </c>
      <c r="G2336" s="38" t="n">
        <v>-1439.38</v>
      </c>
      <c r="I2336" s="38" t="n">
        <v>0</v>
      </c>
      <c r="J2336" s="38" t="n">
        <v>1439.38</v>
      </c>
      <c r="K2336" s="38" t="n">
        <v>-1439.38</v>
      </c>
    </row>
    <row r="2337" s="34">
      <c r="A2337" s="40" t="inlineStr">
        <is>
          <t>391.01.04.0002</t>
        </is>
      </c>
      <c r="B2337" s="40" t="inlineStr">
        <is>
          <t>Diger Ilave Edilecek Kdv %10</t>
        </is>
      </c>
      <c r="C2337" s="40" t="inlineStr">
        <is>
          <t>TRY</t>
        </is>
      </c>
      <c r="D2337" s="40" t="inlineStr">
        <is>
          <t>ROYAL ADAM EVE</t>
        </is>
      </c>
      <c r="E2337" s="38" t="n">
        <v>0</v>
      </c>
      <c r="F2337" s="38" t="n">
        <v>974.39</v>
      </c>
      <c r="G2337" s="38" t="n">
        <v>-974.39</v>
      </c>
      <c r="H2337" s="40" t="inlineStr">
        <is>
          <t>Alacak</t>
        </is>
      </c>
      <c r="I2337" s="38" t="n">
        <v>0</v>
      </c>
      <c r="J2337" s="38" t="n">
        <v>974.39</v>
      </c>
      <c r="K2337" s="38" t="n">
        <v>-974.39</v>
      </c>
      <c r="L2337" s="40" t="inlineStr">
        <is>
          <t>Alacak</t>
        </is>
      </c>
    </row>
    <row r="2338" s="34">
      <c r="A2338" s="40" t="inlineStr">
        <is>
          <t>391.01.04.0002</t>
        </is>
      </c>
      <c r="B2338" s="40" t="inlineStr">
        <is>
          <t>Diger Ilave Edilecek Kdv %10</t>
        </is>
      </c>
      <c r="C2338" s="40" t="inlineStr">
        <is>
          <t>TRY</t>
        </is>
      </c>
      <c r="D2338" s="40" t="inlineStr">
        <is>
          <t>ROYAL DRAGON</t>
        </is>
      </c>
      <c r="E2338" s="38" t="n">
        <v>0</v>
      </c>
      <c r="F2338" s="38" t="n">
        <v>124.81</v>
      </c>
      <c r="G2338" s="38" t="n">
        <v>-124.81</v>
      </c>
      <c r="H2338" s="40" t="inlineStr">
        <is>
          <t>Alacak</t>
        </is>
      </c>
      <c r="I2338" s="38" t="n">
        <v>0</v>
      </c>
      <c r="J2338" s="38" t="n">
        <v>124.81</v>
      </c>
      <c r="K2338" s="38" t="n">
        <v>-124.81</v>
      </c>
      <c r="L2338" s="40" t="inlineStr">
        <is>
          <t>Alacak</t>
        </is>
      </c>
    </row>
    <row r="2339" s="34">
      <c r="A2339" s="40" t="inlineStr">
        <is>
          <t>391.01.04.0002</t>
        </is>
      </c>
      <c r="B2339" s="40" t="inlineStr">
        <is>
          <t>Diger Ilave Edilecek Kdv %10</t>
        </is>
      </c>
      <c r="C2339" s="40" t="inlineStr">
        <is>
          <t>TRY</t>
        </is>
      </c>
      <c r="D2339" s="40" t="inlineStr">
        <is>
          <t>ROYAL HOLIDAY</t>
        </is>
      </c>
      <c r="E2339" s="38" t="n">
        <v>0</v>
      </c>
      <c r="F2339" s="38" t="n">
        <v>284.01</v>
      </c>
      <c r="G2339" s="38" t="n">
        <v>-284.01</v>
      </c>
      <c r="H2339" s="40" t="inlineStr">
        <is>
          <t>Alacak</t>
        </is>
      </c>
      <c r="I2339" s="38" t="n">
        <v>0</v>
      </c>
      <c r="J2339" s="38" t="n">
        <v>284.01</v>
      </c>
      <c r="K2339" s="38" t="n">
        <v>-284.01</v>
      </c>
      <c r="L2339" s="40" t="inlineStr">
        <is>
          <t>Alacak</t>
        </is>
      </c>
    </row>
    <row r="2340" s="34">
      <c r="A2340" s="40" t="inlineStr">
        <is>
          <t>391.01.04.0002</t>
        </is>
      </c>
      <c r="B2340" s="40" t="inlineStr">
        <is>
          <t>Diger Ilave Edilecek Kdv %10</t>
        </is>
      </c>
      <c r="C2340" s="40" t="inlineStr">
        <is>
          <t>TRY</t>
        </is>
      </c>
      <c r="D2340" s="40" t="inlineStr">
        <is>
          <t>ROYAL SEGINUS</t>
        </is>
      </c>
      <c r="E2340" s="38" t="n">
        <v>0</v>
      </c>
      <c r="F2340" s="38" t="n">
        <v>56.17</v>
      </c>
      <c r="G2340" s="38" t="n">
        <v>-56.17</v>
      </c>
      <c r="H2340" s="40" t="inlineStr">
        <is>
          <t>Alacak</t>
        </is>
      </c>
      <c r="I2340" s="38" t="n">
        <v>0</v>
      </c>
      <c r="J2340" s="38" t="n">
        <v>56.17</v>
      </c>
      <c r="K2340" s="38" t="n">
        <v>-56.17</v>
      </c>
      <c r="L2340" s="40" t="inlineStr">
        <is>
          <t>Alacak</t>
        </is>
      </c>
    </row>
    <row r="2341" s="34">
      <c r="A2341" s="40" t="inlineStr">
        <is>
          <t>393</t>
        </is>
      </c>
      <c r="B2341" s="40" t="inlineStr">
        <is>
          <t>MERKEZ VE ŞUBELER CARİ HESABI</t>
        </is>
      </c>
      <c r="C2341" s="40" t="inlineStr">
        <is>
          <t>TRY</t>
        </is>
      </c>
      <c r="E2341" s="38" t="n">
        <v>210693145.04</v>
      </c>
      <c r="F2341" s="38" t="n">
        <v>210026223.88</v>
      </c>
      <c r="G2341" s="38" t="n">
        <v>666921.16</v>
      </c>
      <c r="I2341" s="38" t="n">
        <v>210121683.14</v>
      </c>
      <c r="J2341" s="38" t="n">
        <v>209454761.98</v>
      </c>
      <c r="K2341" s="38" t="n">
        <v>666921.16</v>
      </c>
    </row>
    <row r="2342" s="34">
      <c r="A2342" s="40" t="inlineStr">
        <is>
          <t>393.01</t>
        </is>
      </c>
      <c r="B2342" s="40" t="inlineStr">
        <is>
          <t>MERKEZ VE ŞUBELER CARİ HESABI</t>
        </is>
      </c>
      <c r="C2342" s="40" t="inlineStr">
        <is>
          <t>TRY</t>
        </is>
      </c>
      <c r="E2342" s="38" t="n">
        <v>210693145.04</v>
      </c>
      <c r="F2342" s="38" t="n">
        <v>210026223.88</v>
      </c>
      <c r="G2342" s="38" t="n">
        <v>666921.16</v>
      </c>
      <c r="I2342" s="38" t="n">
        <v>210121683.14</v>
      </c>
      <c r="J2342" s="38" t="n">
        <v>209454761.98</v>
      </c>
      <c r="K2342" s="38" t="n">
        <v>666921.16</v>
      </c>
    </row>
    <row r="2343" s="34">
      <c r="A2343" s="40" t="inlineStr">
        <is>
          <t>393.01.01</t>
        </is>
      </c>
      <c r="B2343" s="40" t="inlineStr">
        <is>
          <t>SERTAŞ MERKEZ</t>
        </is>
      </c>
      <c r="C2343" s="40" t="inlineStr">
        <is>
          <t>TRY</t>
        </is>
      </c>
      <c r="E2343" s="38" t="n">
        <v>142486943.27</v>
      </c>
      <c r="F2343" s="38" t="n">
        <v>142592203.39</v>
      </c>
      <c r="G2343" s="38" t="n">
        <v>-105260.12</v>
      </c>
      <c r="I2343" s="38" t="n">
        <v>142420018.11</v>
      </c>
      <c r="J2343" s="38" t="n">
        <v>142525278.23</v>
      </c>
      <c r="K2343" s="38" t="n">
        <v>-105260.12</v>
      </c>
    </row>
    <row r="2344" s="34">
      <c r="A2344" s="40" t="inlineStr">
        <is>
          <t>393.01.01.0001</t>
        </is>
      </c>
      <c r="B2344" s="40" t="inlineStr">
        <is>
          <t>Sertaş Merkez</t>
        </is>
      </c>
      <c r="C2344" s="40" t="inlineStr">
        <is>
          <t>TRY</t>
        </is>
      </c>
      <c r="D2344" s="40" t="inlineStr">
        <is>
          <t>ROYAL HOLIDAY</t>
        </is>
      </c>
      <c r="E2344" s="38" t="n">
        <v>21689340.99</v>
      </c>
      <c r="F2344" s="38" t="n">
        <v>13234220.53</v>
      </c>
      <c r="G2344" s="38" t="n">
        <v>8455120.460000001</v>
      </c>
      <c r="H2344" s="40" t="inlineStr">
        <is>
          <t>Borç</t>
        </is>
      </c>
      <c r="I2344" s="38" t="n">
        <v>21689340.99</v>
      </c>
      <c r="J2344" s="38" t="n">
        <v>13234220.53</v>
      </c>
      <c r="K2344" s="38" t="n">
        <v>8455120.460000001</v>
      </c>
      <c r="L2344" s="40" t="inlineStr">
        <is>
          <t>Borç</t>
        </is>
      </c>
    </row>
    <row r="2345" s="34">
      <c r="A2345" s="40" t="inlineStr">
        <is>
          <t>393.01.01.0001</t>
        </is>
      </c>
      <c r="B2345" s="40" t="inlineStr">
        <is>
          <t>Sertaş Merkez</t>
        </is>
      </c>
      <c r="C2345" s="40" t="inlineStr">
        <is>
          <t>TRY</t>
        </is>
      </c>
      <c r="D2345" s="40" t="inlineStr">
        <is>
          <t>ROYAL SEGINUS</t>
        </is>
      </c>
      <c r="E2345" s="38" t="n">
        <v>69768726.13</v>
      </c>
      <c r="F2345" s="38" t="n">
        <v>34377977.9</v>
      </c>
      <c r="G2345" s="38" t="n">
        <v>35390748.23</v>
      </c>
      <c r="H2345" s="40" t="inlineStr">
        <is>
          <t>Borç</t>
        </is>
      </c>
      <c r="I2345" s="38" t="n">
        <v>69701800.97</v>
      </c>
      <c r="J2345" s="38" t="n">
        <v>34377977.9</v>
      </c>
      <c r="K2345" s="38" t="n">
        <v>35323823.07</v>
      </c>
      <c r="L2345" s="40" t="inlineStr">
        <is>
          <t>Borç</t>
        </is>
      </c>
    </row>
    <row r="2346" s="34">
      <c r="A2346" s="40" t="inlineStr">
        <is>
          <t>393.01.01.0001</t>
        </is>
      </c>
      <c r="B2346" s="40" t="inlineStr">
        <is>
          <t>Sertaş Merkez</t>
        </is>
      </c>
      <c r="C2346" s="40" t="inlineStr">
        <is>
          <t>TRY</t>
        </is>
      </c>
      <c r="D2346" s="40" t="inlineStr">
        <is>
          <t>SERTAŞ MERKEZ</t>
        </is>
      </c>
      <c r="E2346" s="38" t="n">
        <v>1523790.45</v>
      </c>
      <c r="F2346" s="38" t="n">
        <v>903240.27</v>
      </c>
      <c r="G2346" s="38" t="n">
        <v>620550.1800000001</v>
      </c>
      <c r="H2346" s="40" t="inlineStr">
        <is>
          <t>Borç</t>
        </is>
      </c>
      <c r="I2346" s="38" t="n">
        <v>1523790.45</v>
      </c>
      <c r="J2346" s="38" t="n">
        <v>903240.27</v>
      </c>
      <c r="K2346" s="38" t="n">
        <v>620550.1800000001</v>
      </c>
      <c r="L2346" s="40" t="inlineStr">
        <is>
          <t>Borç</t>
        </is>
      </c>
    </row>
    <row r="2347" s="34">
      <c r="A2347" s="40" t="inlineStr">
        <is>
          <t>393.01.01.0001</t>
        </is>
      </c>
      <c r="B2347" s="40" t="inlineStr">
        <is>
          <t>Sertaş Merkez</t>
        </is>
      </c>
      <c r="C2347" s="40" t="inlineStr">
        <is>
          <t>TRY</t>
        </is>
      </c>
      <c r="D2347" s="40" t="inlineStr">
        <is>
          <t>STONE ÇARŞI</t>
        </is>
      </c>
      <c r="E2347" s="38" t="n">
        <v>590772</v>
      </c>
      <c r="F2347" s="38" t="n">
        <v>42114.67</v>
      </c>
      <c r="G2347" s="38" t="n">
        <v>548657.33</v>
      </c>
      <c r="H2347" s="40" t="inlineStr">
        <is>
          <t>Borç</t>
        </is>
      </c>
      <c r="I2347" s="38" t="n">
        <v>590772</v>
      </c>
      <c r="J2347" s="38" t="n">
        <v>42114.67</v>
      </c>
      <c r="K2347" s="38" t="n">
        <v>548657.33</v>
      </c>
      <c r="L2347" s="40" t="inlineStr">
        <is>
          <t>Borç</t>
        </is>
      </c>
    </row>
    <row r="2348" s="34">
      <c r="A2348" s="40" t="inlineStr">
        <is>
          <t>393.01.01.0002</t>
        </is>
      </c>
      <c r="B2348" s="40" t="inlineStr">
        <is>
          <t>Royal Seginus</t>
        </is>
      </c>
      <c r="C2348" s="40" t="inlineStr">
        <is>
          <t>TRY</t>
        </is>
      </c>
      <c r="D2348" s="40" t="inlineStr">
        <is>
          <t>SERTAŞ MERKEZ</t>
        </is>
      </c>
      <c r="E2348" s="38" t="n">
        <v>34377978.5</v>
      </c>
      <c r="F2348" s="38" t="n">
        <v>70209644.70999999</v>
      </c>
      <c r="G2348" s="38" t="n">
        <v>-35831666.21</v>
      </c>
      <c r="H2348" s="40" t="inlineStr">
        <is>
          <t>Alacak</t>
        </is>
      </c>
      <c r="I2348" s="38" t="n">
        <v>34377978.5</v>
      </c>
      <c r="J2348" s="38" t="n">
        <v>70142719.55</v>
      </c>
      <c r="K2348" s="38" t="n">
        <v>-35764741.05</v>
      </c>
      <c r="L2348" s="40" t="inlineStr">
        <is>
          <t>Alacak</t>
        </is>
      </c>
    </row>
    <row r="2349" s="34">
      <c r="A2349" s="40" t="inlineStr">
        <is>
          <t>393.01.01.0002</t>
        </is>
      </c>
      <c r="B2349" s="40" t="inlineStr">
        <is>
          <t>Royal Seginus</t>
        </is>
      </c>
      <c r="C2349" s="40" t="inlineStr">
        <is>
          <t>TRY</t>
        </is>
      </c>
      <c r="D2349" s="40" t="inlineStr">
        <is>
          <t>STONE ÇARŞI</t>
        </is>
      </c>
      <c r="E2349" s="38" t="n">
        <v>0</v>
      </c>
      <c r="F2349" s="38" t="n">
        <v>1260000</v>
      </c>
      <c r="G2349" s="38" t="n">
        <v>-1260000</v>
      </c>
      <c r="H2349" s="40" t="inlineStr">
        <is>
          <t>Alacak</t>
        </is>
      </c>
      <c r="I2349" s="38" t="n">
        <v>0</v>
      </c>
      <c r="J2349" s="38" t="n">
        <v>1260000</v>
      </c>
      <c r="K2349" s="38" t="n">
        <v>-1260000</v>
      </c>
      <c r="L2349" s="40" t="inlineStr">
        <is>
          <t>Alacak</t>
        </is>
      </c>
    </row>
    <row r="2350" s="34">
      <c r="A2350" s="40" t="inlineStr">
        <is>
          <t>393.01.01.0003</t>
        </is>
      </c>
      <c r="B2350" s="40" t="inlineStr">
        <is>
          <t>Royal Holiday</t>
        </is>
      </c>
      <c r="C2350" s="40" t="inlineStr">
        <is>
          <t>TRY</t>
        </is>
      </c>
      <c r="D2350" s="40" t="inlineStr">
        <is>
          <t>GİTAŞ MERKEZ</t>
        </is>
      </c>
      <c r="E2350" s="38" t="n">
        <v>0</v>
      </c>
      <c r="F2350" s="38" t="n">
        <v>105735.6</v>
      </c>
      <c r="G2350" s="38" t="n">
        <v>-105735.6</v>
      </c>
      <c r="H2350" s="40" t="inlineStr">
        <is>
          <t>Alacak</t>
        </is>
      </c>
      <c r="I2350" s="38" t="n">
        <v>0</v>
      </c>
      <c r="J2350" s="38" t="n">
        <v>105735.6</v>
      </c>
      <c r="K2350" s="38" t="n">
        <v>-105735.6</v>
      </c>
      <c r="L2350" s="40" t="inlineStr">
        <is>
          <t>Alacak</t>
        </is>
      </c>
    </row>
    <row r="2351" s="34">
      <c r="A2351" s="40" t="inlineStr">
        <is>
          <t>393.01.01.0003</t>
        </is>
      </c>
      <c r="B2351" s="40" t="inlineStr">
        <is>
          <t>Royal Holiday</t>
        </is>
      </c>
      <c r="C2351" s="40" t="inlineStr">
        <is>
          <t>TRY</t>
        </is>
      </c>
      <c r="D2351" s="40" t="inlineStr">
        <is>
          <t>SERTAŞ MERKEZ</t>
        </is>
      </c>
      <c r="E2351" s="38" t="n">
        <v>13234220.53</v>
      </c>
      <c r="F2351" s="38" t="n">
        <v>21544497.71</v>
      </c>
      <c r="G2351" s="38" t="n">
        <v>-8310277.18</v>
      </c>
      <c r="H2351" s="40" t="inlineStr">
        <is>
          <t>Alacak</t>
        </is>
      </c>
      <c r="I2351" s="38" t="n">
        <v>13234220.53</v>
      </c>
      <c r="J2351" s="38" t="n">
        <v>21544497.71</v>
      </c>
      <c r="K2351" s="38" t="n">
        <v>-8310277.18</v>
      </c>
      <c r="L2351" s="40" t="inlineStr">
        <is>
          <t>Alacak</t>
        </is>
      </c>
    </row>
    <row r="2352" s="34">
      <c r="A2352" s="40" t="inlineStr">
        <is>
          <t>393.01.01.0004</t>
        </is>
      </c>
      <c r="B2352" s="40" t="inlineStr">
        <is>
          <t>Stone Çarşı (Avm)</t>
        </is>
      </c>
      <c r="C2352" s="40" t="inlineStr">
        <is>
          <t>TRY</t>
        </is>
      </c>
      <c r="D2352" s="40" t="inlineStr">
        <is>
          <t>ROYAL SEGINUS</t>
        </is>
      </c>
      <c r="E2352" s="38" t="n">
        <v>1260000</v>
      </c>
      <c r="F2352" s="38" t="n">
        <v>0</v>
      </c>
      <c r="G2352" s="38" t="n">
        <v>1260000</v>
      </c>
      <c r="H2352" s="40" t="inlineStr">
        <is>
          <t>Borç</t>
        </is>
      </c>
      <c r="I2352" s="38" t="n">
        <v>1260000</v>
      </c>
      <c r="J2352" s="38" t="n">
        <v>0</v>
      </c>
      <c r="K2352" s="38" t="n">
        <v>1260000</v>
      </c>
      <c r="L2352" s="40" t="inlineStr">
        <is>
          <t>Borç</t>
        </is>
      </c>
    </row>
    <row r="2353" s="34">
      <c r="A2353" s="40" t="inlineStr">
        <is>
          <t>393.01.01.0004</t>
        </is>
      </c>
      <c r="B2353" s="40" t="inlineStr">
        <is>
          <t>Stone Çarşı (Avm)</t>
        </is>
      </c>
      <c r="C2353" s="40" t="inlineStr">
        <is>
          <t>TRY</t>
        </is>
      </c>
      <c r="D2353" s="40" t="inlineStr">
        <is>
          <t>SERTAŞ MERKEZ</t>
        </is>
      </c>
      <c r="E2353" s="38" t="n">
        <v>42114.67</v>
      </c>
      <c r="F2353" s="38" t="n">
        <v>914772</v>
      </c>
      <c r="G2353" s="38" t="n">
        <v>-872657.33</v>
      </c>
      <c r="H2353" s="40" t="inlineStr">
        <is>
          <t>Alacak</t>
        </is>
      </c>
      <c r="I2353" s="38" t="n">
        <v>42114.67</v>
      </c>
      <c r="J2353" s="38" t="n">
        <v>914772</v>
      </c>
      <c r="K2353" s="38" t="n">
        <v>-872657.33</v>
      </c>
      <c r="L2353" s="40" t="inlineStr">
        <is>
          <t>Alacak</t>
        </is>
      </c>
    </row>
    <row r="2354" s="34">
      <c r="A2354" s="40" t="inlineStr">
        <is>
          <t>393.01.02</t>
        </is>
      </c>
      <c r="B2354" s="40" t="inlineStr">
        <is>
          <t>GİTAŞ MERKEZ</t>
        </is>
      </c>
      <c r="C2354" s="40" t="inlineStr">
        <is>
          <t>TRY</t>
        </is>
      </c>
      <c r="E2354" s="38" t="n">
        <v>68206201.77</v>
      </c>
      <c r="F2354" s="38" t="n">
        <v>67434020.48999999</v>
      </c>
      <c r="G2354" s="38" t="n">
        <v>772181.28</v>
      </c>
      <c r="I2354" s="38" t="n">
        <v>67701665.03</v>
      </c>
      <c r="J2354" s="38" t="n">
        <v>66929483.75</v>
      </c>
      <c r="K2354" s="38" t="n">
        <v>772181.28</v>
      </c>
    </row>
    <row r="2355" s="34">
      <c r="A2355" s="40" t="inlineStr">
        <is>
          <t>393.01.02.0001</t>
        </is>
      </c>
      <c r="B2355" s="40" t="inlineStr">
        <is>
          <t>Gitaş Merkez</t>
        </is>
      </c>
      <c r="C2355" s="40" t="inlineStr">
        <is>
          <t>TRY</t>
        </is>
      </c>
      <c r="D2355" s="40" t="inlineStr">
        <is>
          <t>GİTAŞ MERKEZ</t>
        </is>
      </c>
      <c r="E2355" s="38" t="n">
        <v>0</v>
      </c>
      <c r="F2355" s="38" t="n">
        <v>305050.81</v>
      </c>
      <c r="G2355" s="38" t="n">
        <v>-305050.81</v>
      </c>
      <c r="H2355" s="40" t="inlineStr">
        <is>
          <t>Alacak</t>
        </is>
      </c>
      <c r="I2355" s="38" t="n">
        <v>0</v>
      </c>
      <c r="J2355" s="38" t="n">
        <v>305050.81</v>
      </c>
      <c r="K2355" s="38" t="n">
        <v>-305050.81</v>
      </c>
      <c r="L2355" s="40" t="inlineStr">
        <is>
          <t>Alacak</t>
        </is>
      </c>
    </row>
    <row r="2356" s="34">
      <c r="A2356" s="40" t="inlineStr">
        <is>
          <t>393.01.02.0001</t>
        </is>
      </c>
      <c r="B2356" s="40" t="inlineStr">
        <is>
          <t>Gitaş Merkez</t>
        </is>
      </c>
      <c r="C2356" s="40" t="inlineStr">
        <is>
          <t>TRY</t>
        </is>
      </c>
      <c r="D2356" s="40" t="inlineStr">
        <is>
          <t>ROYAL ALHAMBRA</t>
        </is>
      </c>
      <c r="E2356" s="38" t="n">
        <v>31966776.37</v>
      </c>
      <c r="F2356" s="38" t="n">
        <v>3237466.64</v>
      </c>
      <c r="G2356" s="38" t="n">
        <v>28729309.73</v>
      </c>
      <c r="H2356" s="40" t="inlineStr">
        <is>
          <t>Borç</t>
        </is>
      </c>
      <c r="I2356" s="38" t="n">
        <v>31966776.37</v>
      </c>
      <c r="J2356" s="38" t="n">
        <v>3237466.64</v>
      </c>
      <c r="K2356" s="38" t="n">
        <v>28729309.73</v>
      </c>
      <c r="L2356" s="40" t="inlineStr">
        <is>
          <t>Borç</t>
        </is>
      </c>
    </row>
    <row r="2357" s="34">
      <c r="A2357" s="40" t="inlineStr">
        <is>
          <t>393.01.02.0001</t>
        </is>
      </c>
      <c r="B2357" s="40" t="inlineStr">
        <is>
          <t>Gitaş Merkez</t>
        </is>
      </c>
      <c r="C2357" s="40" t="inlineStr">
        <is>
          <t>TRY</t>
        </is>
      </c>
      <c r="D2357" s="40" t="inlineStr">
        <is>
          <t>ROYAL DRAGON</t>
        </is>
      </c>
      <c r="E2357" s="38" t="n">
        <v>19644395.31</v>
      </c>
      <c r="F2357" s="38" t="n">
        <v>12688534.43</v>
      </c>
      <c r="G2357" s="38" t="n">
        <v>6955860.88</v>
      </c>
      <c r="H2357" s="40" t="inlineStr">
        <is>
          <t>Borç</t>
        </is>
      </c>
      <c r="I2357" s="38" t="n">
        <v>19139858.57</v>
      </c>
      <c r="J2357" s="38" t="n">
        <v>12688534.43</v>
      </c>
      <c r="K2357" s="38" t="n">
        <v>6451324.14</v>
      </c>
      <c r="L2357" s="40" t="inlineStr">
        <is>
          <t>Borç</t>
        </is>
      </c>
    </row>
    <row r="2358" s="34">
      <c r="A2358" s="40" t="inlineStr">
        <is>
          <t>393.01.02.0002</t>
        </is>
      </c>
      <c r="B2358" s="40" t="inlineStr">
        <is>
          <t>Royal Dragon</t>
        </is>
      </c>
      <c r="C2358" s="40" t="inlineStr">
        <is>
          <t>TRY</t>
        </is>
      </c>
      <c r="D2358" s="40" t="inlineStr">
        <is>
          <t>GİTAŞ MERKEZ</t>
        </is>
      </c>
      <c r="E2358" s="38" t="n">
        <v>13352782.43</v>
      </c>
      <c r="F2358" s="38" t="n">
        <v>18651523.73</v>
      </c>
      <c r="G2358" s="38" t="n">
        <v>-5298741.3</v>
      </c>
      <c r="H2358" s="40" t="inlineStr">
        <is>
          <t>Alacak</t>
        </is>
      </c>
      <c r="I2358" s="38" t="n">
        <v>13352782.43</v>
      </c>
      <c r="J2358" s="38" t="n">
        <v>18146986.99</v>
      </c>
      <c r="K2358" s="38" t="n">
        <v>-4794204.56</v>
      </c>
      <c r="L2358" s="40" t="inlineStr">
        <is>
          <t>Alacak</t>
        </is>
      </c>
    </row>
    <row r="2359" s="34">
      <c r="A2359" s="40" t="inlineStr">
        <is>
          <t>393.01.02.0002</t>
        </is>
      </c>
      <c r="B2359" s="40" t="inlineStr">
        <is>
          <t>Royal Dragon</t>
        </is>
      </c>
      <c r="C2359" s="40" t="inlineStr">
        <is>
          <t>TRY</t>
        </is>
      </c>
      <c r="D2359" s="40" t="inlineStr">
        <is>
          <t>ROYAL DRAGON</t>
        </is>
      </c>
      <c r="E2359" s="38" t="n">
        <v>0</v>
      </c>
      <c r="F2359" s="38" t="n">
        <v>664248</v>
      </c>
      <c r="G2359" s="38" t="n">
        <v>-664248</v>
      </c>
      <c r="H2359" s="40" t="inlineStr">
        <is>
          <t>Alacak</t>
        </is>
      </c>
      <c r="I2359" s="38" t="n">
        <v>0</v>
      </c>
      <c r="J2359" s="38" t="n">
        <v>664248</v>
      </c>
      <c r="K2359" s="38" t="n">
        <v>-664248</v>
      </c>
      <c r="L2359" s="40" t="inlineStr">
        <is>
          <t>Alacak</t>
        </is>
      </c>
    </row>
    <row r="2360" s="34">
      <c r="A2360" s="40" t="inlineStr">
        <is>
          <t>393.01.02.0003</t>
        </is>
      </c>
      <c r="B2360" s="40" t="inlineStr">
        <is>
          <t>Royal Alhambra</t>
        </is>
      </c>
      <c r="C2360" s="40" t="inlineStr">
        <is>
          <t>TRY</t>
        </is>
      </c>
      <c r="D2360" s="40" t="inlineStr">
        <is>
          <t>GİTAŞ MERKEZ</t>
        </is>
      </c>
      <c r="E2360" s="38" t="n">
        <v>3237466.64</v>
      </c>
      <c r="F2360" s="38" t="n">
        <v>31887196.88</v>
      </c>
      <c r="G2360" s="38" t="n">
        <v>-28649730.24</v>
      </c>
      <c r="H2360" s="40" t="inlineStr">
        <is>
          <t>Alacak</t>
        </is>
      </c>
      <c r="I2360" s="38" t="n">
        <v>3237466.64</v>
      </c>
      <c r="J2360" s="38" t="n">
        <v>31887196.88</v>
      </c>
      <c r="K2360" s="38" t="n">
        <v>-28649730.24</v>
      </c>
      <c r="L2360" s="40" t="inlineStr">
        <is>
          <t>Alacak</t>
        </is>
      </c>
    </row>
    <row r="2361" s="34">
      <c r="A2361" s="40" t="inlineStr">
        <is>
          <t>393.01.02.0003</t>
        </is>
      </c>
      <c r="B2361" s="40" t="inlineStr">
        <is>
          <t>Royal Alhambra</t>
        </is>
      </c>
      <c r="C2361" s="40" t="inlineStr">
        <is>
          <t>TRY</t>
        </is>
      </c>
      <c r="D2361" s="40" t="inlineStr">
        <is>
          <t>ROYAL ALHAMBRA</t>
        </is>
      </c>
      <c r="E2361" s="38" t="n">
        <v>4781.02</v>
      </c>
      <c r="F2361" s="38" t="n">
        <v>0</v>
      </c>
      <c r="G2361" s="38" t="n">
        <v>4781.02</v>
      </c>
      <c r="H2361" s="40" t="inlineStr">
        <is>
          <t>Borç</t>
        </is>
      </c>
      <c r="I2361" s="38" t="n">
        <v>4781.02</v>
      </c>
      <c r="J2361" s="38" t="n">
        <v>0</v>
      </c>
      <c r="K2361" s="38" t="n">
        <v>4781.02</v>
      </c>
      <c r="L2361" s="40" t="inlineStr">
        <is>
          <t>Borç</t>
        </is>
      </c>
    </row>
    <row r="2362" s="34">
      <c r="A2362" s="40" t="inlineStr">
        <is>
          <t>6</t>
        </is>
      </c>
      <c r="B2362" s="40" t="inlineStr">
        <is>
          <t>GELİR TABLOSU HESAPLARI</t>
        </is>
      </c>
      <c r="C2362" s="40" t="inlineStr">
        <is>
          <t>TRY</t>
        </is>
      </c>
      <c r="E2362" s="38" t="n">
        <v>5980973.59</v>
      </c>
      <c r="F2362" s="38" t="n">
        <v>478552376.36</v>
      </c>
      <c r="G2362" s="38" t="n">
        <v>-472571402.77</v>
      </c>
      <c r="I2362" s="38" t="n">
        <v>5769428.55</v>
      </c>
      <c r="J2362" s="38" t="n">
        <v>477978974.51</v>
      </c>
      <c r="K2362" s="38" t="n">
        <v>-472209545.96</v>
      </c>
    </row>
    <row r="2363" s="34">
      <c r="A2363" s="40" t="inlineStr">
        <is>
          <t>60</t>
        </is>
      </c>
      <c r="B2363" s="40" t="inlineStr">
        <is>
          <t>BRÜT SATIŞLAR</t>
        </is>
      </c>
      <c r="C2363" s="40" t="inlineStr">
        <is>
          <t>TRY</t>
        </is>
      </c>
      <c r="E2363" s="38" t="n">
        <v>9257.889999999999</v>
      </c>
      <c r="F2363" s="38" t="n">
        <v>476272835.05</v>
      </c>
      <c r="G2363" s="38" t="n">
        <v>-476263577.16</v>
      </c>
      <c r="I2363" s="38" t="n">
        <v>9257.889999999999</v>
      </c>
      <c r="J2363" s="38" t="n">
        <v>476261219.67</v>
      </c>
      <c r="K2363" s="38" t="n">
        <v>-476251961.78</v>
      </c>
    </row>
    <row r="2364" s="34">
      <c r="A2364" s="40" t="inlineStr">
        <is>
          <t>600</t>
        </is>
      </c>
      <c r="B2364" s="40" t="inlineStr">
        <is>
          <t>YURTİÇİ SATIŞLAR</t>
        </is>
      </c>
      <c r="C2364" s="40" t="inlineStr">
        <is>
          <t>TRY</t>
        </is>
      </c>
      <c r="E2364" s="38" t="n">
        <v>9257.889999999999</v>
      </c>
      <c r="F2364" s="38" t="n">
        <v>475019346.7</v>
      </c>
      <c r="G2364" s="38" t="n">
        <v>-475010088.81</v>
      </c>
      <c r="I2364" s="38" t="n">
        <v>9257.889999999999</v>
      </c>
      <c r="J2364" s="38" t="n">
        <v>475007731.32</v>
      </c>
      <c r="K2364" s="38" t="n">
        <v>-474998473.43</v>
      </c>
    </row>
    <row r="2365" s="34">
      <c r="A2365" s="40" t="inlineStr">
        <is>
          <t>600.01</t>
        </is>
      </c>
      <c r="B2365" s="40" t="inlineStr">
        <is>
          <t>YURTİÇİ SATIŞLAR</t>
        </is>
      </c>
      <c r="C2365" s="40" t="inlineStr">
        <is>
          <t>TRY</t>
        </is>
      </c>
      <c r="E2365" s="38" t="n">
        <v>9257.889999999999</v>
      </c>
      <c r="F2365" s="38" t="n">
        <v>475019346.7</v>
      </c>
      <c r="G2365" s="38" t="n">
        <v>-475010088.81</v>
      </c>
      <c r="I2365" s="38" t="n">
        <v>9257.889999999999</v>
      </c>
      <c r="J2365" s="38" t="n">
        <v>475007731.32</v>
      </c>
      <c r="K2365" s="38" t="n">
        <v>-474998473.43</v>
      </c>
    </row>
    <row r="2366" s="34">
      <c r="A2366" s="40" t="inlineStr">
        <is>
          <t>600.01.01</t>
        </is>
      </c>
      <c r="B2366" s="40" t="inlineStr">
        <is>
          <t>KONAKLAMA GELİRLERİ</t>
        </is>
      </c>
      <c r="C2366" s="40" t="inlineStr">
        <is>
          <t>TRY</t>
        </is>
      </c>
      <c r="E2366" s="38" t="n">
        <v>9257.889999999999</v>
      </c>
      <c r="F2366" s="38" t="n">
        <v>471040411.31</v>
      </c>
      <c r="G2366" s="38" t="n">
        <v>-471031153.42</v>
      </c>
      <c r="I2366" s="38" t="n">
        <v>9257.889999999999</v>
      </c>
      <c r="J2366" s="38" t="n">
        <v>471028795.93</v>
      </c>
      <c r="K2366" s="38" t="n">
        <v>-471019538.04</v>
      </c>
    </row>
    <row r="2367" s="34">
      <c r="A2367" s="40" t="inlineStr">
        <is>
          <t>600.01.01.0001</t>
        </is>
      </c>
      <c r="B2367" s="40" t="inlineStr">
        <is>
          <t>%10 Oda Gelirleri</t>
        </is>
      </c>
      <c r="C2367" s="40" t="inlineStr">
        <is>
          <t>TRY</t>
        </is>
      </c>
      <c r="D2367" s="40" t="inlineStr">
        <is>
          <t>ROYAL ADAM EVE</t>
        </is>
      </c>
      <c r="E2367" s="38" t="n">
        <v>0</v>
      </c>
      <c r="F2367" s="38" t="n">
        <v>61217324.06</v>
      </c>
      <c r="G2367" s="38" t="n">
        <v>-61217324.06</v>
      </c>
      <c r="H2367" s="40" t="inlineStr">
        <is>
          <t>Alacak</t>
        </is>
      </c>
      <c r="I2367" s="38" t="n">
        <v>0</v>
      </c>
      <c r="J2367" s="38" t="n">
        <v>61205708.68</v>
      </c>
      <c r="K2367" s="38" t="n">
        <v>-61205708.68</v>
      </c>
      <c r="L2367" s="40" t="inlineStr">
        <is>
          <t>Alacak</t>
        </is>
      </c>
    </row>
    <row r="2368" s="34">
      <c r="A2368" s="40" t="inlineStr">
        <is>
          <t>600.01.01.0001</t>
        </is>
      </c>
      <c r="B2368" s="40" t="inlineStr">
        <is>
          <t>%10 Oda Gelirleri</t>
        </is>
      </c>
      <c r="C2368" s="40" t="inlineStr">
        <is>
          <t>TRY</t>
        </is>
      </c>
      <c r="D2368" s="40" t="inlineStr">
        <is>
          <t>ROYAL ALHAMBRA</t>
        </is>
      </c>
      <c r="E2368" s="38" t="n">
        <v>3754.95</v>
      </c>
      <c r="F2368" s="38" t="n">
        <v>79301981.54000001</v>
      </c>
      <c r="G2368" s="38" t="n">
        <v>-79298226.59</v>
      </c>
      <c r="H2368" s="40" t="inlineStr">
        <is>
          <t>Alacak</t>
        </is>
      </c>
      <c r="I2368" s="38" t="n">
        <v>3754.95</v>
      </c>
      <c r="J2368" s="38" t="n">
        <v>79301981.54000001</v>
      </c>
      <c r="K2368" s="38" t="n">
        <v>-79298226.59</v>
      </c>
      <c r="L2368" s="40" t="inlineStr">
        <is>
          <t>Alacak</t>
        </is>
      </c>
    </row>
    <row r="2369" s="34">
      <c r="A2369" s="40" t="inlineStr">
        <is>
          <t>600.01.01.0001</t>
        </is>
      </c>
      <c r="B2369" s="40" t="inlineStr">
        <is>
          <t>%10 Oda Gelirleri</t>
        </is>
      </c>
      <c r="C2369" s="40" t="inlineStr">
        <is>
          <t>TRY</t>
        </is>
      </c>
      <c r="D2369" s="40" t="inlineStr">
        <is>
          <t>ROYAL DRAGON</t>
        </is>
      </c>
      <c r="E2369" s="38" t="n">
        <v>0</v>
      </c>
      <c r="F2369" s="38" t="n">
        <v>75580926.66</v>
      </c>
      <c r="G2369" s="38" t="n">
        <v>-75580926.66</v>
      </c>
      <c r="H2369" s="40" t="inlineStr">
        <is>
          <t>Alacak</t>
        </is>
      </c>
      <c r="I2369" s="38" t="n">
        <v>0</v>
      </c>
      <c r="J2369" s="38" t="n">
        <v>75580926.66</v>
      </c>
      <c r="K2369" s="38" t="n">
        <v>-75580926.66</v>
      </c>
      <c r="L2369" s="40" t="inlineStr">
        <is>
          <t>Alacak</t>
        </is>
      </c>
    </row>
    <row r="2370" s="34">
      <c r="A2370" s="40" t="inlineStr">
        <is>
          <t>600.01.01.0001</t>
        </is>
      </c>
      <c r="B2370" s="40" t="inlineStr">
        <is>
          <t>%10 Oda Gelirleri</t>
        </is>
      </c>
      <c r="C2370" s="40" t="inlineStr">
        <is>
          <t>TRY</t>
        </is>
      </c>
      <c r="D2370" s="40" t="inlineStr">
        <is>
          <t>ROYAL HOLIDAY</t>
        </is>
      </c>
      <c r="E2370" s="38" t="n">
        <v>0</v>
      </c>
      <c r="F2370" s="38" t="n">
        <v>124869401.56</v>
      </c>
      <c r="G2370" s="38" t="n">
        <v>-124869401.56</v>
      </c>
      <c r="H2370" s="40" t="inlineStr">
        <is>
          <t>Alacak</t>
        </is>
      </c>
      <c r="I2370" s="38" t="n">
        <v>0</v>
      </c>
      <c r="J2370" s="38" t="n">
        <v>124869401.56</v>
      </c>
      <c r="K2370" s="38" t="n">
        <v>-124869401.56</v>
      </c>
      <c r="L2370" s="40" t="inlineStr">
        <is>
          <t>Alacak</t>
        </is>
      </c>
    </row>
    <row r="2371" s="34">
      <c r="A2371" s="40" t="inlineStr">
        <is>
          <t>600.01.01.0001</t>
        </is>
      </c>
      <c r="B2371" s="40" t="inlineStr">
        <is>
          <t>%10 Oda Gelirleri</t>
        </is>
      </c>
      <c r="C2371" s="40" t="inlineStr">
        <is>
          <t>TRY</t>
        </is>
      </c>
      <c r="D2371" s="40" t="inlineStr">
        <is>
          <t>ROYAL SEGINUS</t>
        </is>
      </c>
      <c r="E2371" s="38" t="n">
        <v>5502.94</v>
      </c>
      <c r="F2371" s="38" t="n">
        <v>130041495.79</v>
      </c>
      <c r="G2371" s="38" t="n">
        <v>-130035992.85</v>
      </c>
      <c r="H2371" s="40" t="inlineStr">
        <is>
          <t>Alacak</t>
        </is>
      </c>
      <c r="I2371" s="38" t="n">
        <v>5502.94</v>
      </c>
      <c r="J2371" s="38" t="n">
        <v>130041495.79</v>
      </c>
      <c r="K2371" s="38" t="n">
        <v>-130035992.85</v>
      </c>
      <c r="L2371" s="40" t="inlineStr">
        <is>
          <t>Alacak</t>
        </is>
      </c>
    </row>
    <row r="2372" s="34">
      <c r="A2372" s="40" t="inlineStr">
        <is>
          <t>600.01.01.0002</t>
        </is>
      </c>
      <c r="B2372" s="40" t="inlineStr">
        <is>
          <t>%10 No Show Gelirleri</t>
        </is>
      </c>
      <c r="C2372" s="40" t="inlineStr">
        <is>
          <t>TRY</t>
        </is>
      </c>
      <c r="D2372" s="40" t="inlineStr">
        <is>
          <t>ROYAL ALHAMBRA</t>
        </is>
      </c>
      <c r="E2372" s="38" t="n">
        <v>0</v>
      </c>
      <c r="F2372" s="38" t="n">
        <v>29281.7</v>
      </c>
      <c r="G2372" s="38" t="n">
        <v>-29281.7</v>
      </c>
      <c r="H2372" s="40" t="inlineStr">
        <is>
          <t>Alacak</t>
        </is>
      </c>
      <c r="I2372" s="38" t="n">
        <v>0</v>
      </c>
      <c r="J2372" s="38" t="n">
        <v>29281.7</v>
      </c>
      <c r="K2372" s="38" t="n">
        <v>-29281.7</v>
      </c>
      <c r="L2372" s="40" t="inlineStr">
        <is>
          <t>Alacak</t>
        </is>
      </c>
    </row>
    <row r="2373" s="34">
      <c r="A2373" s="40" t="inlineStr">
        <is>
          <t>600.01.02</t>
        </is>
      </c>
      <c r="B2373" s="40" t="inlineStr">
        <is>
          <t>EXTRA YİYECEK-İÇECEK GELİRLERİ</t>
        </is>
      </c>
      <c r="C2373" s="40" t="inlineStr">
        <is>
          <t>TRY</t>
        </is>
      </c>
      <c r="E2373" s="38" t="n">
        <v>0</v>
      </c>
      <c r="F2373" s="38" t="n">
        <v>1127713.36</v>
      </c>
      <c r="G2373" s="38" t="n">
        <v>-1127713.36</v>
      </c>
      <c r="I2373" s="38" t="n">
        <v>0</v>
      </c>
      <c r="J2373" s="38" t="n">
        <v>1127713.36</v>
      </c>
      <c r="K2373" s="38" t="n">
        <v>-1127713.36</v>
      </c>
    </row>
    <row r="2374" s="34">
      <c r="A2374" s="40" t="inlineStr">
        <is>
          <t>600.01.02.0001</t>
        </is>
      </c>
      <c r="B2374" s="40" t="inlineStr">
        <is>
          <t>%10 Extra Yiyecek Geliri</t>
        </is>
      </c>
      <c r="C2374" s="40" t="inlineStr">
        <is>
          <t>TRY</t>
        </is>
      </c>
      <c r="D2374" s="40" t="inlineStr">
        <is>
          <t>ROYAL ADAM EVE</t>
        </is>
      </c>
      <c r="E2374" s="38" t="n">
        <v>0</v>
      </c>
      <c r="F2374" s="38" t="n">
        <v>173830.79</v>
      </c>
      <c r="G2374" s="38" t="n">
        <v>-173830.79</v>
      </c>
      <c r="H2374" s="40" t="inlineStr">
        <is>
          <t>Alacak</t>
        </is>
      </c>
      <c r="I2374" s="38" t="n">
        <v>0</v>
      </c>
      <c r="J2374" s="38" t="n">
        <v>173830.79</v>
      </c>
      <c r="K2374" s="38" t="n">
        <v>-173830.79</v>
      </c>
      <c r="L2374" s="40" t="inlineStr">
        <is>
          <t>Alacak</t>
        </is>
      </c>
    </row>
    <row r="2375" s="34">
      <c r="A2375" s="40" t="inlineStr">
        <is>
          <t>600.01.02.0001</t>
        </is>
      </c>
      <c r="B2375" s="40" t="inlineStr">
        <is>
          <t>%10 Extra Yiyecek Geliri</t>
        </is>
      </c>
      <c r="C2375" s="40" t="inlineStr">
        <is>
          <t>TRY</t>
        </is>
      </c>
      <c r="D2375" s="40" t="inlineStr">
        <is>
          <t>ROYAL ALHAMBRA</t>
        </is>
      </c>
      <c r="E2375" s="38" t="n">
        <v>0</v>
      </c>
      <c r="F2375" s="38" t="n">
        <v>94753.74000000001</v>
      </c>
      <c r="G2375" s="38" t="n">
        <v>-94753.74000000001</v>
      </c>
      <c r="H2375" s="40" t="inlineStr">
        <is>
          <t>Alacak</t>
        </is>
      </c>
      <c r="I2375" s="38" t="n">
        <v>0</v>
      </c>
      <c r="J2375" s="38" t="n">
        <v>94753.74000000001</v>
      </c>
      <c r="K2375" s="38" t="n">
        <v>-94753.74000000001</v>
      </c>
      <c r="L2375" s="40" t="inlineStr">
        <is>
          <t>Alacak</t>
        </is>
      </c>
    </row>
    <row r="2376" s="34">
      <c r="A2376" s="40" t="inlineStr">
        <is>
          <t>600.01.02.0001</t>
        </is>
      </c>
      <c r="B2376" s="40" t="inlineStr">
        <is>
          <t>%10 Extra Yiyecek Geliri</t>
        </is>
      </c>
      <c r="C2376" s="40" t="inlineStr">
        <is>
          <t>TRY</t>
        </is>
      </c>
      <c r="D2376" s="40" t="inlineStr">
        <is>
          <t>ROYAL DRAGON</t>
        </is>
      </c>
      <c r="E2376" s="38" t="n">
        <v>0</v>
      </c>
      <c r="F2376" s="38" t="n">
        <v>61248.9</v>
      </c>
      <c r="G2376" s="38" t="n">
        <v>-61248.9</v>
      </c>
      <c r="H2376" s="40" t="inlineStr">
        <is>
          <t>Alacak</t>
        </is>
      </c>
      <c r="I2376" s="38" t="n">
        <v>0</v>
      </c>
      <c r="J2376" s="38" t="n">
        <v>61248.9</v>
      </c>
      <c r="K2376" s="38" t="n">
        <v>-61248.9</v>
      </c>
      <c r="L2376" s="40" t="inlineStr">
        <is>
          <t>Alacak</t>
        </is>
      </c>
    </row>
    <row r="2377" s="34">
      <c r="A2377" s="40" t="inlineStr">
        <is>
          <t>600.01.02.0001</t>
        </is>
      </c>
      <c r="B2377" s="40" t="inlineStr">
        <is>
          <t>%10 Extra Yiyecek Geliri</t>
        </is>
      </c>
      <c r="C2377" s="40" t="inlineStr">
        <is>
          <t>TRY</t>
        </is>
      </c>
      <c r="D2377" s="40" t="inlineStr">
        <is>
          <t>ROYAL HOLIDAY</t>
        </is>
      </c>
      <c r="E2377" s="38" t="n">
        <v>0</v>
      </c>
      <c r="F2377" s="38" t="n">
        <v>132001.79</v>
      </c>
      <c r="G2377" s="38" t="n">
        <v>-132001.79</v>
      </c>
      <c r="H2377" s="40" t="inlineStr">
        <is>
          <t>Alacak</t>
        </is>
      </c>
      <c r="I2377" s="38" t="n">
        <v>0</v>
      </c>
      <c r="J2377" s="38" t="n">
        <v>132001.79</v>
      </c>
      <c r="K2377" s="38" t="n">
        <v>-132001.79</v>
      </c>
      <c r="L2377" s="40" t="inlineStr">
        <is>
          <t>Alacak</t>
        </is>
      </c>
    </row>
    <row r="2378" s="34">
      <c r="A2378" s="40" t="inlineStr">
        <is>
          <t>600.01.02.0001</t>
        </is>
      </c>
      <c r="B2378" s="40" t="inlineStr">
        <is>
          <t>%10 Extra Yiyecek Geliri</t>
        </is>
      </c>
      <c r="C2378" s="40" t="inlineStr">
        <is>
          <t>TRY</t>
        </is>
      </c>
      <c r="D2378" s="40" t="inlineStr">
        <is>
          <t>ROYAL SEGINUS</t>
        </is>
      </c>
      <c r="E2378" s="38" t="n">
        <v>0</v>
      </c>
      <c r="F2378" s="38" t="n">
        <v>54463.48</v>
      </c>
      <c r="G2378" s="38" t="n">
        <v>-54463.48</v>
      </c>
      <c r="H2378" s="40" t="inlineStr">
        <is>
          <t>Alacak</t>
        </is>
      </c>
      <c r="I2378" s="38" t="n">
        <v>0</v>
      </c>
      <c r="J2378" s="38" t="n">
        <v>54463.48</v>
      </c>
      <c r="K2378" s="38" t="n">
        <v>-54463.48</v>
      </c>
      <c r="L2378" s="40" t="inlineStr">
        <is>
          <t>Alacak</t>
        </is>
      </c>
    </row>
    <row r="2379" s="34">
      <c r="A2379" s="40" t="inlineStr">
        <is>
          <t>600.01.02.0002</t>
        </is>
      </c>
      <c r="B2379" s="40" t="inlineStr">
        <is>
          <t>%10 Extra Alkolsüz İçecek Geliri</t>
        </is>
      </c>
      <c r="C2379" s="40" t="inlineStr">
        <is>
          <t>TRY</t>
        </is>
      </c>
      <c r="D2379" s="40" t="inlineStr">
        <is>
          <t>ROYAL ADAM EVE</t>
        </is>
      </c>
      <c r="E2379" s="38" t="n">
        <v>0</v>
      </c>
      <c r="F2379" s="38" t="n">
        <v>22400.62</v>
      </c>
      <c r="G2379" s="38" t="n">
        <v>-22400.62</v>
      </c>
      <c r="H2379" s="40" t="inlineStr">
        <is>
          <t>Alacak</t>
        </is>
      </c>
      <c r="I2379" s="38" t="n">
        <v>0</v>
      </c>
      <c r="J2379" s="38" t="n">
        <v>22400.62</v>
      </c>
      <c r="K2379" s="38" t="n">
        <v>-22400.62</v>
      </c>
      <c r="L2379" s="40" t="inlineStr">
        <is>
          <t>Alacak</t>
        </is>
      </c>
    </row>
    <row r="2380" s="34">
      <c r="A2380" s="40" t="inlineStr">
        <is>
          <t>600.01.02.0002</t>
        </is>
      </c>
      <c r="B2380" s="40" t="inlineStr">
        <is>
          <t>%10 Extra Alkolsüz İçecek Geliri</t>
        </is>
      </c>
      <c r="C2380" s="40" t="inlineStr">
        <is>
          <t>TRY</t>
        </is>
      </c>
      <c r="D2380" s="40" t="inlineStr">
        <is>
          <t>ROYAL ALHAMBRA</t>
        </is>
      </c>
      <c r="E2380" s="38" t="n">
        <v>0</v>
      </c>
      <c r="F2380" s="38" t="n">
        <v>14300.62</v>
      </c>
      <c r="G2380" s="38" t="n">
        <v>-14300.62</v>
      </c>
      <c r="H2380" s="40" t="inlineStr">
        <is>
          <t>Alacak</t>
        </is>
      </c>
      <c r="I2380" s="38" t="n">
        <v>0</v>
      </c>
      <c r="J2380" s="38" t="n">
        <v>14300.62</v>
      </c>
      <c r="K2380" s="38" t="n">
        <v>-14300.62</v>
      </c>
      <c r="L2380" s="40" t="inlineStr">
        <is>
          <t>Alacak</t>
        </is>
      </c>
    </row>
    <row r="2381" s="34">
      <c r="A2381" s="40" t="inlineStr">
        <is>
          <t>600.01.02.0002</t>
        </is>
      </c>
      <c r="B2381" s="40" t="inlineStr">
        <is>
          <t>%10 Extra Alkolsüz İçecek Geliri</t>
        </is>
      </c>
      <c r="C2381" s="40" t="inlineStr">
        <is>
          <t>TRY</t>
        </is>
      </c>
      <c r="D2381" s="40" t="inlineStr">
        <is>
          <t>ROYAL DRAGON</t>
        </is>
      </c>
      <c r="E2381" s="38" t="n">
        <v>0</v>
      </c>
      <c r="F2381" s="38" t="n">
        <v>5361.2</v>
      </c>
      <c r="G2381" s="38" t="n">
        <v>-5361.2</v>
      </c>
      <c r="H2381" s="40" t="inlineStr">
        <is>
          <t>Alacak</t>
        </is>
      </c>
      <c r="I2381" s="38" t="n">
        <v>0</v>
      </c>
      <c r="J2381" s="38" t="n">
        <v>5361.2</v>
      </c>
      <c r="K2381" s="38" t="n">
        <v>-5361.2</v>
      </c>
      <c r="L2381" s="40" t="inlineStr">
        <is>
          <t>Alacak</t>
        </is>
      </c>
    </row>
    <row r="2382" s="34">
      <c r="A2382" s="40" t="inlineStr">
        <is>
          <t>600.01.02.0002</t>
        </is>
      </c>
      <c r="B2382" s="40" t="inlineStr">
        <is>
          <t>%10 Extra Alkolsüz İçecek Geliri</t>
        </is>
      </c>
      <c r="C2382" s="40" t="inlineStr">
        <is>
          <t>TRY</t>
        </is>
      </c>
      <c r="D2382" s="40" t="inlineStr">
        <is>
          <t>ROYAL HOLIDAY</t>
        </is>
      </c>
      <c r="E2382" s="38" t="n">
        <v>0</v>
      </c>
      <c r="F2382" s="38" t="n">
        <v>2951.69</v>
      </c>
      <c r="G2382" s="38" t="n">
        <v>-2951.69</v>
      </c>
      <c r="H2382" s="40" t="inlineStr">
        <is>
          <t>Alacak</t>
        </is>
      </c>
      <c r="I2382" s="38" t="n">
        <v>0</v>
      </c>
      <c r="J2382" s="38" t="n">
        <v>2951.69</v>
      </c>
      <c r="K2382" s="38" t="n">
        <v>-2951.69</v>
      </c>
      <c r="L2382" s="40" t="inlineStr">
        <is>
          <t>Alacak</t>
        </is>
      </c>
    </row>
    <row r="2383" s="34">
      <c r="A2383" s="40" t="inlineStr">
        <is>
          <t>600.01.02.0002</t>
        </is>
      </c>
      <c r="B2383" s="40" t="inlineStr">
        <is>
          <t>%10 Extra Alkolsüz İçecek Geliri</t>
        </is>
      </c>
      <c r="C2383" s="40" t="inlineStr">
        <is>
          <t>TRY</t>
        </is>
      </c>
      <c r="D2383" s="40" t="inlineStr">
        <is>
          <t>ROYAL SEGINUS</t>
        </is>
      </c>
      <c r="E2383" s="38" t="n">
        <v>0</v>
      </c>
      <c r="F2383" s="38" t="n">
        <v>78011.14</v>
      </c>
      <c r="G2383" s="38" t="n">
        <v>-78011.14</v>
      </c>
      <c r="H2383" s="40" t="inlineStr">
        <is>
          <t>Alacak</t>
        </is>
      </c>
      <c r="I2383" s="38" t="n">
        <v>0</v>
      </c>
      <c r="J2383" s="38" t="n">
        <v>78011.14</v>
      </c>
      <c r="K2383" s="38" t="n">
        <v>-78011.14</v>
      </c>
      <c r="L2383" s="40" t="inlineStr">
        <is>
          <t>Alacak</t>
        </is>
      </c>
    </row>
    <row r="2384" s="34">
      <c r="A2384" s="40" t="inlineStr">
        <is>
          <t>600.01.02.0003</t>
        </is>
      </c>
      <c r="B2384" s="40" t="inlineStr">
        <is>
          <t>%20 Extra Alkollü İçecek Geliri</t>
        </is>
      </c>
      <c r="C2384" s="40" t="inlineStr">
        <is>
          <t>TRY</t>
        </is>
      </c>
      <c r="D2384" s="40" t="inlineStr">
        <is>
          <t>ROYAL ADAM EVE</t>
        </is>
      </c>
      <c r="E2384" s="38" t="n">
        <v>0</v>
      </c>
      <c r="F2384" s="38" t="n">
        <v>455580.06</v>
      </c>
      <c r="G2384" s="38" t="n">
        <v>-455580.06</v>
      </c>
      <c r="H2384" s="40" t="inlineStr">
        <is>
          <t>Alacak</t>
        </is>
      </c>
      <c r="I2384" s="38" t="n">
        <v>0</v>
      </c>
      <c r="J2384" s="38" t="n">
        <v>455580.06</v>
      </c>
      <c r="K2384" s="38" t="n">
        <v>-455580.06</v>
      </c>
      <c r="L2384" s="40" t="inlineStr">
        <is>
          <t>Alacak</t>
        </is>
      </c>
    </row>
    <row r="2385" s="34">
      <c r="A2385" s="40" t="inlineStr">
        <is>
          <t>600.01.02.0003</t>
        </is>
      </c>
      <c r="B2385" s="40" t="inlineStr">
        <is>
          <t>%20 Extra Alkollü İçecek Geliri</t>
        </is>
      </c>
      <c r="C2385" s="40" t="inlineStr">
        <is>
          <t>TRY</t>
        </is>
      </c>
      <c r="D2385" s="40" t="inlineStr">
        <is>
          <t>ROYAL ALHAMBRA</t>
        </is>
      </c>
      <c r="E2385" s="38" t="n">
        <v>0</v>
      </c>
      <c r="F2385" s="38" t="n">
        <v>2074.19</v>
      </c>
      <c r="G2385" s="38" t="n">
        <v>-2074.19</v>
      </c>
      <c r="H2385" s="40" t="inlineStr">
        <is>
          <t>Alacak</t>
        </is>
      </c>
      <c r="I2385" s="38" t="n">
        <v>0</v>
      </c>
      <c r="J2385" s="38" t="n">
        <v>2074.19</v>
      </c>
      <c r="K2385" s="38" t="n">
        <v>-2074.19</v>
      </c>
      <c r="L2385" s="40" t="inlineStr">
        <is>
          <t>Alacak</t>
        </is>
      </c>
    </row>
    <row r="2386" s="34">
      <c r="A2386" s="40" t="inlineStr">
        <is>
          <t>600.01.02.0003</t>
        </is>
      </c>
      <c r="B2386" s="40" t="inlineStr">
        <is>
          <t>%20 Extra Alkollü İçecek Geliri</t>
        </is>
      </c>
      <c r="C2386" s="40" t="inlineStr">
        <is>
          <t>TRY</t>
        </is>
      </c>
      <c r="D2386" s="40" t="inlineStr">
        <is>
          <t>ROYAL DRAGON</t>
        </is>
      </c>
      <c r="E2386" s="38" t="n">
        <v>0</v>
      </c>
      <c r="F2386" s="38" t="n">
        <v>5327.43</v>
      </c>
      <c r="G2386" s="38" t="n">
        <v>-5327.43</v>
      </c>
      <c r="H2386" s="40" t="inlineStr">
        <is>
          <t>Alacak</t>
        </is>
      </c>
      <c r="I2386" s="38" t="n">
        <v>0</v>
      </c>
      <c r="J2386" s="38" t="n">
        <v>5327.43</v>
      </c>
      <c r="K2386" s="38" t="n">
        <v>-5327.43</v>
      </c>
      <c r="L2386" s="40" t="inlineStr">
        <is>
          <t>Alacak</t>
        </is>
      </c>
    </row>
    <row r="2387" s="34">
      <c r="A2387" s="40" t="inlineStr">
        <is>
          <t>600.01.02.0003</t>
        </is>
      </c>
      <c r="B2387" s="40" t="inlineStr">
        <is>
          <t>%20 Extra Alkollü İçecek Geliri</t>
        </is>
      </c>
      <c r="C2387" s="40" t="inlineStr">
        <is>
          <t>TRY</t>
        </is>
      </c>
      <c r="D2387" s="40" t="inlineStr">
        <is>
          <t>ROYAL HOLIDAY</t>
        </is>
      </c>
      <c r="E2387" s="38" t="n">
        <v>0</v>
      </c>
      <c r="F2387" s="38" t="n">
        <v>4749.3</v>
      </c>
      <c r="G2387" s="38" t="n">
        <v>-4749.3</v>
      </c>
      <c r="H2387" s="40" t="inlineStr">
        <is>
          <t>Alacak</t>
        </is>
      </c>
      <c r="I2387" s="38" t="n">
        <v>0</v>
      </c>
      <c r="J2387" s="38" t="n">
        <v>4749.3</v>
      </c>
      <c r="K2387" s="38" t="n">
        <v>-4749.3</v>
      </c>
      <c r="L2387" s="40" t="inlineStr">
        <is>
          <t>Alacak</t>
        </is>
      </c>
    </row>
    <row r="2388" s="34">
      <c r="A2388" s="40" t="inlineStr">
        <is>
          <t>600.01.02.0003</t>
        </is>
      </c>
      <c r="B2388" s="40" t="inlineStr">
        <is>
          <t>%20 Extra Alkollü İçecek Geliri</t>
        </is>
      </c>
      <c r="C2388" s="40" t="inlineStr">
        <is>
          <t>TRY</t>
        </is>
      </c>
      <c r="D2388" s="40" t="inlineStr">
        <is>
          <t>ROYAL SEGINUS</t>
        </is>
      </c>
      <c r="E2388" s="38" t="n">
        <v>0</v>
      </c>
      <c r="F2388" s="38" t="n">
        <v>20658.41</v>
      </c>
      <c r="G2388" s="38" t="n">
        <v>-20658.41</v>
      </c>
      <c r="H2388" s="40" t="inlineStr">
        <is>
          <t>Alacak</t>
        </is>
      </c>
      <c r="I2388" s="38" t="n">
        <v>0</v>
      </c>
      <c r="J2388" s="38" t="n">
        <v>20658.41</v>
      </c>
      <c r="K2388" s="38" t="n">
        <v>-20658.41</v>
      </c>
      <c r="L2388" s="40" t="inlineStr">
        <is>
          <t>Alacak</t>
        </is>
      </c>
    </row>
    <row r="2389" s="34">
      <c r="A2389" s="40" t="inlineStr">
        <is>
          <t>600.01.03</t>
        </is>
      </c>
      <c r="B2389" s="40" t="inlineStr">
        <is>
          <t>DİĞER GELİRLER</t>
        </is>
      </c>
      <c r="C2389" s="40" t="inlineStr">
        <is>
          <t>TRY</t>
        </is>
      </c>
      <c r="E2389" s="38" t="n">
        <v>0</v>
      </c>
      <c r="F2389" s="38" t="n">
        <v>2851222.03</v>
      </c>
      <c r="G2389" s="38" t="n">
        <v>-2851222.03</v>
      </c>
      <c r="I2389" s="38" t="n">
        <v>0</v>
      </c>
      <c r="J2389" s="38" t="n">
        <v>2851222.03</v>
      </c>
      <c r="K2389" s="38" t="n">
        <v>-2851222.03</v>
      </c>
    </row>
    <row r="2390" s="34">
      <c r="A2390" s="40" t="inlineStr">
        <is>
          <t>600.01.03.0001</t>
        </is>
      </c>
      <c r="B2390" s="40" t="inlineStr">
        <is>
          <t>%20 Diğer Gelirler</t>
        </is>
      </c>
      <c r="C2390" s="40" t="inlineStr">
        <is>
          <t>TRY</t>
        </is>
      </c>
      <c r="D2390" s="40" t="inlineStr">
        <is>
          <t>ROYAL ADAM EVE</t>
        </is>
      </c>
      <c r="E2390" s="38" t="n">
        <v>0</v>
      </c>
      <c r="F2390" s="38" t="n">
        <v>406771.14</v>
      </c>
      <c r="G2390" s="38" t="n">
        <v>-406771.14</v>
      </c>
      <c r="H2390" s="40" t="inlineStr">
        <is>
          <t>Alacak</t>
        </is>
      </c>
      <c r="I2390" s="38" t="n">
        <v>0</v>
      </c>
      <c r="J2390" s="38" t="n">
        <v>406771.14</v>
      </c>
      <c r="K2390" s="38" t="n">
        <v>-406771.14</v>
      </c>
      <c r="L2390" s="40" t="inlineStr">
        <is>
          <t>Alacak</t>
        </is>
      </c>
    </row>
    <row r="2391" s="34">
      <c r="A2391" s="40" t="inlineStr">
        <is>
          <t>600.01.03.0001</t>
        </is>
      </c>
      <c r="B2391" s="40" t="inlineStr">
        <is>
          <t>%20 Diğer Gelirler</t>
        </is>
      </c>
      <c r="C2391" s="40" t="inlineStr">
        <is>
          <t>TRY</t>
        </is>
      </c>
      <c r="D2391" s="40" t="inlineStr">
        <is>
          <t>ROYAL ALHAMBRA</t>
        </is>
      </c>
      <c r="E2391" s="38" t="n">
        <v>0</v>
      </c>
      <c r="F2391" s="38" t="n">
        <v>33934.38</v>
      </c>
      <c r="G2391" s="38" t="n">
        <v>-33934.38</v>
      </c>
      <c r="H2391" s="40" t="inlineStr">
        <is>
          <t>Alacak</t>
        </is>
      </c>
      <c r="I2391" s="38" t="n">
        <v>0</v>
      </c>
      <c r="J2391" s="38" t="n">
        <v>33934.38</v>
      </c>
      <c r="K2391" s="38" t="n">
        <v>-33934.38</v>
      </c>
      <c r="L2391" s="40" t="inlineStr">
        <is>
          <t>Alacak</t>
        </is>
      </c>
    </row>
    <row r="2392" s="34">
      <c r="A2392" s="40" t="inlineStr">
        <is>
          <t>600.01.03.0001</t>
        </is>
      </c>
      <c r="B2392" s="40" t="inlineStr">
        <is>
          <t>%20 Diğer Gelirler</t>
        </is>
      </c>
      <c r="C2392" s="40" t="inlineStr">
        <is>
          <t>TRY</t>
        </is>
      </c>
      <c r="D2392" s="40" t="inlineStr">
        <is>
          <t>ROYAL DRAGON</t>
        </is>
      </c>
      <c r="E2392" s="38" t="n">
        <v>0</v>
      </c>
      <c r="F2392" s="38" t="n">
        <v>31178.46</v>
      </c>
      <c r="G2392" s="38" t="n">
        <v>-31178.46</v>
      </c>
      <c r="H2392" s="40" t="inlineStr">
        <is>
          <t>Alacak</t>
        </is>
      </c>
      <c r="I2392" s="38" t="n">
        <v>0</v>
      </c>
      <c r="J2392" s="38" t="n">
        <v>31178.46</v>
      </c>
      <c r="K2392" s="38" t="n">
        <v>-31178.46</v>
      </c>
      <c r="L2392" s="40" t="inlineStr">
        <is>
          <t>Alacak</t>
        </is>
      </c>
    </row>
    <row r="2393" s="34">
      <c r="A2393" s="40" t="inlineStr">
        <is>
          <t>600.01.03.0001</t>
        </is>
      </c>
      <c r="B2393" s="40" t="inlineStr">
        <is>
          <t>%20 Diğer Gelirler</t>
        </is>
      </c>
      <c r="C2393" s="40" t="inlineStr">
        <is>
          <t>TRY</t>
        </is>
      </c>
      <c r="D2393" s="40" t="inlineStr">
        <is>
          <t>ROYAL HOLIDAY</t>
        </is>
      </c>
      <c r="E2393" s="38" t="n">
        <v>0</v>
      </c>
      <c r="F2393" s="38" t="n">
        <v>134956.5</v>
      </c>
      <c r="G2393" s="38" t="n">
        <v>-134956.5</v>
      </c>
      <c r="H2393" s="40" t="inlineStr">
        <is>
          <t>Alacak</t>
        </is>
      </c>
      <c r="I2393" s="38" t="n">
        <v>0</v>
      </c>
      <c r="J2393" s="38" t="n">
        <v>134956.5</v>
      </c>
      <c r="K2393" s="38" t="n">
        <v>-134956.5</v>
      </c>
      <c r="L2393" s="40" t="inlineStr">
        <is>
          <t>Alacak</t>
        </is>
      </c>
    </row>
    <row r="2394" s="34">
      <c r="A2394" s="40" t="inlineStr">
        <is>
          <t>600.01.03.0001</t>
        </is>
      </c>
      <c r="B2394" s="40" t="inlineStr">
        <is>
          <t>%20 Diğer Gelirler</t>
        </is>
      </c>
      <c r="C2394" s="40" t="inlineStr">
        <is>
          <t>TRY</t>
        </is>
      </c>
      <c r="D2394" s="40" t="inlineStr">
        <is>
          <t>ROYAL SEGINUS</t>
        </is>
      </c>
      <c r="E2394" s="38" t="n">
        <v>0</v>
      </c>
      <c r="F2394" s="38" t="n">
        <v>2244381.55</v>
      </c>
      <c r="G2394" s="38" t="n">
        <v>-2244381.55</v>
      </c>
      <c r="H2394" s="40" t="inlineStr">
        <is>
          <t>Alacak</t>
        </is>
      </c>
      <c r="I2394" s="38" t="n">
        <v>0</v>
      </c>
      <c r="J2394" s="38" t="n">
        <v>2244381.55</v>
      </c>
      <c r="K2394" s="38" t="n">
        <v>-2244381.55</v>
      </c>
      <c r="L2394" s="40" t="inlineStr">
        <is>
          <t>Alacak</t>
        </is>
      </c>
    </row>
    <row r="2395" s="34">
      <c r="A2395" s="40" t="inlineStr">
        <is>
          <t>602</t>
        </is>
      </c>
      <c r="B2395" s="40" t="inlineStr">
        <is>
          <t>DİĞER GELİRLER</t>
        </is>
      </c>
      <c r="C2395" s="40" t="inlineStr">
        <is>
          <t>TRY</t>
        </is>
      </c>
      <c r="E2395" s="38" t="n">
        <v>0</v>
      </c>
      <c r="F2395" s="38" t="n">
        <v>1253488.35</v>
      </c>
      <c r="G2395" s="38" t="n">
        <v>-1253488.35</v>
      </c>
      <c r="I2395" s="38" t="n">
        <v>0</v>
      </c>
      <c r="J2395" s="38" t="n">
        <v>1253488.35</v>
      </c>
      <c r="K2395" s="38" t="n">
        <v>-1253488.35</v>
      </c>
    </row>
    <row r="2396" s="34">
      <c r="A2396" s="40" t="inlineStr">
        <is>
          <t>602.01</t>
        </is>
      </c>
      <c r="B2396" s="40" t="inlineStr">
        <is>
          <t>DİĞER GELİRLER</t>
        </is>
      </c>
      <c r="C2396" s="40" t="inlineStr">
        <is>
          <t>TRY</t>
        </is>
      </c>
      <c r="E2396" s="38" t="n">
        <v>0</v>
      </c>
      <c r="F2396" s="38" t="n">
        <v>1253488.35</v>
      </c>
      <c r="G2396" s="38" t="n">
        <v>-1253488.35</v>
      </c>
      <c r="I2396" s="38" t="n">
        <v>0</v>
      </c>
      <c r="J2396" s="38" t="n">
        <v>1253488.35</v>
      </c>
      <c r="K2396" s="38" t="n">
        <v>-1253488.35</v>
      </c>
    </row>
    <row r="2397" s="34">
      <c r="A2397" s="40" t="inlineStr">
        <is>
          <t>602.01.02</t>
        </is>
      </c>
      <c r="B2397" s="40" t="inlineStr">
        <is>
          <t>İSKONTO VE CİRO PRİM GELİRLERİ</t>
        </is>
      </c>
      <c r="C2397" s="40" t="inlineStr">
        <is>
          <t>TRY</t>
        </is>
      </c>
      <c r="E2397" s="38" t="n">
        <v>0</v>
      </c>
      <c r="F2397" s="38" t="n">
        <v>187697.86</v>
      </c>
      <c r="G2397" s="38" t="n">
        <v>-187697.86</v>
      </c>
      <c r="I2397" s="38" t="n">
        <v>0</v>
      </c>
      <c r="J2397" s="38" t="n">
        <v>187697.86</v>
      </c>
      <c r="K2397" s="38" t="n">
        <v>-187697.86</v>
      </c>
    </row>
    <row r="2398" s="34">
      <c r="A2398" s="40" t="inlineStr">
        <is>
          <t>602.01.02.0003</t>
        </is>
      </c>
      <c r="B2398" s="40" t="inlineStr">
        <is>
          <t>%20 Alış İskonto Ve Ciro Prim Gelirleri</t>
        </is>
      </c>
      <c r="C2398" s="40" t="inlineStr">
        <is>
          <t>TRY</t>
        </is>
      </c>
      <c r="D2398" s="40" t="inlineStr">
        <is>
          <t>ROYAL ADAM EVE</t>
        </is>
      </c>
      <c r="E2398" s="38" t="n">
        <v>0</v>
      </c>
      <c r="F2398" s="38" t="n">
        <v>187697.86</v>
      </c>
      <c r="G2398" s="38" t="n">
        <v>-187697.86</v>
      </c>
      <c r="H2398" s="40" t="inlineStr">
        <is>
          <t>Alacak</t>
        </is>
      </c>
      <c r="I2398" s="38" t="n">
        <v>0</v>
      </c>
      <c r="J2398" s="38" t="n">
        <v>187697.86</v>
      </c>
      <c r="K2398" s="38" t="n">
        <v>-187697.86</v>
      </c>
      <c r="L2398" s="40" t="inlineStr">
        <is>
          <t>Alacak</t>
        </is>
      </c>
    </row>
    <row r="2399" s="34">
      <c r="A2399" s="40" t="inlineStr">
        <is>
          <t>602.01.05</t>
        </is>
      </c>
      <c r="B2399" s="40" t="inlineStr">
        <is>
          <t>DİĞER ÇEŞİTLERİ GELİRLER</t>
        </is>
      </c>
      <c r="C2399" s="40" t="inlineStr">
        <is>
          <t>TRY</t>
        </is>
      </c>
      <c r="E2399" s="38" t="n">
        <v>0</v>
      </c>
      <c r="F2399" s="38" t="n">
        <v>1065790.49</v>
      </c>
      <c r="G2399" s="38" t="n">
        <v>-1065790.49</v>
      </c>
      <c r="I2399" s="38" t="n">
        <v>0</v>
      </c>
      <c r="J2399" s="38" t="n">
        <v>1065790.49</v>
      </c>
      <c r="K2399" s="38" t="n">
        <v>-1065790.49</v>
      </c>
    </row>
    <row r="2400" s="34">
      <c r="A2400" s="40" t="inlineStr">
        <is>
          <t>602.01.05.0001</t>
        </is>
      </c>
      <c r="B2400" s="40" t="inlineStr">
        <is>
          <t>Sigorta Hasar Geliri</t>
        </is>
      </c>
      <c r="C2400" s="40" t="inlineStr">
        <is>
          <t>TRY</t>
        </is>
      </c>
      <c r="D2400" s="40" t="inlineStr">
        <is>
          <t>GİTAŞ MERKEZ</t>
        </is>
      </c>
      <c r="E2400" s="38" t="n">
        <v>0</v>
      </c>
      <c r="F2400" s="38" t="n">
        <v>77751.95</v>
      </c>
      <c r="G2400" s="38" t="n">
        <v>-77751.95</v>
      </c>
      <c r="H2400" s="40" t="inlineStr">
        <is>
          <t>Alacak</t>
        </is>
      </c>
      <c r="I2400" s="38" t="n">
        <v>0</v>
      </c>
      <c r="J2400" s="38" t="n">
        <v>77751.95</v>
      </c>
      <c r="K2400" s="38" t="n">
        <v>-77751.95</v>
      </c>
      <c r="L2400" s="40" t="inlineStr">
        <is>
          <t>Alacak</t>
        </is>
      </c>
    </row>
    <row r="2401" s="34">
      <c r="A2401" s="40" t="inlineStr">
        <is>
          <t>602.01.05.0001</t>
        </is>
      </c>
      <c r="B2401" s="40" t="inlineStr">
        <is>
          <t>Sigorta Hasar Geliri</t>
        </is>
      </c>
      <c r="C2401" s="40" t="inlineStr">
        <is>
          <t>TRY</t>
        </is>
      </c>
      <c r="D2401" s="40" t="inlineStr">
        <is>
          <t>ROYAL ADAM EVE</t>
        </is>
      </c>
      <c r="E2401" s="38" t="n">
        <v>0</v>
      </c>
      <c r="F2401" s="38" t="n">
        <v>194123.25</v>
      </c>
      <c r="G2401" s="38" t="n">
        <v>-194123.25</v>
      </c>
      <c r="H2401" s="40" t="inlineStr">
        <is>
          <t>Alacak</t>
        </is>
      </c>
      <c r="I2401" s="38" t="n">
        <v>0</v>
      </c>
      <c r="J2401" s="38" t="n">
        <v>194123.25</v>
      </c>
      <c r="K2401" s="38" t="n">
        <v>-194123.25</v>
      </c>
      <c r="L2401" s="40" t="inlineStr">
        <is>
          <t>Alacak</t>
        </is>
      </c>
    </row>
    <row r="2402" s="34">
      <c r="A2402" s="40" t="inlineStr">
        <is>
          <t>602.01.05.0001</t>
        </is>
      </c>
      <c r="B2402" s="40" t="inlineStr">
        <is>
          <t>Sigorta Hasar Geliri</t>
        </is>
      </c>
      <c r="C2402" s="40" t="inlineStr">
        <is>
          <t>TRY</t>
        </is>
      </c>
      <c r="D2402" s="40" t="inlineStr">
        <is>
          <t>SERTAŞ MERKEZ</t>
        </is>
      </c>
      <c r="E2402" s="38" t="n">
        <v>0</v>
      </c>
      <c r="F2402" s="38" t="n">
        <v>793915.29</v>
      </c>
      <c r="G2402" s="38" t="n">
        <v>-793915.29</v>
      </c>
      <c r="H2402" s="40" t="inlineStr">
        <is>
          <t>Alacak</t>
        </is>
      </c>
      <c r="I2402" s="38" t="n">
        <v>0</v>
      </c>
      <c r="J2402" s="38" t="n">
        <v>793915.29</v>
      </c>
      <c r="K2402" s="38" t="n">
        <v>-793915.29</v>
      </c>
      <c r="L2402" s="40" t="inlineStr">
        <is>
          <t>Alacak</t>
        </is>
      </c>
    </row>
    <row r="2403" s="34">
      <c r="A2403" s="40" t="inlineStr">
        <is>
          <t>61</t>
        </is>
      </c>
      <c r="B2403" s="40" t="inlineStr">
        <is>
          <t>SATIŞ İNDİRİMLERİ (-)</t>
        </is>
      </c>
      <c r="C2403" s="40" t="inlineStr">
        <is>
          <t>TRY</t>
        </is>
      </c>
      <c r="E2403" s="38" t="n">
        <v>3716291.66</v>
      </c>
      <c r="F2403" s="38" t="n">
        <v>9982.379999999999</v>
      </c>
      <c r="G2403" s="38" t="n">
        <v>3706309.28</v>
      </c>
      <c r="I2403" s="38" t="n">
        <v>3716291.66</v>
      </c>
      <c r="J2403" s="38" t="n">
        <v>9982.379999999999</v>
      </c>
      <c r="K2403" s="38" t="n">
        <v>3706309.28</v>
      </c>
    </row>
    <row r="2404" s="34">
      <c r="A2404" s="40" t="inlineStr">
        <is>
          <t>610</t>
        </is>
      </c>
      <c r="B2404" s="40" t="inlineStr">
        <is>
          <t>SATIŞTAN İADELER HESABI (-)</t>
        </is>
      </c>
      <c r="C2404" s="40" t="inlineStr">
        <is>
          <t>TRY</t>
        </is>
      </c>
      <c r="E2404" s="38" t="n">
        <v>3716291.66</v>
      </c>
      <c r="F2404" s="38" t="n">
        <v>9982.379999999999</v>
      </c>
      <c r="G2404" s="38" t="n">
        <v>3706309.28</v>
      </c>
      <c r="I2404" s="38" t="n">
        <v>3716291.66</v>
      </c>
      <c r="J2404" s="38" t="n">
        <v>9982.379999999999</v>
      </c>
      <c r="K2404" s="38" t="n">
        <v>3706309.28</v>
      </c>
    </row>
    <row r="2405" s="34">
      <c r="A2405" s="40" t="inlineStr">
        <is>
          <t>610.01</t>
        </is>
      </c>
      <c r="B2405" s="40" t="inlineStr">
        <is>
          <t>SATIŞTAN İADELER HESABI (-)</t>
        </is>
      </c>
      <c r="C2405" s="40" t="inlineStr">
        <is>
          <t>TRY</t>
        </is>
      </c>
      <c r="E2405" s="38" t="n">
        <v>3716291.66</v>
      </c>
      <c r="F2405" s="38" t="n">
        <v>9982.379999999999</v>
      </c>
      <c r="G2405" s="38" t="n">
        <v>3706309.28</v>
      </c>
      <c r="I2405" s="38" t="n">
        <v>3716291.66</v>
      </c>
      <c r="J2405" s="38" t="n">
        <v>9982.379999999999</v>
      </c>
      <c r="K2405" s="38" t="n">
        <v>3706309.28</v>
      </c>
    </row>
    <row r="2406" s="34">
      <c r="A2406" s="40" t="inlineStr">
        <is>
          <t>610.01.01</t>
        </is>
      </c>
      <c r="B2406" s="40" t="inlineStr">
        <is>
          <t>SATIŞ İADELERİ (-)</t>
        </is>
      </c>
      <c r="C2406" s="40" t="inlineStr">
        <is>
          <t>TRY</t>
        </is>
      </c>
      <c r="E2406" s="38" t="n">
        <v>3716291.66</v>
      </c>
      <c r="F2406" s="38" t="n">
        <v>9982.379999999999</v>
      </c>
      <c r="G2406" s="38" t="n">
        <v>3706309.28</v>
      </c>
      <c r="I2406" s="38" t="n">
        <v>3716291.66</v>
      </c>
      <c r="J2406" s="38" t="n">
        <v>9982.379999999999</v>
      </c>
      <c r="K2406" s="38" t="n">
        <v>3706309.28</v>
      </c>
    </row>
    <row r="2407" s="34">
      <c r="A2407" s="40" t="inlineStr">
        <is>
          <t>610.01.01.0001</t>
        </is>
      </c>
      <c r="B2407" s="40" t="inlineStr">
        <is>
          <t>Konaklama Satış İadeleri (-)</t>
        </is>
      </c>
      <c r="C2407" s="40" t="inlineStr">
        <is>
          <t>TRY</t>
        </is>
      </c>
      <c r="D2407" s="40" t="inlineStr">
        <is>
          <t>ROYAL ADAM EVE</t>
        </is>
      </c>
      <c r="E2407" s="38" t="n">
        <v>2055980.45</v>
      </c>
      <c r="F2407" s="38" t="n">
        <v>0</v>
      </c>
      <c r="G2407" s="38" t="n">
        <v>2055980.45</v>
      </c>
      <c r="H2407" s="40" t="inlineStr">
        <is>
          <t>Borç</t>
        </is>
      </c>
      <c r="I2407" s="38" t="n">
        <v>2055980.45</v>
      </c>
      <c r="J2407" s="38" t="n">
        <v>0</v>
      </c>
      <c r="K2407" s="38" t="n">
        <v>2055980.45</v>
      </c>
      <c r="L2407" s="40" t="inlineStr">
        <is>
          <t>Borç</t>
        </is>
      </c>
    </row>
    <row r="2408" s="34">
      <c r="A2408" s="40" t="inlineStr">
        <is>
          <t>610.01.01.0001</t>
        </is>
      </c>
      <c r="B2408" s="40" t="inlineStr">
        <is>
          <t>Konaklama Satış İadeleri (-)</t>
        </is>
      </c>
      <c r="C2408" s="40" t="inlineStr">
        <is>
          <t>TRY</t>
        </is>
      </c>
      <c r="D2408" s="40" t="inlineStr">
        <is>
          <t>ROYAL ALHAMBRA</t>
        </is>
      </c>
      <c r="E2408" s="38" t="n">
        <v>46626.41</v>
      </c>
      <c r="F2408" s="38" t="n">
        <v>0</v>
      </c>
      <c r="G2408" s="38" t="n">
        <v>46626.41</v>
      </c>
      <c r="H2408" s="40" t="inlineStr">
        <is>
          <t>Borç</t>
        </is>
      </c>
      <c r="I2408" s="38" t="n">
        <v>46626.41</v>
      </c>
      <c r="J2408" s="38" t="n">
        <v>0</v>
      </c>
      <c r="K2408" s="38" t="n">
        <v>46626.41</v>
      </c>
      <c r="L2408" s="40" t="inlineStr">
        <is>
          <t>Borç</t>
        </is>
      </c>
    </row>
    <row r="2409" s="34">
      <c r="A2409" s="40" t="inlineStr">
        <is>
          <t>610.01.01.0001</t>
        </is>
      </c>
      <c r="B2409" s="40" t="inlineStr">
        <is>
          <t>Konaklama Satış İadeleri (-)</t>
        </is>
      </c>
      <c r="C2409" s="40" t="inlineStr">
        <is>
          <t>TRY</t>
        </is>
      </c>
      <c r="D2409" s="40" t="inlineStr">
        <is>
          <t>ROYAL DRAGON</t>
        </is>
      </c>
      <c r="E2409" s="38" t="n">
        <v>561073.39</v>
      </c>
      <c r="F2409" s="38" t="n">
        <v>0</v>
      </c>
      <c r="G2409" s="38" t="n">
        <v>561073.39</v>
      </c>
      <c r="H2409" s="40" t="inlineStr">
        <is>
          <t>Borç</t>
        </is>
      </c>
      <c r="I2409" s="38" t="n">
        <v>561073.39</v>
      </c>
      <c r="J2409" s="38" t="n">
        <v>0</v>
      </c>
      <c r="K2409" s="38" t="n">
        <v>561073.39</v>
      </c>
      <c r="L2409" s="40" t="inlineStr">
        <is>
          <t>Borç</t>
        </is>
      </c>
    </row>
    <row r="2410" s="34">
      <c r="A2410" s="40" t="inlineStr">
        <is>
          <t>610.01.01.0001</t>
        </is>
      </c>
      <c r="B2410" s="40" t="inlineStr">
        <is>
          <t>Konaklama Satış İadeleri (-)</t>
        </is>
      </c>
      <c r="C2410" s="40" t="inlineStr">
        <is>
          <t>TRY</t>
        </is>
      </c>
      <c r="D2410" s="40" t="inlineStr">
        <is>
          <t>ROYAL HOLIDAY</t>
        </is>
      </c>
      <c r="E2410" s="38" t="n">
        <v>74892.03</v>
      </c>
      <c r="F2410" s="38" t="n">
        <v>0</v>
      </c>
      <c r="G2410" s="38" t="n">
        <v>74892.03</v>
      </c>
      <c r="H2410" s="40" t="inlineStr">
        <is>
          <t>Borç</t>
        </is>
      </c>
      <c r="I2410" s="38" t="n">
        <v>74892.03</v>
      </c>
      <c r="J2410" s="38" t="n">
        <v>0</v>
      </c>
      <c r="K2410" s="38" t="n">
        <v>74892.03</v>
      </c>
      <c r="L2410" s="40" t="inlineStr">
        <is>
          <t>Borç</t>
        </is>
      </c>
    </row>
    <row r="2411" s="34">
      <c r="A2411" s="40" t="inlineStr">
        <is>
          <t>610.01.01.0001</t>
        </is>
      </c>
      <c r="B2411" s="40" t="inlineStr">
        <is>
          <t>Konaklama Satış İadeleri (-)</t>
        </is>
      </c>
      <c r="C2411" s="40" t="inlineStr">
        <is>
          <t>TRY</t>
        </is>
      </c>
      <c r="D2411" s="40" t="inlineStr">
        <is>
          <t>ROYAL SEGINUS</t>
        </is>
      </c>
      <c r="E2411" s="38" t="n">
        <v>682977.95</v>
      </c>
      <c r="F2411" s="38" t="n">
        <v>9982.379999999999</v>
      </c>
      <c r="G2411" s="38" t="n">
        <v>672995.5699999999</v>
      </c>
      <c r="H2411" s="40" t="inlineStr">
        <is>
          <t>Borç</t>
        </is>
      </c>
      <c r="I2411" s="38" t="n">
        <v>682977.95</v>
      </c>
      <c r="J2411" s="38" t="n">
        <v>9982.379999999999</v>
      </c>
      <c r="K2411" s="38" t="n">
        <v>672995.5699999999</v>
      </c>
      <c r="L2411" s="40" t="inlineStr">
        <is>
          <t>Borç</t>
        </is>
      </c>
    </row>
    <row r="2412" s="34">
      <c r="A2412" s="40" t="inlineStr">
        <is>
          <t>610.01.01.0002</t>
        </is>
      </c>
      <c r="B2412" s="40" t="inlineStr">
        <is>
          <t>Diğer Mal Ve Hizmet Satış İadeleri (-)</t>
        </is>
      </c>
      <c r="C2412" s="40" t="inlineStr">
        <is>
          <t>TRY</t>
        </is>
      </c>
      <c r="D2412" s="40" t="inlineStr">
        <is>
          <t>ROYAL ADAM EVE</t>
        </is>
      </c>
      <c r="E2412" s="38" t="n">
        <v>163133.18</v>
      </c>
      <c r="F2412" s="38" t="n">
        <v>0</v>
      </c>
      <c r="G2412" s="38" t="n">
        <v>163133.18</v>
      </c>
      <c r="H2412" s="40" t="inlineStr">
        <is>
          <t>Borç</t>
        </is>
      </c>
      <c r="I2412" s="38" t="n">
        <v>163133.18</v>
      </c>
      <c r="J2412" s="38" t="n">
        <v>0</v>
      </c>
      <c r="K2412" s="38" t="n">
        <v>163133.18</v>
      </c>
      <c r="L2412" s="40" t="inlineStr">
        <is>
          <t>Borç</t>
        </is>
      </c>
    </row>
    <row r="2413" s="34">
      <c r="A2413" s="40" t="inlineStr">
        <is>
          <t>610.01.01.0002</t>
        </is>
      </c>
      <c r="B2413" s="40" t="inlineStr">
        <is>
          <t>Diğer Mal Ve Hizmet Satış İadeleri (-)</t>
        </is>
      </c>
      <c r="C2413" s="40" t="inlineStr">
        <is>
          <t>TRY</t>
        </is>
      </c>
      <c r="D2413" s="40" t="inlineStr">
        <is>
          <t>ROYAL ALHAMBRA</t>
        </is>
      </c>
      <c r="E2413" s="38" t="n">
        <v>131608.25</v>
      </c>
      <c r="F2413" s="38" t="n">
        <v>0</v>
      </c>
      <c r="G2413" s="38" t="n">
        <v>131608.25</v>
      </c>
      <c r="H2413" s="40" t="inlineStr">
        <is>
          <t>Borç</t>
        </is>
      </c>
      <c r="I2413" s="38" t="n">
        <v>131608.25</v>
      </c>
      <c r="J2413" s="38" t="n">
        <v>0</v>
      </c>
      <c r="K2413" s="38" t="n">
        <v>131608.25</v>
      </c>
      <c r="L2413" s="40" t="inlineStr">
        <is>
          <t>Borç</t>
        </is>
      </c>
    </row>
    <row r="2414" s="34">
      <c r="A2414" s="40" t="inlineStr">
        <is>
          <t>64</t>
        </is>
      </c>
      <c r="B2414" s="40" t="inlineStr">
        <is>
          <t>DİĞER FAALİYETLERDEN OLAĞAN GELİR VE KARLAR</t>
        </is>
      </c>
      <c r="C2414" s="40" t="inlineStr">
        <is>
          <t>TRY</t>
        </is>
      </c>
      <c r="E2414" s="38" t="n">
        <v>43424.56</v>
      </c>
      <c r="F2414" s="38" t="n">
        <v>806262.16</v>
      </c>
      <c r="G2414" s="38" t="n">
        <v>-762837.6</v>
      </c>
      <c r="I2414" s="38" t="n">
        <v>43424.56</v>
      </c>
      <c r="J2414" s="38" t="n">
        <v>244475.69</v>
      </c>
      <c r="K2414" s="38" t="n">
        <v>-201051.13</v>
      </c>
    </row>
    <row r="2415" s="34">
      <c r="A2415" s="40" t="inlineStr">
        <is>
          <t>642</t>
        </is>
      </c>
      <c r="B2415" s="40" t="inlineStr">
        <is>
          <t>FAİZ GELİRLERİ HESABI</t>
        </is>
      </c>
      <c r="C2415" s="40" t="inlineStr">
        <is>
          <t>TRY</t>
        </is>
      </c>
      <c r="E2415" s="38" t="n">
        <v>43424.56</v>
      </c>
      <c r="F2415" s="38" t="n">
        <v>229450.14</v>
      </c>
      <c r="G2415" s="38" t="n">
        <v>-186025.58</v>
      </c>
      <c r="I2415" s="38" t="n">
        <v>43424.56</v>
      </c>
      <c r="J2415" s="38" t="n">
        <v>229450.14</v>
      </c>
      <c r="K2415" s="38" t="n">
        <v>-186025.58</v>
      </c>
    </row>
    <row r="2416" s="34">
      <c r="A2416" s="40" t="inlineStr">
        <is>
          <t>642.01</t>
        </is>
      </c>
      <c r="B2416" s="40" t="inlineStr">
        <is>
          <t>FAİZ GELİRLERİ HESABI</t>
        </is>
      </c>
      <c r="C2416" s="40" t="inlineStr">
        <is>
          <t>TRY</t>
        </is>
      </c>
      <c r="E2416" s="38" t="n">
        <v>43424.56</v>
      </c>
      <c r="F2416" s="38" t="n">
        <v>229450.14</v>
      </c>
      <c r="G2416" s="38" t="n">
        <v>-186025.58</v>
      </c>
      <c r="I2416" s="38" t="n">
        <v>43424.56</v>
      </c>
      <c r="J2416" s="38" t="n">
        <v>229450.14</v>
      </c>
      <c r="K2416" s="38" t="n">
        <v>-186025.58</v>
      </c>
    </row>
    <row r="2417" s="34">
      <c r="A2417" s="40" t="inlineStr">
        <is>
          <t>642.01.01</t>
        </is>
      </c>
      <c r="B2417" s="40" t="inlineStr">
        <is>
          <t>FAİZ GELİRLERİ</t>
        </is>
      </c>
      <c r="C2417" s="40" t="inlineStr">
        <is>
          <t>TRY</t>
        </is>
      </c>
      <c r="E2417" s="38" t="n">
        <v>43424.56</v>
      </c>
      <c r="F2417" s="38" t="n">
        <v>229450.14</v>
      </c>
      <c r="G2417" s="38" t="n">
        <v>-186025.58</v>
      </c>
      <c r="I2417" s="38" t="n">
        <v>43424.56</v>
      </c>
      <c r="J2417" s="38" t="n">
        <v>229450.14</v>
      </c>
      <c r="K2417" s="38" t="n">
        <v>-186025.58</v>
      </c>
    </row>
    <row r="2418" s="34">
      <c r="A2418" s="40" t="inlineStr">
        <is>
          <t>642.01.01.0001</t>
        </is>
      </c>
      <c r="B2418" s="40" t="inlineStr">
        <is>
          <t>Faiz Gelirleri / Banka</t>
        </is>
      </c>
      <c r="C2418" s="40" t="inlineStr">
        <is>
          <t>TRY</t>
        </is>
      </c>
      <c r="D2418" s="40" t="inlineStr">
        <is>
          <t>GİTAŞ MERKEZ</t>
        </is>
      </c>
      <c r="E2418" s="38" t="n">
        <v>0</v>
      </c>
      <c r="F2418" s="38" t="n">
        <v>80574.45</v>
      </c>
      <c r="G2418" s="38" t="n">
        <v>-80574.45</v>
      </c>
      <c r="H2418" s="40" t="inlineStr">
        <is>
          <t>Alacak</t>
        </is>
      </c>
      <c r="I2418" s="38" t="n">
        <v>0</v>
      </c>
      <c r="J2418" s="38" t="n">
        <v>80574.45</v>
      </c>
      <c r="K2418" s="38" t="n">
        <v>-80574.45</v>
      </c>
      <c r="L2418" s="40" t="inlineStr">
        <is>
          <t>Alacak</t>
        </is>
      </c>
    </row>
    <row r="2419" s="34">
      <c r="A2419" s="40" t="inlineStr">
        <is>
          <t>642.01.01.0001</t>
        </is>
      </c>
      <c r="B2419" s="40" t="inlineStr">
        <is>
          <t>Faiz Gelirleri / Banka</t>
        </is>
      </c>
      <c r="C2419" s="40" t="inlineStr">
        <is>
          <t>TRY</t>
        </is>
      </c>
      <c r="D2419" s="40" t="inlineStr">
        <is>
          <t>ROYAL ADAM EVE</t>
        </is>
      </c>
      <c r="E2419" s="38" t="n">
        <v>0</v>
      </c>
      <c r="F2419" s="38" t="n">
        <v>17586.49</v>
      </c>
      <c r="G2419" s="38" t="n">
        <v>-17586.49</v>
      </c>
      <c r="H2419" s="40" t="inlineStr">
        <is>
          <t>Alacak</t>
        </is>
      </c>
      <c r="I2419" s="38" t="n">
        <v>0</v>
      </c>
      <c r="J2419" s="38" t="n">
        <v>17586.49</v>
      </c>
      <c r="K2419" s="38" t="n">
        <v>-17586.49</v>
      </c>
      <c r="L2419" s="40" t="inlineStr">
        <is>
          <t>Alacak</t>
        </is>
      </c>
    </row>
    <row r="2420" s="34">
      <c r="A2420" s="40" t="inlineStr">
        <is>
          <t>642.01.01.0001</t>
        </is>
      </c>
      <c r="B2420" s="40" t="inlineStr">
        <is>
          <t>Faiz Gelirleri / Banka</t>
        </is>
      </c>
      <c r="C2420" s="40" t="inlineStr">
        <is>
          <t>TRY</t>
        </is>
      </c>
      <c r="D2420" s="40" t="inlineStr">
        <is>
          <t>SERTAŞ MERKEZ</t>
        </is>
      </c>
      <c r="E2420" s="38" t="n">
        <v>43424.56</v>
      </c>
      <c r="F2420" s="38" t="n">
        <v>131289.2</v>
      </c>
      <c r="G2420" s="38" t="n">
        <v>-87864.64</v>
      </c>
      <c r="H2420" s="40" t="inlineStr">
        <is>
          <t>Alacak</t>
        </is>
      </c>
      <c r="I2420" s="38" t="n">
        <v>43424.56</v>
      </c>
      <c r="J2420" s="38" t="n">
        <v>131289.2</v>
      </c>
      <c r="K2420" s="38" t="n">
        <v>-87864.64</v>
      </c>
      <c r="L2420" s="40" t="inlineStr">
        <is>
          <t>Alacak</t>
        </is>
      </c>
    </row>
    <row r="2421" s="34">
      <c r="A2421" s="40" t="inlineStr">
        <is>
          <t>646</t>
        </is>
      </c>
      <c r="B2421" s="40" t="inlineStr">
        <is>
          <t>KAMBİYO KARLARI HESABI</t>
        </is>
      </c>
      <c r="C2421" s="40" t="inlineStr">
        <is>
          <t>TRY</t>
        </is>
      </c>
      <c r="E2421" s="38" t="n">
        <v>0</v>
      </c>
      <c r="F2421" s="38" t="n">
        <v>576812.02</v>
      </c>
      <c r="G2421" s="38" t="n">
        <v>-576812.02</v>
      </c>
      <c r="I2421" s="38" t="n">
        <v>0</v>
      </c>
      <c r="J2421" s="38" t="n">
        <v>15025.55</v>
      </c>
      <c r="K2421" s="38" t="n">
        <v>-15025.55</v>
      </c>
    </row>
    <row r="2422" s="34">
      <c r="A2422" s="40" t="inlineStr">
        <is>
          <t>646.01</t>
        </is>
      </c>
      <c r="B2422" s="40" t="inlineStr">
        <is>
          <t>KAMBİYO KARLARI HESABI</t>
        </is>
      </c>
      <c r="C2422" s="40" t="inlineStr">
        <is>
          <t>TRY</t>
        </is>
      </c>
      <c r="E2422" s="38" t="n">
        <v>0</v>
      </c>
      <c r="F2422" s="38" t="n">
        <v>576812.02</v>
      </c>
      <c r="G2422" s="38" t="n">
        <v>-576812.02</v>
      </c>
      <c r="I2422" s="38" t="n">
        <v>0</v>
      </c>
      <c r="J2422" s="38" t="n">
        <v>15025.55</v>
      </c>
      <c r="K2422" s="38" t="n">
        <v>-15025.55</v>
      </c>
    </row>
    <row r="2423" s="34">
      <c r="A2423" s="40" t="inlineStr">
        <is>
          <t>646.01.01</t>
        </is>
      </c>
      <c r="B2423" s="40" t="inlineStr">
        <is>
          <t>KUR KARLARI</t>
        </is>
      </c>
      <c r="C2423" s="40" t="inlineStr">
        <is>
          <t>TRY</t>
        </is>
      </c>
      <c r="E2423" s="38" t="n">
        <v>0</v>
      </c>
      <c r="F2423" s="38" t="n">
        <v>576812.02</v>
      </c>
      <c r="G2423" s="38" t="n">
        <v>-576812.02</v>
      </c>
      <c r="I2423" s="38" t="n">
        <v>0</v>
      </c>
      <c r="J2423" s="38" t="n">
        <v>15025.55</v>
      </c>
      <c r="K2423" s="38" t="n">
        <v>-15025.55</v>
      </c>
    </row>
    <row r="2424" s="34">
      <c r="A2424" s="40" t="inlineStr">
        <is>
          <t>646.01.01.0001</t>
        </is>
      </c>
      <c r="B2424" s="40" t="inlineStr">
        <is>
          <t>Kur Karları</t>
        </is>
      </c>
      <c r="C2424" s="40" t="inlineStr">
        <is>
          <t>TRY</t>
        </is>
      </c>
      <c r="D2424" s="40" t="inlineStr">
        <is>
          <t>GİTAŞ MERKEZ</t>
        </is>
      </c>
      <c r="E2424" s="38" t="n">
        <v>0</v>
      </c>
      <c r="F2424" s="38" t="n">
        <v>89101.16</v>
      </c>
      <c r="G2424" s="38" t="n">
        <v>-89101.16</v>
      </c>
      <c r="H2424" s="40" t="inlineStr">
        <is>
          <t>Alacak</t>
        </is>
      </c>
      <c r="I2424" s="38" t="n">
        <v>0</v>
      </c>
      <c r="J2424" s="38" t="n">
        <v>0</v>
      </c>
      <c r="K2424" s="38" t="n">
        <v>0</v>
      </c>
    </row>
    <row r="2425" s="34">
      <c r="A2425" s="40" t="inlineStr">
        <is>
          <t>646.01.01.0001</t>
        </is>
      </c>
      <c r="B2425" s="40" t="inlineStr">
        <is>
          <t>Kur Karları</t>
        </is>
      </c>
      <c r="C2425" s="40" t="inlineStr">
        <is>
          <t>TRY</t>
        </is>
      </c>
      <c r="D2425" s="40" t="inlineStr">
        <is>
          <t>ROYAL DRAGON</t>
        </is>
      </c>
      <c r="E2425" s="38" t="n">
        <v>0</v>
      </c>
      <c r="F2425" s="38" t="n">
        <v>2465.39</v>
      </c>
      <c r="G2425" s="38" t="n">
        <v>-2465.39</v>
      </c>
      <c r="H2425" s="40" t="inlineStr">
        <is>
          <t>Alacak</t>
        </is>
      </c>
      <c r="I2425" s="38" t="n">
        <v>0</v>
      </c>
      <c r="J2425" s="38" t="n">
        <v>1248.09</v>
      </c>
      <c r="K2425" s="38" t="n">
        <v>-1248.09</v>
      </c>
      <c r="L2425" s="40" t="inlineStr">
        <is>
          <t>Alacak</t>
        </is>
      </c>
    </row>
    <row r="2426" s="34">
      <c r="A2426" s="40" t="inlineStr">
        <is>
          <t>646.01.01.0001</t>
        </is>
      </c>
      <c r="B2426" s="40" t="inlineStr">
        <is>
          <t>Kur Karları</t>
        </is>
      </c>
      <c r="C2426" s="40" t="inlineStr">
        <is>
          <t>TRY</t>
        </is>
      </c>
      <c r="D2426" s="40" t="inlineStr">
        <is>
          <t>ROYAL HOLIDAY</t>
        </is>
      </c>
      <c r="E2426" s="38" t="n">
        <v>0</v>
      </c>
      <c r="F2426" s="38" t="n">
        <v>631.91</v>
      </c>
      <c r="G2426" s="38" t="n">
        <v>-631.91</v>
      </c>
      <c r="H2426" s="40" t="inlineStr">
        <is>
          <t>Alacak</t>
        </is>
      </c>
      <c r="I2426" s="38" t="n">
        <v>0</v>
      </c>
      <c r="J2426" s="38" t="n">
        <v>631.91</v>
      </c>
      <c r="K2426" s="38" t="n">
        <v>-631.91</v>
      </c>
      <c r="L2426" s="40" t="inlineStr">
        <is>
          <t>Alacak</t>
        </is>
      </c>
    </row>
    <row r="2427" s="34">
      <c r="A2427" s="40" t="inlineStr">
        <is>
          <t>646.01.01.0001</t>
        </is>
      </c>
      <c r="B2427" s="40" t="inlineStr">
        <is>
          <t>Kur Karları</t>
        </is>
      </c>
      <c r="C2427" s="40" t="inlineStr">
        <is>
          <t>TRY</t>
        </is>
      </c>
      <c r="D2427" s="40" t="inlineStr">
        <is>
          <t>ROYAL SEGINUS</t>
        </is>
      </c>
      <c r="E2427" s="38" t="n">
        <v>0</v>
      </c>
      <c r="F2427" s="38" t="n">
        <v>73930.59</v>
      </c>
      <c r="G2427" s="38" t="n">
        <v>-73930.59</v>
      </c>
      <c r="H2427" s="40" t="inlineStr">
        <is>
          <t>Alacak</t>
        </is>
      </c>
      <c r="I2427" s="38" t="n">
        <v>0</v>
      </c>
      <c r="J2427" s="38" t="n">
        <v>0</v>
      </c>
      <c r="K2427" s="38" t="n">
        <v>0</v>
      </c>
    </row>
    <row r="2428" s="34">
      <c r="A2428" s="40" t="inlineStr">
        <is>
          <t>646.01.01.0001</t>
        </is>
      </c>
      <c r="B2428" s="40" t="inlineStr">
        <is>
          <t>Kur Karları</t>
        </is>
      </c>
      <c r="C2428" s="40" t="inlineStr">
        <is>
          <t>TRY</t>
        </is>
      </c>
      <c r="D2428" s="40" t="inlineStr">
        <is>
          <t>SERTAŞ MERKEZ</t>
        </is>
      </c>
      <c r="E2428" s="38" t="n">
        <v>0</v>
      </c>
      <c r="F2428" s="38" t="n">
        <v>397537.42</v>
      </c>
      <c r="G2428" s="38" t="n">
        <v>-397537.42</v>
      </c>
      <c r="H2428" s="40" t="inlineStr">
        <is>
          <t>Alacak</t>
        </is>
      </c>
      <c r="I2428" s="38" t="n">
        <v>0</v>
      </c>
      <c r="J2428" s="38" t="n">
        <v>0</v>
      </c>
      <c r="K2428" s="38" t="n">
        <v>0</v>
      </c>
    </row>
    <row r="2429" s="34">
      <c r="A2429" s="40" t="inlineStr">
        <is>
          <t>646.01.01.0003</t>
        </is>
      </c>
      <c r="B2429" s="40" t="inlineStr">
        <is>
          <t>Kur Karları %10 KDV</t>
        </is>
      </c>
      <c r="C2429" s="40" t="inlineStr">
        <is>
          <t>TRY</t>
        </is>
      </c>
      <c r="D2429" s="40" t="inlineStr">
        <is>
          <t>ROYAL ADAM EVE</t>
        </is>
      </c>
      <c r="E2429" s="38" t="n">
        <v>0</v>
      </c>
      <c r="F2429" s="38" t="n">
        <v>9743.85</v>
      </c>
      <c r="G2429" s="38" t="n">
        <v>-9743.85</v>
      </c>
      <c r="H2429" s="40" t="inlineStr">
        <is>
          <t>Alacak</t>
        </is>
      </c>
      <c r="I2429" s="38" t="n">
        <v>0</v>
      </c>
      <c r="J2429" s="38" t="n">
        <v>9743.85</v>
      </c>
      <c r="K2429" s="38" t="n">
        <v>-9743.85</v>
      </c>
      <c r="L2429" s="40" t="inlineStr">
        <is>
          <t>Alacak</t>
        </is>
      </c>
    </row>
    <row r="2430" s="34">
      <c r="A2430" s="40" t="inlineStr">
        <is>
          <t>646.01.01.0003</t>
        </is>
      </c>
      <c r="B2430" s="40" t="inlineStr">
        <is>
          <t>Kur Karları %10 KDV</t>
        </is>
      </c>
      <c r="C2430" s="40" t="inlineStr">
        <is>
          <t>TRY</t>
        </is>
      </c>
      <c r="D2430" s="40" t="inlineStr">
        <is>
          <t>ROYAL HOLIDAY</t>
        </is>
      </c>
      <c r="E2430" s="38" t="n">
        <v>0</v>
      </c>
      <c r="F2430" s="38" t="n">
        <v>2840.06</v>
      </c>
      <c r="G2430" s="38" t="n">
        <v>-2840.06</v>
      </c>
      <c r="H2430" s="40" t="inlineStr">
        <is>
          <t>Alacak</t>
        </is>
      </c>
      <c r="I2430" s="38" t="n">
        <v>0</v>
      </c>
      <c r="J2430" s="38" t="n">
        <v>2840.06</v>
      </c>
      <c r="K2430" s="38" t="n">
        <v>-2840.06</v>
      </c>
      <c r="L2430" s="40" t="inlineStr">
        <is>
          <t>Alacak</t>
        </is>
      </c>
    </row>
    <row r="2431" s="34">
      <c r="A2431" s="40" t="inlineStr">
        <is>
          <t>646.01.01.0003</t>
        </is>
      </c>
      <c r="B2431" s="40" t="inlineStr">
        <is>
          <t>Kur Karları %10 KDV</t>
        </is>
      </c>
      <c r="C2431" s="40" t="inlineStr">
        <is>
          <t>TRY</t>
        </is>
      </c>
      <c r="D2431" s="40" t="inlineStr">
        <is>
          <t>ROYAL SEGINUS</t>
        </is>
      </c>
      <c r="E2431" s="38" t="n">
        <v>0</v>
      </c>
      <c r="F2431" s="38" t="n">
        <v>561.64</v>
      </c>
      <c r="G2431" s="38" t="n">
        <v>-561.64</v>
      </c>
      <c r="H2431" s="40" t="inlineStr">
        <is>
          <t>Alacak</t>
        </is>
      </c>
      <c r="I2431" s="38" t="n">
        <v>0</v>
      </c>
      <c r="J2431" s="38" t="n">
        <v>561.64</v>
      </c>
      <c r="K2431" s="38" t="n">
        <v>-561.64</v>
      </c>
      <c r="L2431" s="40" t="inlineStr">
        <is>
          <t>Alacak</t>
        </is>
      </c>
    </row>
    <row r="2432" s="34">
      <c r="A2432" s="40" t="inlineStr">
        <is>
          <t>65</t>
        </is>
      </c>
      <c r="B2432" s="40" t="inlineStr">
        <is>
          <t>DİĞER FAALİYETLERDEN OLAĞAN GİDERLER VE ZARARLAR</t>
        </is>
      </c>
      <c r="C2432" s="40" t="inlineStr">
        <is>
          <t>TRY</t>
        </is>
      </c>
      <c r="E2432" s="38" t="n">
        <v>211545.04</v>
      </c>
      <c r="F2432" s="38" t="n">
        <v>0</v>
      </c>
      <c r="G2432" s="38" t="n">
        <v>211545.04</v>
      </c>
      <c r="I2432" s="38" t="n">
        <v>0</v>
      </c>
      <c r="J2432" s="38" t="n">
        <v>0</v>
      </c>
      <c r="K2432" s="38" t="n">
        <v>0</v>
      </c>
    </row>
    <row r="2433" s="34">
      <c r="A2433" s="40" t="inlineStr">
        <is>
          <t>656</t>
        </is>
      </c>
      <c r="B2433" s="40" t="inlineStr">
        <is>
          <t>KAMBİYO ZARARLARI HESABI (-)</t>
        </is>
      </c>
      <c r="C2433" s="40" t="inlineStr">
        <is>
          <t>TRY</t>
        </is>
      </c>
      <c r="E2433" s="38" t="n">
        <v>211545.04</v>
      </c>
      <c r="F2433" s="38" t="n">
        <v>0</v>
      </c>
      <c r="G2433" s="38" t="n">
        <v>211545.04</v>
      </c>
      <c r="I2433" s="38" t="n">
        <v>0</v>
      </c>
      <c r="J2433" s="38" t="n">
        <v>0</v>
      </c>
      <c r="K2433" s="38" t="n">
        <v>0</v>
      </c>
    </row>
    <row r="2434" s="34">
      <c r="A2434" s="40" t="inlineStr">
        <is>
          <t>656.01</t>
        </is>
      </c>
      <c r="B2434" s="40" t="inlineStr">
        <is>
          <t>KAMBİYO ZARARLARI HESABI (-)</t>
        </is>
      </c>
      <c r="C2434" s="40" t="inlineStr">
        <is>
          <t>TRY</t>
        </is>
      </c>
      <c r="E2434" s="38" t="n">
        <v>211545.04</v>
      </c>
      <c r="F2434" s="38" t="n">
        <v>0</v>
      </c>
      <c r="G2434" s="38" t="n">
        <v>211545.04</v>
      </c>
      <c r="I2434" s="38" t="n">
        <v>0</v>
      </c>
      <c r="J2434" s="38" t="n">
        <v>0</v>
      </c>
      <c r="K2434" s="38" t="n">
        <v>0</v>
      </c>
    </row>
    <row r="2435" s="34">
      <c r="A2435" s="40" t="inlineStr">
        <is>
          <t>656.01.01</t>
        </is>
      </c>
      <c r="B2435" s="40" t="inlineStr">
        <is>
          <t>KUR ZARARLARI</t>
        </is>
      </c>
      <c r="C2435" s="40" t="inlineStr">
        <is>
          <t>TRY</t>
        </is>
      </c>
      <c r="E2435" s="38" t="n">
        <v>211545.04</v>
      </c>
      <c r="F2435" s="38" t="n">
        <v>0</v>
      </c>
      <c r="G2435" s="38" t="n">
        <v>211545.04</v>
      </c>
      <c r="I2435" s="38" t="n">
        <v>0</v>
      </c>
      <c r="J2435" s="38" t="n">
        <v>0</v>
      </c>
      <c r="K2435" s="38" t="n">
        <v>0</v>
      </c>
    </row>
    <row r="2436" s="34">
      <c r="A2436" s="40" t="inlineStr">
        <is>
          <t>656.01.01.0001</t>
        </is>
      </c>
      <c r="B2436" s="40" t="inlineStr">
        <is>
          <t>Kur Zararları</t>
        </is>
      </c>
      <c r="C2436" s="40" t="inlineStr">
        <is>
          <t>TRY</t>
        </is>
      </c>
      <c r="D2436" s="40" t="inlineStr">
        <is>
          <t>GİTAŞ MERKEZ</t>
        </is>
      </c>
      <c r="E2436" s="38" t="n">
        <v>2148.54</v>
      </c>
      <c r="F2436" s="38" t="n">
        <v>0</v>
      </c>
      <c r="G2436" s="38" t="n">
        <v>2148.54</v>
      </c>
      <c r="H2436" s="40" t="inlineStr">
        <is>
          <t>Borç</t>
        </is>
      </c>
      <c r="I2436" s="38" t="n">
        <v>0</v>
      </c>
      <c r="J2436" s="38" t="n">
        <v>0</v>
      </c>
      <c r="K2436" s="38" t="n">
        <v>0</v>
      </c>
    </row>
    <row r="2437" s="34">
      <c r="A2437" s="40" t="inlineStr">
        <is>
          <t>656.01.01.0001</t>
        </is>
      </c>
      <c r="B2437" s="40" t="inlineStr">
        <is>
          <t>Kur Zararları</t>
        </is>
      </c>
      <c r="C2437" s="40" t="inlineStr">
        <is>
          <t>TRY</t>
        </is>
      </c>
      <c r="D2437" s="40" t="inlineStr">
        <is>
          <t>ROYAL ADAM EVE</t>
        </is>
      </c>
      <c r="E2437" s="38" t="n">
        <v>22258.78</v>
      </c>
      <c r="F2437" s="38" t="n">
        <v>0</v>
      </c>
      <c r="G2437" s="38" t="n">
        <v>22258.78</v>
      </c>
      <c r="H2437" s="40" t="inlineStr">
        <is>
          <t>Borç</t>
        </is>
      </c>
      <c r="I2437" s="38" t="n">
        <v>0</v>
      </c>
      <c r="J2437" s="38" t="n">
        <v>0</v>
      </c>
      <c r="K2437" s="38" t="n">
        <v>0</v>
      </c>
    </row>
    <row r="2438" s="34">
      <c r="A2438" s="40" t="inlineStr">
        <is>
          <t>656.01.01.0001</t>
        </is>
      </c>
      <c r="B2438" s="40" t="inlineStr">
        <is>
          <t>Kur Zararları</t>
        </is>
      </c>
      <c r="C2438" s="40" t="inlineStr">
        <is>
          <t>TRY</t>
        </is>
      </c>
      <c r="D2438" s="40" t="inlineStr">
        <is>
          <t>ROYAL DRAGON</t>
        </is>
      </c>
      <c r="E2438" s="38" t="n">
        <v>143.87</v>
      </c>
      <c r="F2438" s="38" t="n">
        <v>0</v>
      </c>
      <c r="G2438" s="38" t="n">
        <v>143.87</v>
      </c>
      <c r="H2438" s="40" t="inlineStr">
        <is>
          <t>Borç</t>
        </is>
      </c>
      <c r="I2438" s="38" t="n">
        <v>0</v>
      </c>
      <c r="J2438" s="38" t="n">
        <v>0</v>
      </c>
      <c r="K2438" s="38" t="n">
        <v>0</v>
      </c>
    </row>
    <row r="2439" s="34">
      <c r="A2439" s="40" t="inlineStr">
        <is>
          <t>656.01.01.0001</t>
        </is>
      </c>
      <c r="B2439" s="40" t="inlineStr">
        <is>
          <t>Kur Zararları</t>
        </is>
      </c>
      <c r="C2439" s="40" t="inlineStr">
        <is>
          <t>TRY</t>
        </is>
      </c>
      <c r="D2439" s="40" t="inlineStr">
        <is>
          <t>ROYAL SEGINUS</t>
        </is>
      </c>
      <c r="E2439" s="38" t="n">
        <v>69362.31</v>
      </c>
      <c r="F2439" s="38" t="n">
        <v>0</v>
      </c>
      <c r="G2439" s="38" t="n">
        <v>69362.31</v>
      </c>
      <c r="H2439" s="40" t="inlineStr">
        <is>
          <t>Borç</t>
        </is>
      </c>
      <c r="I2439" s="38" t="n">
        <v>0</v>
      </c>
      <c r="J2439" s="38" t="n">
        <v>0</v>
      </c>
      <c r="K2439" s="38" t="n">
        <v>0</v>
      </c>
    </row>
    <row r="2440" s="34">
      <c r="A2440" s="40" t="inlineStr">
        <is>
          <t>656.01.01.0001</t>
        </is>
      </c>
      <c r="B2440" s="40" t="inlineStr">
        <is>
          <t>Kur Zararları</t>
        </is>
      </c>
      <c r="C2440" s="40" t="inlineStr">
        <is>
          <t>TRY</t>
        </is>
      </c>
      <c r="D2440" s="40" t="inlineStr">
        <is>
          <t>SERTAŞ MERKEZ</t>
        </is>
      </c>
      <c r="E2440" s="38" t="n">
        <v>117631.54</v>
      </c>
      <c r="F2440" s="38" t="n">
        <v>0</v>
      </c>
      <c r="G2440" s="38" t="n">
        <v>117631.54</v>
      </c>
      <c r="H2440" s="40" t="inlineStr">
        <is>
          <t>Borç</t>
        </is>
      </c>
      <c r="I2440" s="38" t="n">
        <v>0</v>
      </c>
      <c r="J2440" s="38" t="n">
        <v>0</v>
      </c>
      <c r="K2440" s="38" t="n">
        <v>0</v>
      </c>
    </row>
    <row r="2441" s="34">
      <c r="A2441" s="40" t="inlineStr">
        <is>
          <t>67</t>
        </is>
      </c>
      <c r="B2441" s="40" t="inlineStr">
        <is>
          <t>OLAĞAN DIŞI GELİR VE KARLAR</t>
        </is>
      </c>
      <c r="C2441" s="40" t="inlineStr">
        <is>
          <t>TRY</t>
        </is>
      </c>
      <c r="E2441" s="38" t="n">
        <v>54266</v>
      </c>
      <c r="F2441" s="38" t="n">
        <v>1463296.77</v>
      </c>
      <c r="G2441" s="38" t="n">
        <v>-1409030.77</v>
      </c>
      <c r="I2441" s="38" t="n">
        <v>54266</v>
      </c>
      <c r="J2441" s="38" t="n">
        <v>1463296.77</v>
      </c>
      <c r="K2441" s="38" t="n">
        <v>-1409030.77</v>
      </c>
    </row>
    <row r="2442" s="34">
      <c r="A2442" s="40" t="inlineStr">
        <is>
          <t>679</t>
        </is>
      </c>
      <c r="B2442" s="40" t="inlineStr">
        <is>
          <t>DİĞER OLAĞANDIŞI GELİR VE KARLAR HESABI</t>
        </is>
      </c>
      <c r="C2442" s="40" t="inlineStr">
        <is>
          <t>TRY</t>
        </is>
      </c>
      <c r="E2442" s="38" t="n">
        <v>54266</v>
      </c>
      <c r="F2442" s="38" t="n">
        <v>1463296.77</v>
      </c>
      <c r="G2442" s="38" t="n">
        <v>-1409030.77</v>
      </c>
      <c r="I2442" s="38" t="n">
        <v>54266</v>
      </c>
      <c r="J2442" s="38" t="n">
        <v>1463296.77</v>
      </c>
      <c r="K2442" s="38" t="n">
        <v>-1409030.77</v>
      </c>
    </row>
    <row r="2443" s="34">
      <c r="A2443" s="40" t="inlineStr">
        <is>
          <t>679.01</t>
        </is>
      </c>
      <c r="B2443" s="40" t="inlineStr">
        <is>
          <t>DİĞER OLAĞANDIŞI GELİR VE KARLAR HESABI</t>
        </is>
      </c>
      <c r="C2443" s="40" t="inlineStr">
        <is>
          <t>TRY</t>
        </is>
      </c>
      <c r="E2443" s="38" t="n">
        <v>54266</v>
      </c>
      <c r="F2443" s="38" t="n">
        <v>1463296.77</v>
      </c>
      <c r="G2443" s="38" t="n">
        <v>-1409030.77</v>
      </c>
      <c r="I2443" s="38" t="n">
        <v>54266</v>
      </c>
      <c r="J2443" s="38" t="n">
        <v>1463296.77</v>
      </c>
      <c r="K2443" s="38" t="n">
        <v>-1409030.77</v>
      </c>
    </row>
    <row r="2444" s="34">
      <c r="A2444" s="40" t="inlineStr">
        <is>
          <t>679.01.01</t>
        </is>
      </c>
      <c r="B2444" s="40" t="inlineStr">
        <is>
          <t>DİĞER KARLAR</t>
        </is>
      </c>
      <c r="C2444" s="40" t="inlineStr">
        <is>
          <t>TRY</t>
        </is>
      </c>
      <c r="E2444" s="38" t="n">
        <v>54266</v>
      </c>
      <c r="F2444" s="38" t="n">
        <v>1463296.77</v>
      </c>
      <c r="G2444" s="38" t="n">
        <v>-1409030.77</v>
      </c>
      <c r="I2444" s="38" t="n">
        <v>54266</v>
      </c>
      <c r="J2444" s="38" t="n">
        <v>1463296.77</v>
      </c>
      <c r="K2444" s="38" t="n">
        <v>-1409030.77</v>
      </c>
    </row>
    <row r="2445" s="34">
      <c r="A2445" s="40" t="inlineStr">
        <is>
          <t>679.01.01.0002</t>
        </is>
      </c>
      <c r="B2445" s="40" t="inlineStr">
        <is>
          <t>Hesap Yuvarlama Farkları</t>
        </is>
      </c>
      <c r="C2445" s="40" t="inlineStr">
        <is>
          <t>TRY</t>
        </is>
      </c>
      <c r="D2445" s="40" t="inlineStr">
        <is>
          <t>GİTAŞ MERKEZ</t>
        </is>
      </c>
      <c r="E2445" s="38" t="n">
        <v>0</v>
      </c>
      <c r="F2445" s="38" t="n">
        <v>2000.01</v>
      </c>
      <c r="G2445" s="38" t="n">
        <v>-2000.01</v>
      </c>
      <c r="H2445" s="40" t="inlineStr">
        <is>
          <t>Alacak</t>
        </is>
      </c>
      <c r="I2445" s="38" t="n">
        <v>0</v>
      </c>
      <c r="J2445" s="38" t="n">
        <v>2000.01</v>
      </c>
      <c r="K2445" s="38" t="n">
        <v>-2000.01</v>
      </c>
      <c r="L2445" s="40" t="inlineStr">
        <is>
          <t>Alacak</t>
        </is>
      </c>
    </row>
    <row r="2446" s="34">
      <c r="A2446" s="40" t="inlineStr">
        <is>
          <t>679.01.01.0002</t>
        </is>
      </c>
      <c r="B2446" s="40" t="inlineStr">
        <is>
          <t>Hesap Yuvarlama Farkları</t>
        </is>
      </c>
      <c r="C2446" s="40" t="inlineStr">
        <is>
          <t>TRY</t>
        </is>
      </c>
      <c r="D2446" s="40" t="inlineStr">
        <is>
          <t>ROYAL ADAM EVE</t>
        </is>
      </c>
      <c r="E2446" s="38" t="n">
        <v>0</v>
      </c>
      <c r="F2446" s="38" t="n">
        <v>0.12</v>
      </c>
      <c r="G2446" s="38" t="n">
        <v>-0.12</v>
      </c>
      <c r="H2446" s="40" t="inlineStr">
        <is>
          <t>Alacak</t>
        </is>
      </c>
      <c r="I2446" s="38" t="n">
        <v>0</v>
      </c>
      <c r="J2446" s="38" t="n">
        <v>0.12</v>
      </c>
      <c r="K2446" s="38" t="n">
        <v>-0.12</v>
      </c>
      <c r="L2446" s="40" t="inlineStr">
        <is>
          <t>Alacak</t>
        </is>
      </c>
    </row>
    <row r="2447" s="34">
      <c r="A2447" s="40" t="inlineStr">
        <is>
          <t>679.01.01.0002</t>
        </is>
      </c>
      <c r="B2447" s="40" t="inlineStr">
        <is>
          <t>Hesap Yuvarlama Farkları</t>
        </is>
      </c>
      <c r="C2447" s="40" t="inlineStr">
        <is>
          <t>TRY</t>
        </is>
      </c>
      <c r="D2447" s="40" t="inlineStr">
        <is>
          <t>ROYAL ALHAMBRA</t>
        </is>
      </c>
      <c r="E2447" s="38" t="n">
        <v>0</v>
      </c>
      <c r="F2447" s="38" t="n">
        <v>0.35</v>
      </c>
      <c r="G2447" s="38" t="n">
        <v>-0.35</v>
      </c>
      <c r="H2447" s="40" t="inlineStr">
        <is>
          <t>Alacak</t>
        </is>
      </c>
      <c r="I2447" s="38" t="n">
        <v>0</v>
      </c>
      <c r="J2447" s="38" t="n">
        <v>0.35</v>
      </c>
      <c r="K2447" s="38" t="n">
        <v>-0.35</v>
      </c>
      <c r="L2447" s="40" t="inlineStr">
        <is>
          <t>Alacak</t>
        </is>
      </c>
    </row>
    <row r="2448" s="34">
      <c r="A2448" s="40" t="inlineStr">
        <is>
          <t>679.01.01.0002</t>
        </is>
      </c>
      <c r="B2448" s="40" t="inlineStr">
        <is>
          <t>Hesap Yuvarlama Farkları</t>
        </is>
      </c>
      <c r="C2448" s="40" t="inlineStr">
        <is>
          <t>TRY</t>
        </is>
      </c>
      <c r="D2448" s="40" t="inlineStr">
        <is>
          <t>ROYAL DRAGON</t>
        </is>
      </c>
      <c r="E2448" s="38" t="n">
        <v>0</v>
      </c>
      <c r="F2448" s="38" t="n">
        <v>0.14</v>
      </c>
      <c r="G2448" s="38" t="n">
        <v>-0.14</v>
      </c>
      <c r="H2448" s="40" t="inlineStr">
        <is>
          <t>Alacak</t>
        </is>
      </c>
      <c r="I2448" s="38" t="n">
        <v>0</v>
      </c>
      <c r="J2448" s="38" t="n">
        <v>0.14</v>
      </c>
      <c r="K2448" s="38" t="n">
        <v>-0.14</v>
      </c>
      <c r="L2448" s="40" t="inlineStr">
        <is>
          <t>Alacak</t>
        </is>
      </c>
    </row>
    <row r="2449" s="34">
      <c r="A2449" s="40" t="inlineStr">
        <is>
          <t>679.01.01.0002</t>
        </is>
      </c>
      <c r="B2449" s="40" t="inlineStr">
        <is>
          <t>Hesap Yuvarlama Farkları</t>
        </is>
      </c>
      <c r="C2449" s="40" t="inlineStr">
        <is>
          <t>TRY</t>
        </is>
      </c>
      <c r="D2449" s="40" t="inlineStr">
        <is>
          <t>ROYAL HOLIDAY</t>
        </is>
      </c>
      <c r="E2449" s="38" t="n">
        <v>0</v>
      </c>
      <c r="F2449" s="38" t="n">
        <v>4.88</v>
      </c>
      <c r="G2449" s="38" t="n">
        <v>-4.88</v>
      </c>
      <c r="H2449" s="40" t="inlineStr">
        <is>
          <t>Alacak</t>
        </is>
      </c>
      <c r="I2449" s="38" t="n">
        <v>0</v>
      </c>
      <c r="J2449" s="38" t="n">
        <v>4.88</v>
      </c>
      <c r="K2449" s="38" t="n">
        <v>-4.88</v>
      </c>
      <c r="L2449" s="40" t="inlineStr">
        <is>
          <t>Alacak</t>
        </is>
      </c>
    </row>
    <row r="2450" s="34">
      <c r="A2450" s="40" t="inlineStr">
        <is>
          <t>679.01.01.0002</t>
        </is>
      </c>
      <c r="B2450" s="40" t="inlineStr">
        <is>
          <t>Hesap Yuvarlama Farkları</t>
        </is>
      </c>
      <c r="C2450" s="40" t="inlineStr">
        <is>
          <t>TRY</t>
        </is>
      </c>
      <c r="D2450" s="40" t="inlineStr">
        <is>
          <t>ROYAL SEGINUS</t>
        </is>
      </c>
      <c r="E2450" s="38" t="n">
        <v>0</v>
      </c>
      <c r="F2450" s="38" t="n">
        <v>0.09</v>
      </c>
      <c r="G2450" s="38" t="n">
        <v>-0.09</v>
      </c>
      <c r="H2450" s="40" t="inlineStr">
        <is>
          <t>Alacak</t>
        </is>
      </c>
      <c r="I2450" s="38" t="n">
        <v>0</v>
      </c>
      <c r="J2450" s="38" t="n">
        <v>0.09</v>
      </c>
      <c r="K2450" s="38" t="n">
        <v>-0.09</v>
      </c>
      <c r="L2450" s="40" t="inlineStr">
        <is>
          <t>Alacak</t>
        </is>
      </c>
    </row>
    <row r="2451" s="34">
      <c r="A2451" s="40" t="inlineStr">
        <is>
          <t>679.01.01.0002</t>
        </is>
      </c>
      <c r="B2451" s="40" t="inlineStr">
        <is>
          <t>Hesap Yuvarlama Farkları</t>
        </is>
      </c>
      <c r="C2451" s="40" t="inlineStr">
        <is>
          <t>TRY</t>
        </is>
      </c>
      <c r="D2451" s="40" t="inlineStr">
        <is>
          <t>SERTAŞ MERKEZ</t>
        </is>
      </c>
      <c r="E2451" s="38" t="n">
        <v>0</v>
      </c>
      <c r="F2451" s="38" t="n">
        <v>3584.43</v>
      </c>
      <c r="G2451" s="38" t="n">
        <v>-3584.43</v>
      </c>
      <c r="H2451" s="40" t="inlineStr">
        <is>
          <t>Alacak</t>
        </is>
      </c>
      <c r="I2451" s="38" t="n">
        <v>0</v>
      </c>
      <c r="J2451" s="38" t="n">
        <v>3584.43</v>
      </c>
      <c r="K2451" s="38" t="n">
        <v>-3584.43</v>
      </c>
      <c r="L2451" s="40" t="inlineStr">
        <is>
          <t>Alacak</t>
        </is>
      </c>
    </row>
    <row r="2452" s="34">
      <c r="A2452" s="40" t="inlineStr">
        <is>
          <t>679.01.01.0003</t>
        </is>
      </c>
      <c r="B2452" s="40" t="inlineStr">
        <is>
          <t>Mahkeme İlamlı Ssk Ödemeleri</t>
        </is>
      </c>
      <c r="C2452" s="40" t="inlineStr">
        <is>
          <t>TRY</t>
        </is>
      </c>
      <c r="D2452" s="40" t="inlineStr">
        <is>
          <t>ROYAL DRAGON</t>
        </is>
      </c>
      <c r="E2452" s="38" t="n">
        <v>0</v>
      </c>
      <c r="F2452" s="38" t="n">
        <v>5771.29</v>
      </c>
      <c r="G2452" s="38" t="n">
        <v>-5771.29</v>
      </c>
      <c r="H2452" s="40" t="inlineStr">
        <is>
          <t>Alacak</t>
        </is>
      </c>
      <c r="I2452" s="38" t="n">
        <v>0</v>
      </c>
      <c r="J2452" s="38" t="n">
        <v>5771.29</v>
      </c>
      <c r="K2452" s="38" t="n">
        <v>-5771.29</v>
      </c>
      <c r="L2452" s="40" t="inlineStr">
        <is>
          <t>Alacak</t>
        </is>
      </c>
    </row>
    <row r="2453" s="34">
      <c r="A2453" s="40" t="inlineStr">
        <is>
          <t>679.01.01.0003</t>
        </is>
      </c>
      <c r="B2453" s="40" t="inlineStr">
        <is>
          <t>Mahkeme İlamlı Ssk Ödemeleri</t>
        </is>
      </c>
      <c r="C2453" s="40" t="inlineStr">
        <is>
          <t>TRY</t>
        </is>
      </c>
      <c r="D2453" s="40" t="inlineStr">
        <is>
          <t>ROYAL SEGINUS</t>
        </is>
      </c>
      <c r="E2453" s="38" t="n">
        <v>0</v>
      </c>
      <c r="F2453" s="38" t="n">
        <v>19022.19</v>
      </c>
      <c r="G2453" s="38" t="n">
        <v>-19022.19</v>
      </c>
      <c r="H2453" s="40" t="inlineStr">
        <is>
          <t>Alacak</t>
        </is>
      </c>
      <c r="I2453" s="38" t="n">
        <v>0</v>
      </c>
      <c r="J2453" s="38" t="n">
        <v>19022.19</v>
      </c>
      <c r="K2453" s="38" t="n">
        <v>-19022.19</v>
      </c>
      <c r="L2453" s="40" t="inlineStr">
        <is>
          <t>Alacak</t>
        </is>
      </c>
    </row>
    <row r="2454" s="34">
      <c r="A2454" s="40" t="inlineStr">
        <is>
          <t>679.01.01.0003</t>
        </is>
      </c>
      <c r="B2454" s="40" t="inlineStr">
        <is>
          <t>Mahkeme İlamlı Ssk Ödemeleri</t>
        </is>
      </c>
      <c r="C2454" s="40" t="inlineStr">
        <is>
          <t>TRY</t>
        </is>
      </c>
      <c r="D2454" s="40" t="inlineStr">
        <is>
          <t>SERTAŞ MERKEZ</t>
        </is>
      </c>
      <c r="E2454" s="38" t="n">
        <v>0</v>
      </c>
      <c r="F2454" s="38" t="n">
        <v>9094.25</v>
      </c>
      <c r="G2454" s="38" t="n">
        <v>-9094.25</v>
      </c>
      <c r="H2454" s="40" t="inlineStr">
        <is>
          <t>Alacak</t>
        </is>
      </c>
      <c r="I2454" s="38" t="n">
        <v>0</v>
      </c>
      <c r="J2454" s="38" t="n">
        <v>9094.25</v>
      </c>
      <c r="K2454" s="38" t="n">
        <v>-9094.25</v>
      </c>
      <c r="L2454" s="40" t="inlineStr">
        <is>
          <t>Alacak</t>
        </is>
      </c>
    </row>
    <row r="2455" s="34">
      <c r="A2455" s="40" t="inlineStr">
        <is>
          <t>679.01.01.0004</t>
        </is>
      </c>
      <c r="B2455" s="40" t="inlineStr">
        <is>
          <t>Diğer Olağandışı Gelirler Ve Karlar</t>
        </is>
      </c>
      <c r="C2455" s="40" t="inlineStr">
        <is>
          <t>TRY</t>
        </is>
      </c>
      <c r="D2455" s="40" t="inlineStr">
        <is>
          <t>ROYAL ALHAMBRA</t>
        </is>
      </c>
      <c r="E2455" s="38" t="n">
        <v>0</v>
      </c>
      <c r="F2455" s="38" t="n">
        <v>1071390.85</v>
      </c>
      <c r="G2455" s="38" t="n">
        <v>-1071390.85</v>
      </c>
      <c r="H2455" s="40" t="inlineStr">
        <is>
          <t>Alacak</t>
        </is>
      </c>
      <c r="I2455" s="38" t="n">
        <v>0</v>
      </c>
      <c r="J2455" s="38" t="n">
        <v>1071390.85</v>
      </c>
      <c r="K2455" s="38" t="n">
        <v>-1071390.85</v>
      </c>
      <c r="L2455" s="40" t="inlineStr">
        <is>
          <t>Alacak</t>
        </is>
      </c>
    </row>
    <row r="2456" s="34">
      <c r="A2456" s="40" t="inlineStr">
        <is>
          <t>679.01.01.0004</t>
        </is>
      </c>
      <c r="B2456" s="40" t="inlineStr">
        <is>
          <t>Diğer Olağandışı Gelirler Ve Karlar</t>
        </is>
      </c>
      <c r="C2456" s="40" t="inlineStr">
        <is>
          <t>TRY</t>
        </is>
      </c>
      <c r="D2456" s="40" t="inlineStr">
        <is>
          <t>SERTAŞ MERKEZ</t>
        </is>
      </c>
      <c r="E2456" s="38" t="n">
        <v>0</v>
      </c>
      <c r="F2456" s="38" t="n">
        <v>45350</v>
      </c>
      <c r="G2456" s="38" t="n">
        <v>-45350</v>
      </c>
      <c r="H2456" s="40" t="inlineStr">
        <is>
          <t>Alacak</t>
        </is>
      </c>
      <c r="I2456" s="38" t="n">
        <v>0</v>
      </c>
      <c r="J2456" s="38" t="n">
        <v>45350</v>
      </c>
      <c r="K2456" s="38" t="n">
        <v>-45350</v>
      </c>
      <c r="L2456" s="40" t="inlineStr">
        <is>
          <t>Alacak</t>
        </is>
      </c>
    </row>
    <row r="2457" s="34">
      <c r="A2457" s="40" t="inlineStr">
        <is>
          <t>679.01.01.0005</t>
        </is>
      </c>
      <c r="B2457" s="40" t="inlineStr">
        <is>
          <t>Hesap Mutabakat Farkları</t>
        </is>
      </c>
      <c r="C2457" s="40" t="inlineStr">
        <is>
          <t>TRY</t>
        </is>
      </c>
      <c r="D2457" s="40" t="inlineStr">
        <is>
          <t>ROYAL ADAM EVE</t>
        </is>
      </c>
      <c r="E2457" s="38" t="n">
        <v>0</v>
      </c>
      <c r="F2457" s="38" t="n">
        <v>3144.69</v>
      </c>
      <c r="G2457" s="38" t="n">
        <v>-3144.69</v>
      </c>
      <c r="H2457" s="40" t="inlineStr">
        <is>
          <t>Alacak</t>
        </is>
      </c>
      <c r="I2457" s="38" t="n">
        <v>0</v>
      </c>
      <c r="J2457" s="38" t="n">
        <v>3144.69</v>
      </c>
      <c r="K2457" s="38" t="n">
        <v>-3144.69</v>
      </c>
      <c r="L2457" s="40" t="inlineStr">
        <is>
          <t>Alacak</t>
        </is>
      </c>
    </row>
    <row r="2458" s="34">
      <c r="A2458" s="40" t="inlineStr">
        <is>
          <t>679.01.01.0005</t>
        </is>
      </c>
      <c r="B2458" s="40" t="inlineStr">
        <is>
          <t>Hesap Mutabakat Farkları</t>
        </is>
      </c>
      <c r="C2458" s="40" t="inlineStr">
        <is>
          <t>TRY</t>
        </is>
      </c>
      <c r="D2458" s="40" t="inlineStr">
        <is>
          <t>ROYAL DRAGON</t>
        </is>
      </c>
      <c r="E2458" s="38" t="n">
        <v>0</v>
      </c>
      <c r="F2458" s="38" t="n">
        <v>25918.8</v>
      </c>
      <c r="G2458" s="38" t="n">
        <v>-25918.8</v>
      </c>
      <c r="H2458" s="40" t="inlineStr">
        <is>
          <t>Alacak</t>
        </is>
      </c>
      <c r="I2458" s="38" t="n">
        <v>0</v>
      </c>
      <c r="J2458" s="38" t="n">
        <v>25918.8</v>
      </c>
      <c r="K2458" s="38" t="n">
        <v>-25918.8</v>
      </c>
      <c r="L2458" s="40" t="inlineStr">
        <is>
          <t>Alacak</t>
        </is>
      </c>
    </row>
    <row r="2459" s="34">
      <c r="A2459" s="40" t="inlineStr">
        <is>
          <t>679.01.01.0005</t>
        </is>
      </c>
      <c r="B2459" s="40" t="inlineStr">
        <is>
          <t>Hesap Mutabakat Farkları</t>
        </is>
      </c>
      <c r="C2459" s="40" t="inlineStr">
        <is>
          <t>TRY</t>
        </is>
      </c>
      <c r="D2459" s="40" t="inlineStr">
        <is>
          <t>SERTAŞ MERKEZ</t>
        </is>
      </c>
      <c r="E2459" s="38" t="n">
        <v>0</v>
      </c>
      <c r="F2459" s="38" t="n">
        <v>973.17</v>
      </c>
      <c r="G2459" s="38" t="n">
        <v>-973.17</v>
      </c>
      <c r="H2459" s="40" t="inlineStr">
        <is>
          <t>Alacak</t>
        </is>
      </c>
      <c r="I2459" s="38" t="n">
        <v>0</v>
      </c>
      <c r="J2459" s="38" t="n">
        <v>973.17</v>
      </c>
      <c r="K2459" s="38" t="n">
        <v>-973.17</v>
      </c>
      <c r="L2459" s="40" t="inlineStr">
        <is>
          <t>Alacak</t>
        </is>
      </c>
    </row>
    <row r="2460" s="34">
      <c r="A2460" s="40" t="inlineStr">
        <is>
          <t>679.01.01.0006</t>
        </is>
      </c>
      <c r="B2460" s="40" t="inlineStr">
        <is>
          <t>Alt Kiracılar %1 Hasılat Payı</t>
        </is>
      </c>
      <c r="C2460" s="40" t="inlineStr">
        <is>
          <t>TRY</t>
        </is>
      </c>
      <c r="D2460" s="40" t="inlineStr">
        <is>
          <t>ROYAL ALHAMBRA</t>
        </is>
      </c>
      <c r="E2460" s="38" t="n">
        <v>54266</v>
      </c>
      <c r="F2460" s="38" t="n">
        <v>277041.51</v>
      </c>
      <c r="G2460" s="38" t="n">
        <v>-222775.51</v>
      </c>
      <c r="H2460" s="40" t="inlineStr">
        <is>
          <t>Alacak</t>
        </is>
      </c>
      <c r="I2460" s="38" t="n">
        <v>54266</v>
      </c>
      <c r="J2460" s="38" t="n">
        <v>277041.51</v>
      </c>
      <c r="K2460" s="38" t="n">
        <v>-222775.51</v>
      </c>
      <c r="L2460" s="40" t="inlineStr">
        <is>
          <t>Alacak</t>
        </is>
      </c>
    </row>
    <row r="2461" s="34">
      <c r="A2461" s="40" t="inlineStr">
        <is>
          <t>68</t>
        </is>
      </c>
      <c r="B2461" s="40" t="inlineStr">
        <is>
          <t>OLAĞAN DIŞI GİDER VE ZARARLAR</t>
        </is>
      </c>
      <c r="C2461" s="40" t="inlineStr">
        <is>
          <t>TRY</t>
        </is>
      </c>
      <c r="E2461" s="38" t="n">
        <v>1946188.44</v>
      </c>
      <c r="F2461" s="38" t="n">
        <v>0</v>
      </c>
      <c r="G2461" s="38" t="n">
        <v>1946188.44</v>
      </c>
      <c r="I2461" s="38" t="n">
        <v>1946188.44</v>
      </c>
      <c r="J2461" s="38" t="n">
        <v>0</v>
      </c>
      <c r="K2461" s="38" t="n">
        <v>1946188.44</v>
      </c>
    </row>
    <row r="2462" s="34">
      <c r="A2462" s="40" t="inlineStr">
        <is>
          <t>681</t>
        </is>
      </c>
      <c r="B2462" s="40" t="inlineStr">
        <is>
          <t>ÖNCEKİ DÖNEM GİDER VE ZARAR HESABI</t>
        </is>
      </c>
      <c r="C2462" s="40" t="inlineStr">
        <is>
          <t>TRY</t>
        </is>
      </c>
      <c r="E2462" s="38" t="n">
        <v>503738.83</v>
      </c>
      <c r="F2462" s="38" t="n">
        <v>0</v>
      </c>
      <c r="G2462" s="38" t="n">
        <v>503738.83</v>
      </c>
      <c r="I2462" s="38" t="n">
        <v>503738.83</v>
      </c>
      <c r="J2462" s="38" t="n">
        <v>0</v>
      </c>
      <c r="K2462" s="38" t="n">
        <v>503738.83</v>
      </c>
    </row>
    <row r="2463" s="34">
      <c r="A2463" s="40" t="inlineStr">
        <is>
          <t>681.01</t>
        </is>
      </c>
      <c r="B2463" s="40" t="inlineStr">
        <is>
          <t>ÖNCEKİ DÖNEM GİDER VE ZARAR HESABI</t>
        </is>
      </c>
      <c r="C2463" s="40" t="inlineStr">
        <is>
          <t>TRY</t>
        </is>
      </c>
      <c r="E2463" s="38" t="n">
        <v>503738.83</v>
      </c>
      <c r="F2463" s="38" t="n">
        <v>0</v>
      </c>
      <c r="G2463" s="38" t="n">
        <v>503738.83</v>
      </c>
      <c r="I2463" s="38" t="n">
        <v>503738.83</v>
      </c>
      <c r="J2463" s="38" t="n">
        <v>0</v>
      </c>
      <c r="K2463" s="38" t="n">
        <v>503738.83</v>
      </c>
    </row>
    <row r="2464" s="34">
      <c r="A2464" s="40" t="inlineStr">
        <is>
          <t>681.01.01</t>
        </is>
      </c>
      <c r="B2464" s="40" t="inlineStr">
        <is>
          <t>ÖNCEKİ DÖNEM GİDER VE ZARAR HESABI</t>
        </is>
      </c>
      <c r="C2464" s="40" t="inlineStr">
        <is>
          <t>TRY</t>
        </is>
      </c>
      <c r="E2464" s="38" t="n">
        <v>503738.83</v>
      </c>
      <c r="F2464" s="38" t="n">
        <v>0</v>
      </c>
      <c r="G2464" s="38" t="n">
        <v>503738.83</v>
      </c>
      <c r="I2464" s="38" t="n">
        <v>503738.83</v>
      </c>
      <c r="J2464" s="38" t="n">
        <v>0</v>
      </c>
      <c r="K2464" s="38" t="n">
        <v>503738.83</v>
      </c>
    </row>
    <row r="2465" s="34">
      <c r="A2465" s="40" t="inlineStr">
        <is>
          <t>681.01.01.0006</t>
        </is>
      </c>
      <c r="B2465" s="40" t="inlineStr">
        <is>
          <t>Döneminden Sonra Gelen Diğer Giderler</t>
        </is>
      </c>
      <c r="C2465" s="40" t="inlineStr">
        <is>
          <t>TRY</t>
        </is>
      </c>
      <c r="D2465" s="40" t="inlineStr">
        <is>
          <t>ROYAL ALHAMBRA</t>
        </is>
      </c>
      <c r="E2465" s="38" t="n">
        <v>503738.83</v>
      </c>
      <c r="F2465" s="38" t="n">
        <v>0</v>
      </c>
      <c r="G2465" s="38" t="n">
        <v>503738.83</v>
      </c>
      <c r="H2465" s="40" t="inlineStr">
        <is>
          <t>Borç</t>
        </is>
      </c>
      <c r="I2465" s="38" t="n">
        <v>503738.83</v>
      </c>
      <c r="J2465" s="38" t="n">
        <v>0</v>
      </c>
      <c r="K2465" s="38" t="n">
        <v>503738.83</v>
      </c>
      <c r="L2465" s="40" t="inlineStr">
        <is>
          <t>Borç</t>
        </is>
      </c>
    </row>
    <row r="2466" s="34">
      <c r="A2466" s="40" t="inlineStr">
        <is>
          <t>689</t>
        </is>
      </c>
      <c r="B2466" s="40" t="inlineStr">
        <is>
          <t>DİĞER OLAĞANDIŞI GİDER VE ZARARLAR HESABI</t>
        </is>
      </c>
      <c r="C2466" s="40" t="inlineStr">
        <is>
          <t>TRY</t>
        </is>
      </c>
      <c r="E2466" s="38" t="n">
        <v>1442449.61</v>
      </c>
      <c r="F2466" s="38" t="n">
        <v>0</v>
      </c>
      <c r="G2466" s="38" t="n">
        <v>1442449.61</v>
      </c>
      <c r="I2466" s="38" t="n">
        <v>1442449.61</v>
      </c>
      <c r="J2466" s="38" t="n">
        <v>0</v>
      </c>
      <c r="K2466" s="38" t="n">
        <v>1442449.61</v>
      </c>
    </row>
    <row r="2467" s="34">
      <c r="A2467" s="40" t="inlineStr">
        <is>
          <t>689.01</t>
        </is>
      </c>
      <c r="B2467" s="40" t="inlineStr">
        <is>
          <t>DİĞER OLAĞANDIŞI GİDER VE ZARARLAR HESABI</t>
        </is>
      </c>
      <c r="C2467" s="40" t="inlineStr">
        <is>
          <t>TRY</t>
        </is>
      </c>
      <c r="E2467" s="38" t="n">
        <v>1442449.61</v>
      </c>
      <c r="F2467" s="38" t="n">
        <v>0</v>
      </c>
      <c r="G2467" s="38" t="n">
        <v>1442449.61</v>
      </c>
      <c r="I2467" s="38" t="n">
        <v>1442449.61</v>
      </c>
      <c r="J2467" s="38" t="n">
        <v>0</v>
      </c>
      <c r="K2467" s="38" t="n">
        <v>1442449.61</v>
      </c>
    </row>
    <row r="2468" s="34">
      <c r="A2468" s="40" t="inlineStr">
        <is>
          <t>689.01.01</t>
        </is>
      </c>
      <c r="B2468" s="40" t="inlineStr">
        <is>
          <t>KANUNEN KABUL EDİLMEYEN GİDERLER</t>
        </is>
      </c>
      <c r="C2468" s="40" t="inlineStr">
        <is>
          <t>TRY</t>
        </is>
      </c>
      <c r="E2468" s="38" t="n">
        <v>1442449.61</v>
      </c>
      <c r="F2468" s="38" t="n">
        <v>0</v>
      </c>
      <c r="G2468" s="38" t="n">
        <v>1442449.61</v>
      </c>
      <c r="I2468" s="38" t="n">
        <v>1442449.61</v>
      </c>
      <c r="J2468" s="38" t="n">
        <v>0</v>
      </c>
      <c r="K2468" s="38" t="n">
        <v>1442449.61</v>
      </c>
    </row>
    <row r="2469" s="34">
      <c r="A2469" s="40" t="inlineStr">
        <is>
          <t>689.01.01.0001</t>
        </is>
      </c>
      <c r="B2469" s="40" t="inlineStr">
        <is>
          <t>Vergi Ve Para Cezaları</t>
        </is>
      </c>
      <c r="C2469" s="40" t="inlineStr">
        <is>
          <t>TRY</t>
        </is>
      </c>
      <c r="D2469" s="40" t="inlineStr">
        <is>
          <t>ROYAL ADAM EVE</t>
        </is>
      </c>
      <c r="E2469" s="38" t="n">
        <v>72671</v>
      </c>
      <c r="F2469" s="38" t="n">
        <v>0</v>
      </c>
      <c r="G2469" s="38" t="n">
        <v>72671</v>
      </c>
      <c r="H2469" s="40" t="inlineStr">
        <is>
          <t>Borç</t>
        </is>
      </c>
      <c r="I2469" s="38" t="n">
        <v>72671</v>
      </c>
      <c r="J2469" s="38" t="n">
        <v>0</v>
      </c>
      <c r="K2469" s="38" t="n">
        <v>72671</v>
      </c>
      <c r="L2469" s="40" t="inlineStr">
        <is>
          <t>Borç</t>
        </is>
      </c>
    </row>
    <row r="2470" s="34">
      <c r="A2470" s="40" t="inlineStr">
        <is>
          <t>689.01.01.0002</t>
        </is>
      </c>
      <c r="B2470" s="40" t="inlineStr">
        <is>
          <t>Gecikme Zammı Ve Faizleri</t>
        </is>
      </c>
      <c r="C2470" s="40" t="inlineStr">
        <is>
          <t>TRY</t>
        </is>
      </c>
      <c r="D2470" s="40" t="inlineStr">
        <is>
          <t>ROYAL ADAM EVE</t>
        </is>
      </c>
      <c r="E2470" s="38" t="n">
        <v>32598.42</v>
      </c>
      <c r="F2470" s="38" t="n">
        <v>0</v>
      </c>
      <c r="G2470" s="38" t="n">
        <v>32598.42</v>
      </c>
      <c r="H2470" s="40" t="inlineStr">
        <is>
          <t>Borç</t>
        </is>
      </c>
      <c r="I2470" s="38" t="n">
        <v>32598.42</v>
      </c>
      <c r="J2470" s="38" t="n">
        <v>0</v>
      </c>
      <c r="K2470" s="38" t="n">
        <v>32598.42</v>
      </c>
      <c r="L2470" s="40" t="inlineStr">
        <is>
          <t>Borç</t>
        </is>
      </c>
    </row>
    <row r="2471" s="34">
      <c r="A2471" s="40" t="inlineStr">
        <is>
          <t>689.01.01.0004</t>
        </is>
      </c>
      <c r="B2471" s="40" t="inlineStr">
        <is>
          <t>Özel İletişim Vergisi</t>
        </is>
      </c>
      <c r="C2471" s="40" t="inlineStr">
        <is>
          <t>TRY</t>
        </is>
      </c>
      <c r="D2471" s="40" t="inlineStr">
        <is>
          <t>ROYAL ADAM EVE</t>
        </is>
      </c>
      <c r="E2471" s="38" t="n">
        <v>1517.82</v>
      </c>
      <c r="F2471" s="38" t="n">
        <v>0</v>
      </c>
      <c r="G2471" s="38" t="n">
        <v>1517.82</v>
      </c>
      <c r="H2471" s="40" t="inlineStr">
        <is>
          <t>Borç</t>
        </is>
      </c>
      <c r="I2471" s="38" t="n">
        <v>1517.82</v>
      </c>
      <c r="J2471" s="38" t="n">
        <v>0</v>
      </c>
      <c r="K2471" s="38" t="n">
        <v>1517.82</v>
      </c>
      <c r="L2471" s="40" t="inlineStr">
        <is>
          <t>Borç</t>
        </is>
      </c>
    </row>
    <row r="2472" s="34">
      <c r="A2472" s="40" t="inlineStr">
        <is>
          <t>689.01.01.0005</t>
        </is>
      </c>
      <c r="B2472" s="40" t="inlineStr">
        <is>
          <t>Hesap Yuvarlama Farkları</t>
        </is>
      </c>
      <c r="C2472" s="40" t="inlineStr">
        <is>
          <t>TRY</t>
        </is>
      </c>
      <c r="D2472" s="40" t="inlineStr">
        <is>
          <t>GİTAŞ MERKEZ</t>
        </is>
      </c>
      <c r="E2472" s="38" t="n">
        <v>6470.21</v>
      </c>
      <c r="F2472" s="38" t="n">
        <v>0</v>
      </c>
      <c r="G2472" s="38" t="n">
        <v>6470.21</v>
      </c>
      <c r="H2472" s="40" t="inlineStr">
        <is>
          <t>Borç</t>
        </is>
      </c>
      <c r="I2472" s="38" t="n">
        <v>6470.21</v>
      </c>
      <c r="J2472" s="38" t="n">
        <v>0</v>
      </c>
      <c r="K2472" s="38" t="n">
        <v>6470.21</v>
      </c>
      <c r="L2472" s="40" t="inlineStr">
        <is>
          <t>Borç</t>
        </is>
      </c>
    </row>
    <row r="2473" s="34">
      <c r="A2473" s="40" t="inlineStr">
        <is>
          <t>689.01.01.0005</t>
        </is>
      </c>
      <c r="B2473" s="40" t="inlineStr">
        <is>
          <t>Hesap Yuvarlama Farkları</t>
        </is>
      </c>
      <c r="C2473" s="40" t="inlineStr">
        <is>
          <t>TRY</t>
        </is>
      </c>
      <c r="D2473" s="40" t="inlineStr">
        <is>
          <t>ROYAL ADAM EVE</t>
        </is>
      </c>
      <c r="E2473" s="38" t="n">
        <v>1921.82</v>
      </c>
      <c r="F2473" s="38" t="n">
        <v>0</v>
      </c>
      <c r="G2473" s="38" t="n">
        <v>1921.82</v>
      </c>
      <c r="H2473" s="40" t="inlineStr">
        <is>
          <t>Borç</t>
        </is>
      </c>
      <c r="I2473" s="38" t="n">
        <v>1921.82</v>
      </c>
      <c r="J2473" s="38" t="n">
        <v>0</v>
      </c>
      <c r="K2473" s="38" t="n">
        <v>1921.82</v>
      </c>
      <c r="L2473" s="40" t="inlineStr">
        <is>
          <t>Borç</t>
        </is>
      </c>
    </row>
    <row r="2474" s="34">
      <c r="A2474" s="40" t="inlineStr">
        <is>
          <t>689.01.01.0005</t>
        </is>
      </c>
      <c r="B2474" s="40" t="inlineStr">
        <is>
          <t>Hesap Yuvarlama Farkları</t>
        </is>
      </c>
      <c r="C2474" s="40" t="inlineStr">
        <is>
          <t>TRY</t>
        </is>
      </c>
      <c r="D2474" s="40" t="inlineStr">
        <is>
          <t>ROYAL ALHAMBRA</t>
        </is>
      </c>
      <c r="E2474" s="38" t="n">
        <v>26227.55</v>
      </c>
      <c r="F2474" s="38" t="n">
        <v>0</v>
      </c>
      <c r="G2474" s="38" t="n">
        <v>26227.55</v>
      </c>
      <c r="H2474" s="40" t="inlineStr">
        <is>
          <t>Borç</t>
        </is>
      </c>
      <c r="I2474" s="38" t="n">
        <v>26227.55</v>
      </c>
      <c r="J2474" s="38" t="n">
        <v>0</v>
      </c>
      <c r="K2474" s="38" t="n">
        <v>26227.55</v>
      </c>
      <c r="L2474" s="40" t="inlineStr">
        <is>
          <t>Borç</t>
        </is>
      </c>
    </row>
    <row r="2475" s="34">
      <c r="A2475" s="40" t="inlineStr">
        <is>
          <t>689.01.01.0005</t>
        </is>
      </c>
      <c r="B2475" s="40" t="inlineStr">
        <is>
          <t>Hesap Yuvarlama Farkları</t>
        </is>
      </c>
      <c r="C2475" s="40" t="inlineStr">
        <is>
          <t>TRY</t>
        </is>
      </c>
      <c r="D2475" s="40" t="inlineStr">
        <is>
          <t>SERTAŞ MERKEZ</t>
        </is>
      </c>
      <c r="E2475" s="38" t="n">
        <v>15453.19</v>
      </c>
      <c r="F2475" s="38" t="n">
        <v>0</v>
      </c>
      <c r="G2475" s="38" t="n">
        <v>15453.19</v>
      </c>
      <c r="H2475" s="40" t="inlineStr">
        <is>
          <t>Borç</t>
        </is>
      </c>
      <c r="I2475" s="38" t="n">
        <v>15453.19</v>
      </c>
      <c r="J2475" s="38" t="n">
        <v>0</v>
      </c>
      <c r="K2475" s="38" t="n">
        <v>15453.19</v>
      </c>
      <c r="L2475" s="40" t="inlineStr">
        <is>
          <t>Borç</t>
        </is>
      </c>
    </row>
    <row r="2476" s="34">
      <c r="A2476" s="40" t="inlineStr">
        <is>
          <t>689.01.01.0007</t>
        </is>
      </c>
      <c r="B2476" s="40" t="inlineStr">
        <is>
          <t>Mahkeme Masrafları</t>
        </is>
      </c>
      <c r="C2476" s="40" t="inlineStr">
        <is>
          <t>TRY</t>
        </is>
      </c>
      <c r="D2476" s="40" t="inlineStr">
        <is>
          <t>ROYAL DRAGON</t>
        </is>
      </c>
      <c r="E2476" s="38" t="n">
        <v>332518.18</v>
      </c>
      <c r="F2476" s="38" t="n">
        <v>0</v>
      </c>
      <c r="G2476" s="38" t="n">
        <v>332518.18</v>
      </c>
      <c r="H2476" s="40" t="inlineStr">
        <is>
          <t>Borç</t>
        </is>
      </c>
      <c r="I2476" s="38" t="n">
        <v>332518.18</v>
      </c>
      <c r="J2476" s="38" t="n">
        <v>0</v>
      </c>
      <c r="K2476" s="38" t="n">
        <v>332518.18</v>
      </c>
      <c r="L2476" s="40" t="inlineStr">
        <is>
          <t>Borç</t>
        </is>
      </c>
    </row>
    <row r="2477" s="34">
      <c r="A2477" s="40" t="inlineStr">
        <is>
          <t>689.01.01.0007</t>
        </is>
      </c>
      <c r="B2477" s="40" t="inlineStr">
        <is>
          <t>Mahkeme Masrafları</t>
        </is>
      </c>
      <c r="C2477" s="40" t="inlineStr">
        <is>
          <t>TRY</t>
        </is>
      </c>
      <c r="D2477" s="40" t="inlineStr">
        <is>
          <t>ROYAL SEGINUS</t>
        </is>
      </c>
      <c r="E2477" s="38" t="n">
        <v>421899.91</v>
      </c>
      <c r="F2477" s="38" t="n">
        <v>0</v>
      </c>
      <c r="G2477" s="38" t="n">
        <v>421899.91</v>
      </c>
      <c r="H2477" s="40" t="inlineStr">
        <is>
          <t>Borç</t>
        </is>
      </c>
      <c r="I2477" s="38" t="n">
        <v>421899.91</v>
      </c>
      <c r="J2477" s="38" t="n">
        <v>0</v>
      </c>
      <c r="K2477" s="38" t="n">
        <v>421899.91</v>
      </c>
      <c r="L2477" s="40" t="inlineStr">
        <is>
          <t>Borç</t>
        </is>
      </c>
    </row>
    <row r="2478" s="34">
      <c r="A2478" s="40" t="inlineStr">
        <is>
          <t>689.01.01.0007</t>
        </is>
      </c>
      <c r="B2478" s="40" t="inlineStr">
        <is>
          <t>Mahkeme Masrafları</t>
        </is>
      </c>
      <c r="C2478" s="40" t="inlineStr">
        <is>
          <t>TRY</t>
        </is>
      </c>
      <c r="D2478" s="40" t="inlineStr">
        <is>
          <t>SERTAŞ MERKEZ</t>
        </is>
      </c>
      <c r="E2478" s="38" t="n">
        <v>371545.36</v>
      </c>
      <c r="F2478" s="38" t="n">
        <v>0</v>
      </c>
      <c r="G2478" s="38" t="n">
        <v>371545.36</v>
      </c>
      <c r="H2478" s="40" t="inlineStr">
        <is>
          <t>Borç</t>
        </is>
      </c>
      <c r="I2478" s="38" t="n">
        <v>371545.36</v>
      </c>
      <c r="J2478" s="38" t="n">
        <v>0</v>
      </c>
      <c r="K2478" s="38" t="n">
        <v>371545.36</v>
      </c>
      <c r="L2478" s="40" t="inlineStr">
        <is>
          <t>Borç</t>
        </is>
      </c>
    </row>
    <row r="2479" s="34">
      <c r="A2479" s="40" t="inlineStr">
        <is>
          <t>689.01.01.0008</t>
        </is>
      </c>
      <c r="B2479" s="40" t="inlineStr">
        <is>
          <t>Binek Araç Harcamaları Gider KısıTLaması</t>
        </is>
      </c>
      <c r="C2479" s="40" t="inlineStr">
        <is>
          <t>TRY</t>
        </is>
      </c>
      <c r="D2479" s="40" t="inlineStr">
        <is>
          <t>GİTAŞ MERKEZ</t>
        </is>
      </c>
      <c r="E2479" s="38" t="n">
        <v>182.53</v>
      </c>
      <c r="F2479" s="38" t="n">
        <v>0</v>
      </c>
      <c r="G2479" s="38" t="n">
        <v>182.53</v>
      </c>
      <c r="H2479" s="40" t="inlineStr">
        <is>
          <t>Borç</t>
        </is>
      </c>
      <c r="I2479" s="38" t="n">
        <v>182.53</v>
      </c>
      <c r="J2479" s="38" t="n">
        <v>0</v>
      </c>
      <c r="K2479" s="38" t="n">
        <v>182.53</v>
      </c>
      <c r="L2479" s="40" t="inlineStr">
        <is>
          <t>Borç</t>
        </is>
      </c>
    </row>
    <row r="2480" s="34">
      <c r="A2480" s="40" t="inlineStr">
        <is>
          <t>689.01.01.0010</t>
        </is>
      </c>
      <c r="B2480" s="40" t="inlineStr">
        <is>
          <t>Hesap Mutabakat Farkları</t>
        </is>
      </c>
      <c r="C2480" s="40" t="inlineStr">
        <is>
          <t>TRY</t>
        </is>
      </c>
      <c r="D2480" s="40" t="inlineStr">
        <is>
          <t>ROYAL ALHAMBRA</t>
        </is>
      </c>
      <c r="E2480" s="38" t="n">
        <v>184.84</v>
      </c>
      <c r="F2480" s="38" t="n">
        <v>0</v>
      </c>
      <c r="G2480" s="38" t="n">
        <v>184.84</v>
      </c>
      <c r="H2480" s="40" t="inlineStr">
        <is>
          <t>Borç</t>
        </is>
      </c>
      <c r="I2480" s="38" t="n">
        <v>184.84</v>
      </c>
      <c r="J2480" s="38" t="n">
        <v>0</v>
      </c>
      <c r="K2480" s="38" t="n">
        <v>184.84</v>
      </c>
      <c r="L2480" s="40" t="inlineStr">
        <is>
          <t>Borç</t>
        </is>
      </c>
    </row>
    <row r="2481" s="34">
      <c r="A2481" s="40" t="inlineStr">
        <is>
          <t>689.01.01.0010</t>
        </is>
      </c>
      <c r="B2481" s="40" t="inlineStr">
        <is>
          <t>Hesap Mutabakat Farkları</t>
        </is>
      </c>
      <c r="C2481" s="40" t="inlineStr">
        <is>
          <t>TRY</t>
        </is>
      </c>
      <c r="D2481" s="40" t="inlineStr">
        <is>
          <t>ROYAL SEGINUS</t>
        </is>
      </c>
      <c r="E2481" s="38" t="n">
        <v>10535.78</v>
      </c>
      <c r="F2481" s="38" t="n">
        <v>0</v>
      </c>
      <c r="G2481" s="38" t="n">
        <v>10535.78</v>
      </c>
      <c r="H2481" s="40" t="inlineStr">
        <is>
          <t>Borç</t>
        </is>
      </c>
      <c r="I2481" s="38" t="n">
        <v>10535.78</v>
      </c>
      <c r="J2481" s="38" t="n">
        <v>0</v>
      </c>
      <c r="K2481" s="38" t="n">
        <v>10535.78</v>
      </c>
      <c r="L2481" s="40" t="inlineStr">
        <is>
          <t>Borç</t>
        </is>
      </c>
    </row>
    <row r="2482" s="34">
      <c r="A2482" s="40" t="inlineStr">
        <is>
          <t>689.01.01.0011</t>
        </is>
      </c>
      <c r="B2482" s="40" t="inlineStr">
        <is>
          <t>Binek Araçlara Ait MTV(MTV 14.Md.)</t>
        </is>
      </c>
      <c r="C2482" s="40" t="inlineStr">
        <is>
          <t>TRY</t>
        </is>
      </c>
      <c r="D2482" s="40" t="inlineStr">
        <is>
          <t>GİTAŞ MERKEZ</t>
        </is>
      </c>
      <c r="E2482" s="38" t="n">
        <v>20257</v>
      </c>
      <c r="F2482" s="38" t="n">
        <v>0</v>
      </c>
      <c r="G2482" s="38" t="n">
        <v>20257</v>
      </c>
      <c r="H2482" s="40" t="inlineStr">
        <is>
          <t>Borç</t>
        </is>
      </c>
      <c r="I2482" s="38" t="n">
        <v>20257</v>
      </c>
      <c r="J2482" s="38" t="n">
        <v>0</v>
      </c>
      <c r="K2482" s="38" t="n">
        <v>20257</v>
      </c>
      <c r="L2482" s="40" t="inlineStr">
        <is>
          <t>Borç</t>
        </is>
      </c>
    </row>
    <row r="2483" s="34">
      <c r="A2483" s="40" t="inlineStr">
        <is>
          <t>689.01.01.0011</t>
        </is>
      </c>
      <c r="B2483" s="40" t="inlineStr">
        <is>
          <t>Binek Araçlara Ait MTV(MTV 14.Md.)</t>
        </is>
      </c>
      <c r="C2483" s="40" t="inlineStr">
        <is>
          <t>TRY</t>
        </is>
      </c>
      <c r="D2483" s="40" t="inlineStr">
        <is>
          <t>SERTAŞ MERKEZ</t>
        </is>
      </c>
      <c r="E2483" s="38" t="n">
        <v>128466</v>
      </c>
      <c r="F2483" s="38" t="n">
        <v>0</v>
      </c>
      <c r="G2483" s="38" t="n">
        <v>128466</v>
      </c>
      <c r="H2483" s="40" t="inlineStr">
        <is>
          <t>Borç</t>
        </is>
      </c>
      <c r="I2483" s="38" t="n">
        <v>128466</v>
      </c>
      <c r="J2483" s="38" t="n">
        <v>0</v>
      </c>
      <c r="K2483" s="38" t="n">
        <v>128466</v>
      </c>
      <c r="L2483" s="40" t="inlineStr">
        <is>
          <t>Borç</t>
        </is>
      </c>
    </row>
    <row r="2484" s="34">
      <c r="A2484" s="40" t="inlineStr">
        <is>
          <t>7</t>
        </is>
      </c>
      <c r="B2484" s="40" t="inlineStr">
        <is>
          <t>MALİYET HESAPLARI</t>
        </is>
      </c>
      <c r="C2484" s="40" t="inlineStr">
        <is>
          <t>TRY</t>
        </is>
      </c>
      <c r="E2484" s="38" t="n">
        <v>23727095.78</v>
      </c>
      <c r="F2484" s="38" t="n">
        <v>3893620.77</v>
      </c>
      <c r="G2484" s="38" t="n">
        <v>19833475.01</v>
      </c>
      <c r="I2484" s="38" t="n">
        <v>22236995.14</v>
      </c>
      <c r="J2484" s="38" t="n">
        <v>3759146.45</v>
      </c>
      <c r="K2484" s="38" t="n">
        <v>18477848.69</v>
      </c>
    </row>
    <row r="2485" s="34">
      <c r="A2485" s="40" t="inlineStr">
        <is>
          <t>74</t>
        </is>
      </c>
      <c r="B2485" s="40" t="inlineStr">
        <is>
          <t>HİZMET ÜRETİM MALİYETİ</t>
        </is>
      </c>
      <c r="C2485" s="40" t="inlineStr">
        <is>
          <t>TRY</t>
        </is>
      </c>
      <c r="E2485" s="38" t="n">
        <v>1587193.04</v>
      </c>
      <c r="F2485" s="38" t="n">
        <v>737898.5</v>
      </c>
      <c r="G2485" s="38" t="n">
        <v>849294.54</v>
      </c>
      <c r="I2485" s="38" t="n">
        <v>1182544.61</v>
      </c>
      <c r="J2485" s="38" t="n">
        <v>737898.5</v>
      </c>
      <c r="K2485" s="38" t="n">
        <v>444646.11</v>
      </c>
    </row>
    <row r="2486" s="34">
      <c r="A2486" s="40" t="inlineStr">
        <is>
          <t>740</t>
        </is>
      </c>
      <c r="B2486" s="40" t="inlineStr">
        <is>
          <t>HİZMET ÜRETİM MALİYETİ</t>
        </is>
      </c>
      <c r="C2486" s="40" t="inlineStr">
        <is>
          <t>TRY</t>
        </is>
      </c>
      <c r="E2486" s="38" t="n">
        <v>1587193.04</v>
      </c>
      <c r="F2486" s="38" t="n">
        <v>737898.5</v>
      </c>
      <c r="G2486" s="38" t="n">
        <v>849294.54</v>
      </c>
      <c r="I2486" s="38" t="n">
        <v>1182544.61</v>
      </c>
      <c r="J2486" s="38" t="n">
        <v>737898.5</v>
      </c>
      <c r="K2486" s="38" t="n">
        <v>444646.11</v>
      </c>
    </row>
    <row r="2487" s="34">
      <c r="A2487" s="40" t="inlineStr">
        <is>
          <t>740.01</t>
        </is>
      </c>
      <c r="B2487" s="40" t="inlineStr">
        <is>
          <t>HİZMET ÜRETİM MALİYETİ</t>
        </is>
      </c>
      <c r="C2487" s="40" t="inlineStr">
        <is>
          <t>TRY</t>
        </is>
      </c>
      <c r="E2487" s="38" t="n">
        <v>1587193.04</v>
      </c>
      <c r="F2487" s="38" t="n">
        <v>737898.5</v>
      </c>
      <c r="G2487" s="38" t="n">
        <v>849294.54</v>
      </c>
      <c r="I2487" s="38" t="n">
        <v>1182544.61</v>
      </c>
      <c r="J2487" s="38" t="n">
        <v>737898.5</v>
      </c>
      <c r="K2487" s="38" t="n">
        <v>444646.11</v>
      </c>
    </row>
    <row r="2488" s="34">
      <c r="A2488" s="40" t="inlineStr">
        <is>
          <t>740.01.01</t>
        </is>
      </c>
      <c r="B2488" s="40" t="inlineStr">
        <is>
          <t>PERSONEL GİDERLERİ</t>
        </is>
      </c>
      <c r="C2488" s="40" t="inlineStr">
        <is>
          <t>TRY</t>
        </is>
      </c>
      <c r="E2488" s="38" t="n">
        <v>1047070.07</v>
      </c>
      <c r="F2488" s="38" t="n">
        <v>0</v>
      </c>
      <c r="G2488" s="38" t="n">
        <v>1047070.07</v>
      </c>
      <c r="I2488" s="38" t="n">
        <v>1047070.07</v>
      </c>
      <c r="J2488" s="38" t="n">
        <v>0</v>
      </c>
      <c r="K2488" s="38" t="n">
        <v>1047070.07</v>
      </c>
    </row>
    <row r="2489" s="34">
      <c r="A2489" s="40" t="inlineStr">
        <is>
          <t>740.01.01.0001</t>
        </is>
      </c>
      <c r="B2489" s="40" t="inlineStr">
        <is>
          <t>Esas ÜcreTLer</t>
        </is>
      </c>
      <c r="C2489" s="40" t="inlineStr">
        <is>
          <t>TRY</t>
        </is>
      </c>
      <c r="D2489" s="40" t="inlineStr">
        <is>
          <t>ROYAL DRAGON</t>
        </is>
      </c>
      <c r="E2489" s="38" t="n">
        <v>25487.3</v>
      </c>
      <c r="F2489" s="38" t="n">
        <v>0</v>
      </c>
      <c r="G2489" s="38" t="n">
        <v>25487.3</v>
      </c>
      <c r="H2489" s="40" t="inlineStr">
        <is>
          <t>Borç</t>
        </is>
      </c>
      <c r="I2489" s="38" t="n">
        <v>25487.3</v>
      </c>
      <c r="J2489" s="38" t="n">
        <v>0</v>
      </c>
      <c r="K2489" s="38" t="n">
        <v>25487.3</v>
      </c>
      <c r="L2489" s="40" t="inlineStr">
        <is>
          <t>Borç</t>
        </is>
      </c>
    </row>
    <row r="2490" s="34">
      <c r="A2490" s="40" t="inlineStr">
        <is>
          <t>740.01.01.0001</t>
        </is>
      </c>
      <c r="B2490" s="40" t="inlineStr">
        <is>
          <t>Esas ÜcreTLer</t>
        </is>
      </c>
      <c r="C2490" s="40" t="inlineStr">
        <is>
          <t>TRY</t>
        </is>
      </c>
      <c r="D2490" s="40" t="inlineStr">
        <is>
          <t>ROYAL SEGINUS</t>
        </is>
      </c>
      <c r="E2490" s="38" t="n">
        <v>124556.72</v>
      </c>
      <c r="F2490" s="38" t="n">
        <v>0</v>
      </c>
      <c r="G2490" s="38" t="n">
        <v>124556.72</v>
      </c>
      <c r="H2490" s="40" t="inlineStr">
        <is>
          <t>Borç</t>
        </is>
      </c>
      <c r="I2490" s="38" t="n">
        <v>124556.72</v>
      </c>
      <c r="J2490" s="38" t="n">
        <v>0</v>
      </c>
      <c r="K2490" s="38" t="n">
        <v>124556.72</v>
      </c>
      <c r="L2490" s="40" t="inlineStr">
        <is>
          <t>Borç</t>
        </is>
      </c>
    </row>
    <row r="2491" s="34">
      <c r="A2491" s="40" t="inlineStr">
        <is>
          <t>740.01.01.0002</t>
        </is>
      </c>
      <c r="B2491" s="40" t="inlineStr">
        <is>
          <t>Fazla Çalışma ÜcreTLeri</t>
        </is>
      </c>
      <c r="C2491" s="40" t="inlineStr">
        <is>
          <t>TRY</t>
        </is>
      </c>
      <c r="D2491" s="40" t="inlineStr">
        <is>
          <t>ROYAL DRAGON</t>
        </is>
      </c>
      <c r="E2491" s="38" t="n">
        <v>12987.99</v>
      </c>
      <c r="F2491" s="38" t="n">
        <v>0</v>
      </c>
      <c r="G2491" s="38" t="n">
        <v>12987.99</v>
      </c>
      <c r="H2491" s="40" t="inlineStr">
        <is>
          <t>Borç</t>
        </is>
      </c>
      <c r="I2491" s="38" t="n">
        <v>12987.99</v>
      </c>
      <c r="J2491" s="38" t="n">
        <v>0</v>
      </c>
      <c r="K2491" s="38" t="n">
        <v>12987.99</v>
      </c>
      <c r="L2491" s="40" t="inlineStr">
        <is>
          <t>Borç</t>
        </is>
      </c>
    </row>
    <row r="2492" s="34">
      <c r="A2492" s="40" t="inlineStr">
        <is>
          <t>740.01.01.0002</t>
        </is>
      </c>
      <c r="B2492" s="40" t="inlineStr">
        <is>
          <t>Fazla Çalışma ÜcreTLeri</t>
        </is>
      </c>
      <c r="C2492" s="40" t="inlineStr">
        <is>
          <t>TRY</t>
        </is>
      </c>
      <c r="D2492" s="40" t="inlineStr">
        <is>
          <t>ROYAL SEGINUS</t>
        </is>
      </c>
      <c r="E2492" s="38" t="n">
        <v>2257.99</v>
      </c>
      <c r="F2492" s="38" t="n">
        <v>0</v>
      </c>
      <c r="G2492" s="38" t="n">
        <v>2257.99</v>
      </c>
      <c r="H2492" s="40" t="inlineStr">
        <is>
          <t>Borç</t>
        </is>
      </c>
      <c r="I2492" s="38" t="n">
        <v>2257.99</v>
      </c>
      <c r="J2492" s="38" t="n">
        <v>0</v>
      </c>
      <c r="K2492" s="38" t="n">
        <v>2257.99</v>
      </c>
      <c r="L2492" s="40" t="inlineStr">
        <is>
          <t>Borç</t>
        </is>
      </c>
    </row>
    <row r="2493" s="34">
      <c r="A2493" s="40" t="inlineStr">
        <is>
          <t>740.01.01.0005</t>
        </is>
      </c>
      <c r="B2493" s="40" t="inlineStr">
        <is>
          <t>İhbar Ve Kıdem Tazminatı</t>
        </is>
      </c>
      <c r="C2493" s="40" t="inlineStr">
        <is>
          <t>TRY</t>
        </is>
      </c>
      <c r="D2493" s="40" t="inlineStr">
        <is>
          <t>ROYAL DRAGON</t>
        </is>
      </c>
      <c r="E2493" s="38" t="n">
        <v>490176.09</v>
      </c>
      <c r="F2493" s="38" t="n">
        <v>0</v>
      </c>
      <c r="G2493" s="38" t="n">
        <v>490176.09</v>
      </c>
      <c r="H2493" s="40" t="inlineStr">
        <is>
          <t>Borç</t>
        </is>
      </c>
      <c r="I2493" s="38" t="n">
        <v>490176.09</v>
      </c>
      <c r="J2493" s="38" t="n">
        <v>0</v>
      </c>
      <c r="K2493" s="38" t="n">
        <v>490176.09</v>
      </c>
      <c r="L2493" s="40" t="inlineStr">
        <is>
          <t>Borç</t>
        </is>
      </c>
    </row>
    <row r="2494" s="34">
      <c r="A2494" s="40" t="inlineStr">
        <is>
          <t>740.01.01.0005</t>
        </is>
      </c>
      <c r="B2494" s="40" t="inlineStr">
        <is>
          <t>İhbar Ve Kıdem Tazminatı</t>
        </is>
      </c>
      <c r="C2494" s="40" t="inlineStr">
        <is>
          <t>TRY</t>
        </is>
      </c>
      <c r="D2494" s="40" t="inlineStr">
        <is>
          <t>ROYAL SEGINUS</t>
        </is>
      </c>
      <c r="E2494" s="38" t="n">
        <v>374274.42</v>
      </c>
      <c r="F2494" s="38" t="n">
        <v>0</v>
      </c>
      <c r="G2494" s="38" t="n">
        <v>374274.42</v>
      </c>
      <c r="H2494" s="40" t="inlineStr">
        <is>
          <t>Borç</t>
        </is>
      </c>
      <c r="I2494" s="38" t="n">
        <v>374274.42</v>
      </c>
      <c r="J2494" s="38" t="n">
        <v>0</v>
      </c>
      <c r="K2494" s="38" t="n">
        <v>374274.42</v>
      </c>
      <c r="L2494" s="40" t="inlineStr">
        <is>
          <t>Borç</t>
        </is>
      </c>
    </row>
    <row r="2495" s="34">
      <c r="A2495" s="40" t="inlineStr">
        <is>
          <t>740.01.01.0006</t>
        </is>
      </c>
      <c r="B2495" s="40" t="inlineStr">
        <is>
          <t>Personel Yiyecek-İçecek Giderleri</t>
        </is>
      </c>
      <c r="C2495" s="40" t="inlineStr">
        <is>
          <t>TRY</t>
        </is>
      </c>
      <c r="D2495" s="40" t="inlineStr">
        <is>
          <t>ROYAL SEGINUS</t>
        </is>
      </c>
      <c r="E2495" s="38" t="n">
        <v>1113.64</v>
      </c>
      <c r="F2495" s="38" t="n">
        <v>0</v>
      </c>
      <c r="G2495" s="38" t="n">
        <v>1113.64</v>
      </c>
      <c r="H2495" s="40" t="inlineStr">
        <is>
          <t>Borç</t>
        </is>
      </c>
      <c r="I2495" s="38" t="n">
        <v>1113.64</v>
      </c>
      <c r="J2495" s="38" t="n">
        <v>0</v>
      </c>
      <c r="K2495" s="38" t="n">
        <v>1113.64</v>
      </c>
      <c r="L2495" s="40" t="inlineStr">
        <is>
          <t>Borç</t>
        </is>
      </c>
    </row>
    <row r="2496" s="34">
      <c r="A2496" s="40" t="inlineStr">
        <is>
          <t>740.01.01.0006</t>
        </is>
      </c>
      <c r="B2496" s="40" t="inlineStr">
        <is>
          <t>Personel Yiyecek-İçecek Giderleri</t>
        </is>
      </c>
      <c r="C2496" s="40" t="inlineStr">
        <is>
          <t>TRY</t>
        </is>
      </c>
      <c r="D2496" s="40" t="inlineStr">
        <is>
          <t>SERTAŞ MERKEZ</t>
        </is>
      </c>
      <c r="E2496" s="38" t="n">
        <v>472.72</v>
      </c>
      <c r="F2496" s="38" t="n">
        <v>0</v>
      </c>
      <c r="G2496" s="38" t="n">
        <v>472.72</v>
      </c>
      <c r="H2496" s="40" t="inlineStr">
        <is>
          <t>Borç</t>
        </is>
      </c>
      <c r="I2496" s="38" t="n">
        <v>472.72</v>
      </c>
      <c r="J2496" s="38" t="n">
        <v>0</v>
      </c>
      <c r="K2496" s="38" t="n">
        <v>472.72</v>
      </c>
      <c r="L2496" s="40" t="inlineStr">
        <is>
          <t>Borç</t>
        </is>
      </c>
    </row>
    <row r="2497" s="34">
      <c r="A2497" s="40" t="inlineStr">
        <is>
          <t>740.01.01.0007</t>
        </is>
      </c>
      <c r="B2497" s="40" t="inlineStr">
        <is>
          <t>Personel Ulaşım Giderleri</t>
        </is>
      </c>
      <c r="C2497" s="40" t="inlineStr">
        <is>
          <t>TRY</t>
        </is>
      </c>
      <c r="D2497" s="40" t="inlineStr">
        <is>
          <t>ROYAL SEGINUS</t>
        </is>
      </c>
      <c r="E2497" s="38" t="n">
        <v>1300</v>
      </c>
      <c r="F2497" s="38" t="n">
        <v>0</v>
      </c>
      <c r="G2497" s="38" t="n">
        <v>1300</v>
      </c>
      <c r="H2497" s="40" t="inlineStr">
        <is>
          <t>Borç</t>
        </is>
      </c>
      <c r="I2497" s="38" t="n">
        <v>1300</v>
      </c>
      <c r="J2497" s="38" t="n">
        <v>0</v>
      </c>
      <c r="K2497" s="38" t="n">
        <v>1300</v>
      </c>
      <c r="L2497" s="40" t="inlineStr">
        <is>
          <t>Borç</t>
        </is>
      </c>
    </row>
    <row r="2498" s="34">
      <c r="A2498" s="40" t="inlineStr">
        <is>
          <t>740.01.01.0008</t>
        </is>
      </c>
      <c r="B2498" s="40" t="inlineStr">
        <is>
          <t>Personel Üniforma Giderleri</t>
        </is>
      </c>
      <c r="C2498" s="40" t="inlineStr">
        <is>
          <t>TRY</t>
        </is>
      </c>
      <c r="D2498" s="40" t="inlineStr">
        <is>
          <t>ROYAL DRAGON</t>
        </is>
      </c>
      <c r="E2498" s="38" t="n">
        <v>14443.2</v>
      </c>
      <c r="F2498" s="38" t="n">
        <v>0</v>
      </c>
      <c r="G2498" s="38" t="n">
        <v>14443.2</v>
      </c>
      <c r="H2498" s="40" t="inlineStr">
        <is>
          <t>Borç</t>
        </is>
      </c>
      <c r="I2498" s="38" t="n">
        <v>14443.2</v>
      </c>
      <c r="J2498" s="38" t="n">
        <v>0</v>
      </c>
      <c r="K2498" s="38" t="n">
        <v>14443.2</v>
      </c>
      <c r="L2498" s="40" t="inlineStr">
        <is>
          <t>Borç</t>
        </is>
      </c>
    </row>
    <row r="2499" s="34">
      <c r="A2499" s="40" t="inlineStr">
        <is>
          <t>740.01.02</t>
        </is>
      </c>
      <c r="B2499" s="40" t="inlineStr">
        <is>
          <t>OPERASYON GİDERLERİ</t>
        </is>
      </c>
      <c r="C2499" s="40" t="inlineStr">
        <is>
          <t>TRY</t>
        </is>
      </c>
      <c r="E2499" s="38" t="n">
        <v>107724.54</v>
      </c>
      <c r="F2499" s="38" t="n">
        <v>737898.5</v>
      </c>
      <c r="G2499" s="38" t="n">
        <v>-630173.96</v>
      </c>
      <c r="I2499" s="38" t="n">
        <v>107724.54</v>
      </c>
      <c r="J2499" s="38" t="n">
        <v>737898.5</v>
      </c>
      <c r="K2499" s="38" t="n">
        <v>-630173.96</v>
      </c>
    </row>
    <row r="2500" s="34">
      <c r="A2500" s="40" t="inlineStr">
        <is>
          <t>740.01.02.0001</t>
        </is>
      </c>
      <c r="B2500" s="40" t="inlineStr">
        <is>
          <t>Yiyecek Maliyeti</t>
        </is>
      </c>
      <c r="C2500" s="40" t="inlineStr">
        <is>
          <t>TRY</t>
        </is>
      </c>
      <c r="D2500" s="40" t="inlineStr">
        <is>
          <t>ROYAL ADAM EVE</t>
        </is>
      </c>
      <c r="E2500" s="38" t="n">
        <v>10504</v>
      </c>
      <c r="F2500" s="38" t="n">
        <v>6551</v>
      </c>
      <c r="G2500" s="38" t="n">
        <v>3953</v>
      </c>
      <c r="H2500" s="40" t="inlineStr">
        <is>
          <t>Borç</t>
        </is>
      </c>
      <c r="I2500" s="38" t="n">
        <v>10504</v>
      </c>
      <c r="J2500" s="38" t="n">
        <v>6551</v>
      </c>
      <c r="K2500" s="38" t="n">
        <v>3953</v>
      </c>
      <c r="L2500" s="40" t="inlineStr">
        <is>
          <t>Borç</t>
        </is>
      </c>
    </row>
    <row r="2501" s="34">
      <c r="A2501" s="40" t="inlineStr">
        <is>
          <t>740.01.02.0001</t>
        </is>
      </c>
      <c r="B2501" s="40" t="inlineStr">
        <is>
          <t>Yiyecek Maliyeti</t>
        </is>
      </c>
      <c r="C2501" s="40" t="inlineStr">
        <is>
          <t>TRY</t>
        </is>
      </c>
      <c r="D2501" s="40" t="inlineStr">
        <is>
          <t>ROYAL ALHAMBRA</t>
        </is>
      </c>
      <c r="E2501" s="38" t="n">
        <v>0</v>
      </c>
      <c r="F2501" s="38" t="n">
        <v>13500</v>
      </c>
      <c r="G2501" s="38" t="n">
        <v>-13500</v>
      </c>
      <c r="H2501" s="40" t="inlineStr">
        <is>
          <t>Alacak</t>
        </is>
      </c>
      <c r="I2501" s="38" t="n">
        <v>0</v>
      </c>
      <c r="J2501" s="38" t="n">
        <v>13500</v>
      </c>
      <c r="K2501" s="38" t="n">
        <v>-13500</v>
      </c>
      <c r="L2501" s="40" t="inlineStr">
        <is>
          <t>Alacak</t>
        </is>
      </c>
    </row>
    <row r="2502" s="34">
      <c r="A2502" s="40" t="inlineStr">
        <is>
          <t>740.01.02.0001</t>
        </is>
      </c>
      <c r="B2502" s="40" t="inlineStr">
        <is>
          <t>Yiyecek Maliyeti</t>
        </is>
      </c>
      <c r="C2502" s="40" t="inlineStr">
        <is>
          <t>TRY</t>
        </is>
      </c>
      <c r="D2502" s="40" t="inlineStr">
        <is>
          <t>ROYAL SEGINUS</t>
        </is>
      </c>
      <c r="E2502" s="38" t="n">
        <v>0</v>
      </c>
      <c r="F2502" s="38" t="n">
        <v>28160</v>
      </c>
      <c r="G2502" s="38" t="n">
        <v>-28160</v>
      </c>
      <c r="H2502" s="40" t="inlineStr">
        <is>
          <t>Alacak</t>
        </is>
      </c>
      <c r="I2502" s="38" t="n">
        <v>0</v>
      </c>
      <c r="J2502" s="38" t="n">
        <v>28160</v>
      </c>
      <c r="K2502" s="38" t="n">
        <v>-28160</v>
      </c>
      <c r="L2502" s="40" t="inlineStr">
        <is>
          <t>Alacak</t>
        </is>
      </c>
    </row>
    <row r="2503" s="34">
      <c r="A2503" s="40" t="inlineStr">
        <is>
          <t>740.01.02.0002</t>
        </is>
      </c>
      <c r="B2503" s="40" t="inlineStr">
        <is>
          <t>İçecek Maliyeti</t>
        </is>
      </c>
      <c r="C2503" s="40" t="inlineStr">
        <is>
          <t>TRY</t>
        </is>
      </c>
      <c r="D2503" s="40" t="inlineStr">
        <is>
          <t>ROYAL HOLIDAY</t>
        </is>
      </c>
      <c r="E2503" s="38" t="n">
        <v>0</v>
      </c>
      <c r="F2503" s="38" t="n">
        <v>595000</v>
      </c>
      <c r="G2503" s="38" t="n">
        <v>-595000</v>
      </c>
      <c r="H2503" s="40" t="inlineStr">
        <is>
          <t>Alacak</t>
        </is>
      </c>
      <c r="I2503" s="38" t="n">
        <v>0</v>
      </c>
      <c r="J2503" s="38" t="n">
        <v>595000</v>
      </c>
      <c r="K2503" s="38" t="n">
        <v>-595000</v>
      </c>
      <c r="L2503" s="40" t="inlineStr">
        <is>
          <t>Alacak</t>
        </is>
      </c>
    </row>
    <row r="2504" s="34">
      <c r="A2504" s="40" t="inlineStr">
        <is>
          <t>740.01.02.0008</t>
        </is>
      </c>
      <c r="B2504" s="40" t="inlineStr">
        <is>
          <t>Genel Temizlik Maliyeti</t>
        </is>
      </c>
      <c r="C2504" s="40" t="inlineStr">
        <is>
          <t>TRY</t>
        </is>
      </c>
      <c r="D2504" s="40" t="inlineStr">
        <is>
          <t>ROYAL HOLIDAY</t>
        </is>
      </c>
      <c r="E2504" s="38" t="n">
        <v>0</v>
      </c>
      <c r="F2504" s="38" t="n">
        <v>94687.5</v>
      </c>
      <c r="G2504" s="38" t="n">
        <v>-94687.5</v>
      </c>
      <c r="H2504" s="40" t="inlineStr">
        <is>
          <t>Alacak</t>
        </is>
      </c>
      <c r="I2504" s="38" t="n">
        <v>0</v>
      </c>
      <c r="J2504" s="38" t="n">
        <v>94687.5</v>
      </c>
      <c r="K2504" s="38" t="n">
        <v>-94687.5</v>
      </c>
      <c r="L2504" s="40" t="inlineStr">
        <is>
          <t>Alacak</t>
        </is>
      </c>
    </row>
    <row r="2505" s="34">
      <c r="A2505" s="40" t="inlineStr">
        <is>
          <t>740.01.02.0010</t>
        </is>
      </c>
      <c r="B2505" s="40" t="inlineStr">
        <is>
          <t>Kırtasiye&amp;Basılı Evrak Maliyeti</t>
        </is>
      </c>
      <c r="C2505" s="40" t="inlineStr">
        <is>
          <t>TRY</t>
        </is>
      </c>
      <c r="D2505" s="40" t="inlineStr">
        <is>
          <t>ROYAL ADAM EVE</t>
        </is>
      </c>
      <c r="E2505" s="38" t="n">
        <v>12574.33</v>
      </c>
      <c r="F2505" s="38" t="n">
        <v>0</v>
      </c>
      <c r="G2505" s="38" t="n">
        <v>12574.33</v>
      </c>
      <c r="H2505" s="40" t="inlineStr">
        <is>
          <t>Borç</t>
        </is>
      </c>
      <c r="I2505" s="38" t="n">
        <v>12574.33</v>
      </c>
      <c r="J2505" s="38" t="n">
        <v>0</v>
      </c>
      <c r="K2505" s="38" t="n">
        <v>12574.33</v>
      </c>
      <c r="L2505" s="40" t="inlineStr">
        <is>
          <t>Borç</t>
        </is>
      </c>
    </row>
    <row r="2506" s="34">
      <c r="A2506" s="40" t="inlineStr">
        <is>
          <t>740.01.02.0010</t>
        </is>
      </c>
      <c r="B2506" s="40" t="inlineStr">
        <is>
          <t>Kırtasiye&amp;Basılı Evrak Maliyeti</t>
        </is>
      </c>
      <c r="C2506" s="40" t="inlineStr">
        <is>
          <t>TRY</t>
        </is>
      </c>
      <c r="D2506" s="40" t="inlineStr">
        <is>
          <t>ROYAL HOLIDAY</t>
        </is>
      </c>
      <c r="E2506" s="38" t="n">
        <v>10006.84</v>
      </c>
      <c r="F2506" s="38" t="n">
        <v>0</v>
      </c>
      <c r="G2506" s="38" t="n">
        <v>10006.84</v>
      </c>
      <c r="H2506" s="40" t="inlineStr">
        <is>
          <t>Borç</t>
        </is>
      </c>
      <c r="I2506" s="38" t="n">
        <v>10006.84</v>
      </c>
      <c r="J2506" s="38" t="n">
        <v>0</v>
      </c>
      <c r="K2506" s="38" t="n">
        <v>10006.84</v>
      </c>
      <c r="L2506" s="40" t="inlineStr">
        <is>
          <t>Borç</t>
        </is>
      </c>
    </row>
    <row r="2507" s="34">
      <c r="A2507" s="40" t="inlineStr">
        <is>
          <t>740.01.02.0010</t>
        </is>
      </c>
      <c r="B2507" s="40" t="inlineStr">
        <is>
          <t>Kırtasiye&amp;Basılı Evrak Maliyeti</t>
        </is>
      </c>
      <c r="C2507" s="40" t="inlineStr">
        <is>
          <t>TRY</t>
        </is>
      </c>
      <c r="D2507" s="40" t="inlineStr">
        <is>
          <t>ROYAL SEGINUS</t>
        </is>
      </c>
      <c r="E2507" s="38" t="n">
        <v>74639.37</v>
      </c>
      <c r="F2507" s="38" t="n">
        <v>0</v>
      </c>
      <c r="G2507" s="38" t="n">
        <v>74639.37</v>
      </c>
      <c r="H2507" s="40" t="inlineStr">
        <is>
          <t>Borç</t>
        </is>
      </c>
      <c r="I2507" s="38" t="n">
        <v>74639.37</v>
      </c>
      <c r="J2507" s="38" t="n">
        <v>0</v>
      </c>
      <c r="K2507" s="38" t="n">
        <v>74639.37</v>
      </c>
      <c r="L2507" s="40" t="inlineStr">
        <is>
          <t>Borç</t>
        </is>
      </c>
    </row>
    <row r="2508" s="34">
      <c r="A2508" s="40" t="inlineStr">
        <is>
          <t>740.01.03</t>
        </is>
      </c>
      <c r="B2508" s="40" t="inlineStr">
        <is>
          <t>ANİMASYON &amp; GÜVENLİK GİDERLERİ</t>
        </is>
      </c>
      <c r="C2508" s="40" t="inlineStr">
        <is>
          <t>TRY</t>
        </is>
      </c>
      <c r="E2508" s="38" t="n">
        <v>432398.43</v>
      </c>
      <c r="F2508" s="38" t="n">
        <v>0</v>
      </c>
      <c r="G2508" s="38" t="n">
        <v>432398.43</v>
      </c>
      <c r="I2508" s="38" t="n">
        <v>27750</v>
      </c>
      <c r="J2508" s="38" t="n">
        <v>0</v>
      </c>
      <c r="K2508" s="38" t="n">
        <v>27750</v>
      </c>
    </row>
    <row r="2509" s="34">
      <c r="A2509" s="40" t="inlineStr">
        <is>
          <t>740.01.03.0005</t>
        </is>
      </c>
      <c r="B2509" s="40" t="inlineStr">
        <is>
          <t>Aktivite&amp;Show Maliyeti</t>
        </is>
      </c>
      <c r="C2509" s="40" t="inlineStr">
        <is>
          <t>TRY</t>
        </is>
      </c>
      <c r="D2509" s="40" t="inlineStr">
        <is>
          <t>ROYAL ADAM EVE</t>
        </is>
      </c>
      <c r="E2509" s="38" t="n">
        <v>412398.43</v>
      </c>
      <c r="F2509" s="38" t="n">
        <v>0</v>
      </c>
      <c r="G2509" s="38" t="n">
        <v>412398.43</v>
      </c>
      <c r="H2509" s="40" t="inlineStr">
        <is>
          <t>Borç</t>
        </is>
      </c>
      <c r="I2509" s="38" t="n">
        <v>7750</v>
      </c>
      <c r="J2509" s="38" t="n">
        <v>0</v>
      </c>
      <c r="K2509" s="38" t="n">
        <v>7750</v>
      </c>
      <c r="L2509" s="40" t="inlineStr">
        <is>
          <t>Borç</t>
        </is>
      </c>
    </row>
    <row r="2510" s="34">
      <c r="A2510" s="40" t="inlineStr">
        <is>
          <t>740.01.03.0005</t>
        </is>
      </c>
      <c r="B2510" s="40" t="inlineStr">
        <is>
          <t>Aktivite&amp;Show Maliyeti</t>
        </is>
      </c>
      <c r="C2510" s="40" t="inlineStr">
        <is>
          <t>TRY</t>
        </is>
      </c>
      <c r="D2510" s="40" t="inlineStr">
        <is>
          <t>ROYAL DRAGON</t>
        </is>
      </c>
      <c r="E2510" s="38" t="n">
        <v>20000</v>
      </c>
      <c r="F2510" s="38" t="n">
        <v>0</v>
      </c>
      <c r="G2510" s="38" t="n">
        <v>20000</v>
      </c>
      <c r="H2510" s="40" t="inlineStr">
        <is>
          <t>Borç</t>
        </is>
      </c>
      <c r="I2510" s="38" t="n">
        <v>20000</v>
      </c>
      <c r="J2510" s="38" t="n">
        <v>0</v>
      </c>
      <c r="K2510" s="38" t="n">
        <v>20000</v>
      </c>
      <c r="L2510" s="40" t="inlineStr">
        <is>
          <t>Borç</t>
        </is>
      </c>
    </row>
    <row r="2511" s="34">
      <c r="A2511" s="40" t="inlineStr">
        <is>
          <t>76</t>
        </is>
      </c>
      <c r="B2511" s="40" t="inlineStr">
        <is>
          <t>PAZARLAMA-SATIŞ VE DAĞITIM GİDERLERİ</t>
        </is>
      </c>
      <c r="C2511" s="40" t="inlineStr">
        <is>
          <t>TRY</t>
        </is>
      </c>
      <c r="E2511" s="38" t="n">
        <v>2278019.56</v>
      </c>
      <c r="F2511" s="38" t="n">
        <v>0</v>
      </c>
      <c r="G2511" s="38" t="n">
        <v>2278019.56</v>
      </c>
      <c r="I2511" s="38" t="n">
        <v>2277879.16</v>
      </c>
      <c r="J2511" s="38" t="n">
        <v>0</v>
      </c>
      <c r="K2511" s="38" t="n">
        <v>2277879.16</v>
      </c>
    </row>
    <row r="2512" s="34">
      <c r="A2512" s="40" t="inlineStr">
        <is>
          <t>760</t>
        </is>
      </c>
      <c r="B2512" s="40" t="inlineStr">
        <is>
          <t>PAZARLAMA-SATIŞ VE DAĞITIM GİDERLERİ</t>
        </is>
      </c>
      <c r="C2512" s="40" t="inlineStr">
        <is>
          <t>TRY</t>
        </is>
      </c>
      <c r="E2512" s="38" t="n">
        <v>2278019.56</v>
      </c>
      <c r="F2512" s="38" t="n">
        <v>0</v>
      </c>
      <c r="G2512" s="38" t="n">
        <v>2278019.56</v>
      </c>
      <c r="I2512" s="38" t="n">
        <v>2277879.16</v>
      </c>
      <c r="J2512" s="38" t="n">
        <v>0</v>
      </c>
      <c r="K2512" s="38" t="n">
        <v>2277879.16</v>
      </c>
    </row>
    <row r="2513" s="34">
      <c r="A2513" s="40" t="inlineStr">
        <is>
          <t>760.01</t>
        </is>
      </c>
      <c r="B2513" s="40" t="inlineStr">
        <is>
          <t>PAZARLAMA-SATIŞ VE DAĞITIM GİDERLERİ</t>
        </is>
      </c>
      <c r="C2513" s="40" t="inlineStr">
        <is>
          <t>TRY</t>
        </is>
      </c>
      <c r="E2513" s="38" t="n">
        <v>2278019.56</v>
      </c>
      <c r="F2513" s="38" t="n">
        <v>0</v>
      </c>
      <c r="G2513" s="38" t="n">
        <v>2278019.56</v>
      </c>
      <c r="I2513" s="38" t="n">
        <v>2277879.16</v>
      </c>
      <c r="J2513" s="38" t="n">
        <v>0</v>
      </c>
      <c r="K2513" s="38" t="n">
        <v>2277879.16</v>
      </c>
    </row>
    <row r="2514" s="34">
      <c r="A2514" s="40" t="inlineStr">
        <is>
          <t>760.01.01</t>
        </is>
      </c>
      <c r="B2514" s="40" t="inlineStr">
        <is>
          <t>PERSONEL GİDERLERİ</t>
        </is>
      </c>
      <c r="C2514" s="40" t="inlineStr">
        <is>
          <t>TRY</t>
        </is>
      </c>
      <c r="E2514" s="38" t="n">
        <v>313034.13</v>
      </c>
      <c r="F2514" s="38" t="n">
        <v>0</v>
      </c>
      <c r="G2514" s="38" t="n">
        <v>313034.13</v>
      </c>
      <c r="I2514" s="38" t="n">
        <v>313034.13</v>
      </c>
      <c r="J2514" s="38" t="n">
        <v>0</v>
      </c>
      <c r="K2514" s="38" t="n">
        <v>313034.13</v>
      </c>
    </row>
    <row r="2515" s="34">
      <c r="A2515" s="40" t="inlineStr">
        <is>
          <t>760.01.01.0002</t>
        </is>
      </c>
      <c r="B2515" s="40" t="inlineStr">
        <is>
          <t>Fazla Çalışma ÜcreTLeri</t>
        </is>
      </c>
      <c r="C2515" s="40" t="inlineStr">
        <is>
          <t>TRY</t>
        </is>
      </c>
      <c r="D2515" s="40" t="inlineStr">
        <is>
          <t>SERTAŞ MERKEZ</t>
        </is>
      </c>
      <c r="E2515" s="38" t="n">
        <v>60628.36</v>
      </c>
      <c r="F2515" s="38" t="n">
        <v>0</v>
      </c>
      <c r="G2515" s="38" t="n">
        <v>60628.36</v>
      </c>
      <c r="H2515" s="40" t="inlineStr">
        <is>
          <t>Borç</t>
        </is>
      </c>
      <c r="I2515" s="38" t="n">
        <v>60628.36</v>
      </c>
      <c r="J2515" s="38" t="n">
        <v>0</v>
      </c>
      <c r="K2515" s="38" t="n">
        <v>60628.36</v>
      </c>
      <c r="L2515" s="40" t="inlineStr">
        <is>
          <t>Borç</t>
        </is>
      </c>
    </row>
    <row r="2516" s="34">
      <c r="A2516" s="40" t="inlineStr">
        <is>
          <t>760.01.01.0005</t>
        </is>
      </c>
      <c r="B2516" s="40" t="inlineStr">
        <is>
          <t>İhbar Ve Kıdem Tazminatı</t>
        </is>
      </c>
      <c r="C2516" s="40" t="inlineStr">
        <is>
          <t>TRY</t>
        </is>
      </c>
      <c r="D2516" s="40" t="inlineStr">
        <is>
          <t>SERTAŞ MERKEZ</t>
        </is>
      </c>
      <c r="E2516" s="38" t="n">
        <v>252405.77</v>
      </c>
      <c r="F2516" s="38" t="n">
        <v>0</v>
      </c>
      <c r="G2516" s="38" t="n">
        <v>252405.77</v>
      </c>
      <c r="H2516" s="40" t="inlineStr">
        <is>
          <t>Borç</t>
        </is>
      </c>
      <c r="I2516" s="38" t="n">
        <v>252405.77</v>
      </c>
      <c r="J2516" s="38" t="n">
        <v>0</v>
      </c>
      <c r="K2516" s="38" t="n">
        <v>252405.77</v>
      </c>
      <c r="L2516" s="40" t="inlineStr">
        <is>
          <t>Borç</t>
        </is>
      </c>
    </row>
    <row r="2517" s="34">
      <c r="A2517" s="40" t="inlineStr">
        <is>
          <t>760.01.02</t>
        </is>
      </c>
      <c r="B2517" s="40" t="inlineStr">
        <is>
          <t>OPERASYON GİDERLERİ</t>
        </is>
      </c>
      <c r="C2517" s="40" t="inlineStr">
        <is>
          <t>TRY</t>
        </is>
      </c>
      <c r="E2517" s="38" t="n">
        <v>1964985.43</v>
      </c>
      <c r="F2517" s="38" t="n">
        <v>0</v>
      </c>
      <c r="G2517" s="38" t="n">
        <v>1964985.43</v>
      </c>
      <c r="I2517" s="38" t="n">
        <v>1964845.03</v>
      </c>
      <c r="J2517" s="38" t="n">
        <v>0</v>
      </c>
      <c r="K2517" s="38" t="n">
        <v>1964845.03</v>
      </c>
    </row>
    <row r="2518" s="34">
      <c r="A2518" s="40" t="inlineStr">
        <is>
          <t>760.01.02.0001</t>
        </is>
      </c>
      <c r="B2518" s="40" t="inlineStr">
        <is>
          <t>Broşür-Katalog Giderleri</t>
        </is>
      </c>
      <c r="C2518" s="40" t="inlineStr">
        <is>
          <t>TRY</t>
        </is>
      </c>
      <c r="D2518" s="40" t="inlineStr">
        <is>
          <t>ROYAL ADAM EVE</t>
        </is>
      </c>
      <c r="E2518" s="38" t="n">
        <v>79791</v>
      </c>
      <c r="F2518" s="38" t="n">
        <v>0</v>
      </c>
      <c r="G2518" s="38" t="n">
        <v>79791</v>
      </c>
      <c r="H2518" s="40" t="inlineStr">
        <is>
          <t>Borç</t>
        </is>
      </c>
      <c r="I2518" s="38" t="n">
        <v>79791</v>
      </c>
      <c r="J2518" s="38" t="n">
        <v>0</v>
      </c>
      <c r="K2518" s="38" t="n">
        <v>79791</v>
      </c>
      <c r="L2518" s="40" t="inlineStr">
        <is>
          <t>Borç</t>
        </is>
      </c>
    </row>
    <row r="2519" s="34">
      <c r="A2519" s="40" t="inlineStr">
        <is>
          <t>760.01.02.0001</t>
        </is>
      </c>
      <c r="B2519" s="40" t="inlineStr">
        <is>
          <t>Broşür-Katalog Giderleri</t>
        </is>
      </c>
      <c r="C2519" s="40" t="inlineStr">
        <is>
          <t>TRY</t>
        </is>
      </c>
      <c r="D2519" s="40" t="inlineStr">
        <is>
          <t>ROYAL ALHAMBRA</t>
        </is>
      </c>
      <c r="E2519" s="38" t="n">
        <v>79791</v>
      </c>
      <c r="F2519" s="38" t="n">
        <v>0</v>
      </c>
      <c r="G2519" s="38" t="n">
        <v>79791</v>
      </c>
      <c r="H2519" s="40" t="inlineStr">
        <is>
          <t>Borç</t>
        </is>
      </c>
      <c r="I2519" s="38" t="n">
        <v>79791</v>
      </c>
      <c r="J2519" s="38" t="n">
        <v>0</v>
      </c>
      <c r="K2519" s="38" t="n">
        <v>79791</v>
      </c>
      <c r="L2519" s="40" t="inlineStr">
        <is>
          <t>Borç</t>
        </is>
      </c>
    </row>
    <row r="2520" s="34">
      <c r="A2520" s="40" t="inlineStr">
        <is>
          <t>760.01.02.0001</t>
        </is>
      </c>
      <c r="B2520" s="40" t="inlineStr">
        <is>
          <t>Broşür-Katalog Giderleri</t>
        </is>
      </c>
      <c r="C2520" s="40" t="inlineStr">
        <is>
          <t>TRY</t>
        </is>
      </c>
      <c r="D2520" s="40" t="inlineStr">
        <is>
          <t>ROYAL DRAGON</t>
        </is>
      </c>
      <c r="E2520" s="38" t="n">
        <v>79791</v>
      </c>
      <c r="F2520" s="38" t="n">
        <v>0</v>
      </c>
      <c r="G2520" s="38" t="n">
        <v>79791</v>
      </c>
      <c r="H2520" s="40" t="inlineStr">
        <is>
          <t>Borç</t>
        </is>
      </c>
      <c r="I2520" s="38" t="n">
        <v>79791</v>
      </c>
      <c r="J2520" s="38" t="n">
        <v>0</v>
      </c>
      <c r="K2520" s="38" t="n">
        <v>79791</v>
      </c>
      <c r="L2520" s="40" t="inlineStr">
        <is>
          <t>Borç</t>
        </is>
      </c>
    </row>
    <row r="2521" s="34">
      <c r="A2521" s="40" t="inlineStr">
        <is>
          <t>760.01.02.0001</t>
        </is>
      </c>
      <c r="B2521" s="40" t="inlineStr">
        <is>
          <t>Broşür-Katalog Giderleri</t>
        </is>
      </c>
      <c r="C2521" s="40" t="inlineStr">
        <is>
          <t>TRY</t>
        </is>
      </c>
      <c r="D2521" s="40" t="inlineStr">
        <is>
          <t>ROYAL HOLIDAY</t>
        </is>
      </c>
      <c r="E2521" s="38" t="n">
        <v>79791</v>
      </c>
      <c r="F2521" s="38" t="n">
        <v>0</v>
      </c>
      <c r="G2521" s="38" t="n">
        <v>79791</v>
      </c>
      <c r="H2521" s="40" t="inlineStr">
        <is>
          <t>Borç</t>
        </is>
      </c>
      <c r="I2521" s="38" t="n">
        <v>79791</v>
      </c>
      <c r="J2521" s="38" t="n">
        <v>0</v>
      </c>
      <c r="K2521" s="38" t="n">
        <v>79791</v>
      </c>
      <c r="L2521" s="40" t="inlineStr">
        <is>
          <t>Borç</t>
        </is>
      </c>
    </row>
    <row r="2522" s="34">
      <c r="A2522" s="40" t="inlineStr">
        <is>
          <t>760.01.02.0001</t>
        </is>
      </c>
      <c r="B2522" s="40" t="inlineStr">
        <is>
          <t>Broşür-Katalog Giderleri</t>
        </is>
      </c>
      <c r="C2522" s="40" t="inlineStr">
        <is>
          <t>TRY</t>
        </is>
      </c>
      <c r="D2522" s="40" t="inlineStr">
        <is>
          <t>ROYAL SEGINUS</t>
        </is>
      </c>
      <c r="E2522" s="38" t="n">
        <v>79791</v>
      </c>
      <c r="F2522" s="38" t="n">
        <v>0</v>
      </c>
      <c r="G2522" s="38" t="n">
        <v>79791</v>
      </c>
      <c r="H2522" s="40" t="inlineStr">
        <is>
          <t>Borç</t>
        </is>
      </c>
      <c r="I2522" s="38" t="n">
        <v>79791</v>
      </c>
      <c r="J2522" s="38" t="n">
        <v>0</v>
      </c>
      <c r="K2522" s="38" t="n">
        <v>79791</v>
      </c>
      <c r="L2522" s="40" t="inlineStr">
        <is>
          <t>Borç</t>
        </is>
      </c>
    </row>
    <row r="2523" s="34">
      <c r="A2523" s="40" t="inlineStr">
        <is>
          <t>760.01.02.0006</t>
        </is>
      </c>
      <c r="B2523" s="40" t="inlineStr">
        <is>
          <t>Seyahat Giderleri</t>
        </is>
      </c>
      <c r="C2523" s="40" t="inlineStr">
        <is>
          <t>TRY</t>
        </is>
      </c>
      <c r="D2523" s="40" t="inlineStr">
        <is>
          <t>ROYAL ADAM EVE</t>
        </is>
      </c>
      <c r="E2523" s="38" t="n">
        <v>52343.1</v>
      </c>
      <c r="F2523" s="38" t="n">
        <v>0</v>
      </c>
      <c r="G2523" s="38" t="n">
        <v>52343.1</v>
      </c>
      <c r="H2523" s="40" t="inlineStr">
        <is>
          <t>Borç</t>
        </is>
      </c>
      <c r="I2523" s="38" t="n">
        <v>52343.1</v>
      </c>
      <c r="J2523" s="38" t="n">
        <v>0</v>
      </c>
      <c r="K2523" s="38" t="n">
        <v>52343.1</v>
      </c>
      <c r="L2523" s="40" t="inlineStr">
        <is>
          <t>Borç</t>
        </is>
      </c>
    </row>
    <row r="2524" s="34">
      <c r="A2524" s="40" t="inlineStr">
        <is>
          <t>760.01.02.0008</t>
        </is>
      </c>
      <c r="B2524" s="40" t="inlineStr">
        <is>
          <t>Rehber Katkı Payı</t>
        </is>
      </c>
      <c r="C2524" s="40" t="inlineStr">
        <is>
          <t>TRY</t>
        </is>
      </c>
      <c r="D2524" s="40" t="inlineStr">
        <is>
          <t>GİTAŞ MERKEZ</t>
        </is>
      </c>
      <c r="E2524" s="38" t="n">
        <v>461.27</v>
      </c>
      <c r="F2524" s="38" t="n">
        <v>0</v>
      </c>
      <c r="G2524" s="38" t="n">
        <v>461.27</v>
      </c>
      <c r="H2524" s="40" t="inlineStr">
        <is>
          <t>Borç</t>
        </is>
      </c>
      <c r="I2524" s="38" t="n">
        <v>461.27</v>
      </c>
      <c r="J2524" s="38" t="n">
        <v>0</v>
      </c>
      <c r="K2524" s="38" t="n">
        <v>461.27</v>
      </c>
      <c r="L2524" s="40" t="inlineStr">
        <is>
          <t>Borç</t>
        </is>
      </c>
    </row>
    <row r="2525" s="34">
      <c r="A2525" s="40" t="inlineStr">
        <is>
          <t>760.01.02.0008</t>
        </is>
      </c>
      <c r="B2525" s="40" t="inlineStr">
        <is>
          <t>Rehber Katkı Payı</t>
        </is>
      </c>
      <c r="C2525" s="40" t="inlineStr">
        <is>
          <t>TRY</t>
        </is>
      </c>
      <c r="D2525" s="40" t="inlineStr">
        <is>
          <t>ROYAL ADAM EVE</t>
        </is>
      </c>
      <c r="E2525" s="38" t="n">
        <v>3689.06</v>
      </c>
      <c r="F2525" s="38" t="n">
        <v>0</v>
      </c>
      <c r="G2525" s="38" t="n">
        <v>3689.06</v>
      </c>
      <c r="H2525" s="40" t="inlineStr">
        <is>
          <t>Borç</t>
        </is>
      </c>
      <c r="I2525" s="38" t="n">
        <v>3689.06</v>
      </c>
      <c r="J2525" s="38" t="n">
        <v>0</v>
      </c>
      <c r="K2525" s="38" t="n">
        <v>3689.06</v>
      </c>
      <c r="L2525" s="40" t="inlineStr">
        <is>
          <t>Borç</t>
        </is>
      </c>
    </row>
    <row r="2526" s="34">
      <c r="A2526" s="40" t="inlineStr">
        <is>
          <t>760.01.02.0008</t>
        </is>
      </c>
      <c r="B2526" s="40" t="inlineStr">
        <is>
          <t>Rehber Katkı Payı</t>
        </is>
      </c>
      <c r="C2526" s="40" t="inlineStr">
        <is>
          <t>TRY</t>
        </is>
      </c>
      <c r="D2526" s="40" t="inlineStr">
        <is>
          <t>ROYAL ALHAMBRA</t>
        </is>
      </c>
      <c r="E2526" s="38" t="n">
        <v>22095.42</v>
      </c>
      <c r="F2526" s="38" t="n">
        <v>0</v>
      </c>
      <c r="G2526" s="38" t="n">
        <v>22095.42</v>
      </c>
      <c r="H2526" s="40" t="inlineStr">
        <is>
          <t>Borç</t>
        </is>
      </c>
      <c r="I2526" s="38" t="n">
        <v>22095.42</v>
      </c>
      <c r="J2526" s="38" t="n">
        <v>0</v>
      </c>
      <c r="K2526" s="38" t="n">
        <v>22095.42</v>
      </c>
      <c r="L2526" s="40" t="inlineStr">
        <is>
          <t>Borç</t>
        </is>
      </c>
    </row>
    <row r="2527" s="34">
      <c r="A2527" s="40" t="inlineStr">
        <is>
          <t>760.01.02.0008</t>
        </is>
      </c>
      <c r="B2527" s="40" t="inlineStr">
        <is>
          <t>Rehber Katkı Payı</t>
        </is>
      </c>
      <c r="C2527" s="40" t="inlineStr">
        <is>
          <t>TRY</t>
        </is>
      </c>
      <c r="D2527" s="40" t="inlineStr">
        <is>
          <t>ROYAL DRAGON</t>
        </is>
      </c>
      <c r="E2527" s="38" t="n">
        <v>43716.02</v>
      </c>
      <c r="F2527" s="38" t="n">
        <v>0</v>
      </c>
      <c r="G2527" s="38" t="n">
        <v>43716.02</v>
      </c>
      <c r="H2527" s="40" t="inlineStr">
        <is>
          <t>Borç</t>
        </is>
      </c>
      <c r="I2527" s="38" t="n">
        <v>43716.02</v>
      </c>
      <c r="J2527" s="38" t="n">
        <v>0</v>
      </c>
      <c r="K2527" s="38" t="n">
        <v>43716.02</v>
      </c>
      <c r="L2527" s="40" t="inlineStr">
        <is>
          <t>Borç</t>
        </is>
      </c>
    </row>
    <row r="2528" s="34">
      <c r="A2528" s="40" t="inlineStr">
        <is>
          <t>760.01.02.0008</t>
        </is>
      </c>
      <c r="B2528" s="40" t="inlineStr">
        <is>
          <t>Rehber Katkı Payı</t>
        </is>
      </c>
      <c r="C2528" s="40" t="inlineStr">
        <is>
          <t>TRY</t>
        </is>
      </c>
      <c r="D2528" s="40" t="inlineStr">
        <is>
          <t>ROYAL HOLIDAY</t>
        </is>
      </c>
      <c r="E2528" s="38" t="n">
        <v>32167.64</v>
      </c>
      <c r="F2528" s="38" t="n">
        <v>0</v>
      </c>
      <c r="G2528" s="38" t="n">
        <v>32167.64</v>
      </c>
      <c r="H2528" s="40" t="inlineStr">
        <is>
          <t>Borç</t>
        </is>
      </c>
      <c r="I2528" s="38" t="n">
        <v>32167.64</v>
      </c>
      <c r="J2528" s="38" t="n">
        <v>0</v>
      </c>
      <c r="K2528" s="38" t="n">
        <v>32167.64</v>
      </c>
      <c r="L2528" s="40" t="inlineStr">
        <is>
          <t>Borç</t>
        </is>
      </c>
    </row>
    <row r="2529" s="34">
      <c r="A2529" s="40" t="inlineStr">
        <is>
          <t>760.01.02.0008</t>
        </is>
      </c>
      <c r="B2529" s="40" t="inlineStr">
        <is>
          <t>Rehber Katkı Payı</t>
        </is>
      </c>
      <c r="C2529" s="40" t="inlineStr">
        <is>
          <t>TRY</t>
        </is>
      </c>
      <c r="D2529" s="40" t="inlineStr">
        <is>
          <t>ROYAL SEGINUS</t>
        </is>
      </c>
      <c r="E2529" s="38" t="n">
        <v>33773.4</v>
      </c>
      <c r="F2529" s="38" t="n">
        <v>0</v>
      </c>
      <c r="G2529" s="38" t="n">
        <v>33773.4</v>
      </c>
      <c r="H2529" s="40" t="inlineStr">
        <is>
          <t>Borç</t>
        </is>
      </c>
      <c r="I2529" s="38" t="n">
        <v>33773.4</v>
      </c>
      <c r="J2529" s="38" t="n">
        <v>0</v>
      </c>
      <c r="K2529" s="38" t="n">
        <v>33773.4</v>
      </c>
      <c r="L2529" s="40" t="inlineStr">
        <is>
          <t>Borç</t>
        </is>
      </c>
    </row>
    <row r="2530" s="34">
      <c r="A2530" s="40" t="inlineStr">
        <is>
          <t>760.01.02.0008</t>
        </is>
      </c>
      <c r="B2530" s="40" t="inlineStr">
        <is>
          <t>Rehber Katkı Payı</t>
        </is>
      </c>
      <c r="C2530" s="40" t="inlineStr">
        <is>
          <t>TRY</t>
        </is>
      </c>
      <c r="D2530" s="40" t="inlineStr">
        <is>
          <t>SERTAŞ MERKEZ</t>
        </is>
      </c>
      <c r="E2530" s="38" t="n">
        <v>2998.74</v>
      </c>
      <c r="F2530" s="38" t="n">
        <v>0</v>
      </c>
      <c r="G2530" s="38" t="n">
        <v>2998.74</v>
      </c>
      <c r="H2530" s="40" t="inlineStr">
        <is>
          <t>Borç</t>
        </is>
      </c>
      <c r="I2530" s="38" t="n">
        <v>2998.74</v>
      </c>
      <c r="J2530" s="38" t="n">
        <v>0</v>
      </c>
      <c r="K2530" s="38" t="n">
        <v>2998.74</v>
      </c>
      <c r="L2530" s="40" t="inlineStr">
        <is>
          <t>Borç</t>
        </is>
      </c>
    </row>
    <row r="2531" s="34">
      <c r="A2531" s="40" t="inlineStr">
        <is>
          <t>760.01.02.0009</t>
        </is>
      </c>
      <c r="B2531" s="40" t="inlineStr">
        <is>
          <t>Fuar Konaklama Katılım Stand Kira Giderleri</t>
        </is>
      </c>
      <c r="C2531" s="40" t="inlineStr">
        <is>
          <t>TRY</t>
        </is>
      </c>
      <c r="D2531" s="40" t="inlineStr">
        <is>
          <t>SERTAŞ MERKEZ</t>
        </is>
      </c>
      <c r="E2531" s="38" t="n">
        <v>19867.78</v>
      </c>
      <c r="F2531" s="38" t="n">
        <v>0</v>
      </c>
      <c r="G2531" s="38" t="n">
        <v>19867.78</v>
      </c>
      <c r="H2531" s="40" t="inlineStr">
        <is>
          <t>Borç</t>
        </is>
      </c>
      <c r="I2531" s="38" t="n">
        <v>19867.78</v>
      </c>
      <c r="J2531" s="38" t="n">
        <v>0</v>
      </c>
      <c r="K2531" s="38" t="n">
        <v>19867.78</v>
      </c>
      <c r="L2531" s="40" t="inlineStr">
        <is>
          <t>Borç</t>
        </is>
      </c>
    </row>
    <row r="2532" s="34">
      <c r="A2532" s="40" t="inlineStr">
        <is>
          <t>760.01.02.0010</t>
        </is>
      </c>
      <c r="B2532" s="40" t="inlineStr">
        <is>
          <t>Konaklama Komisyon Giderleri</t>
        </is>
      </c>
      <c r="C2532" s="40" t="inlineStr">
        <is>
          <t>TRY</t>
        </is>
      </c>
      <c r="D2532" s="40" t="inlineStr">
        <is>
          <t>ROYAL ADAM EVE</t>
        </is>
      </c>
      <c r="E2532" s="38" t="n">
        <v>421891.84</v>
      </c>
      <c r="F2532" s="38" t="n">
        <v>0</v>
      </c>
      <c r="G2532" s="38" t="n">
        <v>421891.84</v>
      </c>
      <c r="H2532" s="40" t="inlineStr">
        <is>
          <t>Borç</t>
        </is>
      </c>
      <c r="I2532" s="38" t="n">
        <v>421751.44</v>
      </c>
      <c r="J2532" s="38" t="n">
        <v>0</v>
      </c>
      <c r="K2532" s="38" t="n">
        <v>421751.44</v>
      </c>
      <c r="L2532" s="40" t="inlineStr">
        <is>
          <t>Borç</t>
        </is>
      </c>
    </row>
    <row r="2533" s="34">
      <c r="A2533" s="40" t="inlineStr">
        <is>
          <t>760.01.02.0010</t>
        </is>
      </c>
      <c r="B2533" s="40" t="inlineStr">
        <is>
          <t>Konaklama Komisyon Giderleri</t>
        </is>
      </c>
      <c r="C2533" s="40" t="inlineStr">
        <is>
          <t>TRY</t>
        </is>
      </c>
      <c r="D2533" s="40" t="inlineStr">
        <is>
          <t>ROYAL ALHAMBRA</t>
        </is>
      </c>
      <c r="E2533" s="38" t="n">
        <v>57433.32</v>
      </c>
      <c r="F2533" s="38" t="n">
        <v>0</v>
      </c>
      <c r="G2533" s="38" t="n">
        <v>57433.32</v>
      </c>
      <c r="H2533" s="40" t="inlineStr">
        <is>
          <t>Borç</t>
        </is>
      </c>
      <c r="I2533" s="38" t="n">
        <v>57433.32</v>
      </c>
      <c r="J2533" s="38" t="n">
        <v>0</v>
      </c>
      <c r="K2533" s="38" t="n">
        <v>57433.32</v>
      </c>
      <c r="L2533" s="40" t="inlineStr">
        <is>
          <t>Borç</t>
        </is>
      </c>
    </row>
    <row r="2534" s="34">
      <c r="A2534" s="40" t="inlineStr">
        <is>
          <t>760.01.02.0010</t>
        </is>
      </c>
      <c r="B2534" s="40" t="inlineStr">
        <is>
          <t>Konaklama Komisyon Giderleri</t>
        </is>
      </c>
      <c r="C2534" s="40" t="inlineStr">
        <is>
          <t>TRY</t>
        </is>
      </c>
      <c r="D2534" s="40" t="inlineStr">
        <is>
          <t>ROYAL DRAGON</t>
        </is>
      </c>
      <c r="E2534" s="38" t="n">
        <v>89613.53999999999</v>
      </c>
      <c r="F2534" s="38" t="n">
        <v>0</v>
      </c>
      <c r="G2534" s="38" t="n">
        <v>89613.53999999999</v>
      </c>
      <c r="H2534" s="40" t="inlineStr">
        <is>
          <t>Borç</t>
        </is>
      </c>
      <c r="I2534" s="38" t="n">
        <v>89613.53999999999</v>
      </c>
      <c r="J2534" s="38" t="n">
        <v>0</v>
      </c>
      <c r="K2534" s="38" t="n">
        <v>89613.53999999999</v>
      </c>
      <c r="L2534" s="40" t="inlineStr">
        <is>
          <t>Borç</t>
        </is>
      </c>
    </row>
    <row r="2535" s="34">
      <c r="A2535" s="40" t="inlineStr">
        <is>
          <t>760.01.02.0010</t>
        </is>
      </c>
      <c r="B2535" s="40" t="inlineStr">
        <is>
          <t>Konaklama Komisyon Giderleri</t>
        </is>
      </c>
      <c r="C2535" s="40" t="inlineStr">
        <is>
          <t>TRY</t>
        </is>
      </c>
      <c r="D2535" s="40" t="inlineStr">
        <is>
          <t>ROYAL HOLIDAY</t>
        </is>
      </c>
      <c r="E2535" s="38" t="n">
        <v>172119.47</v>
      </c>
      <c r="F2535" s="38" t="n">
        <v>0</v>
      </c>
      <c r="G2535" s="38" t="n">
        <v>172119.47</v>
      </c>
      <c r="H2535" s="40" t="inlineStr">
        <is>
          <t>Borç</t>
        </is>
      </c>
      <c r="I2535" s="38" t="n">
        <v>172119.47</v>
      </c>
      <c r="J2535" s="38" t="n">
        <v>0</v>
      </c>
      <c r="K2535" s="38" t="n">
        <v>172119.47</v>
      </c>
      <c r="L2535" s="40" t="inlineStr">
        <is>
          <t>Borç</t>
        </is>
      </c>
    </row>
    <row r="2536" s="34">
      <c r="A2536" s="40" t="inlineStr">
        <is>
          <t>760.01.02.0010</t>
        </is>
      </c>
      <c r="B2536" s="40" t="inlineStr">
        <is>
          <t>Konaklama Komisyon Giderleri</t>
        </is>
      </c>
      <c r="C2536" s="40" t="inlineStr">
        <is>
          <t>TRY</t>
        </is>
      </c>
      <c r="D2536" s="40" t="inlineStr">
        <is>
          <t>ROYAL SEGINUS</t>
        </is>
      </c>
      <c r="E2536" s="38" t="n">
        <v>613859.83</v>
      </c>
      <c r="F2536" s="38" t="n">
        <v>0</v>
      </c>
      <c r="G2536" s="38" t="n">
        <v>613859.83</v>
      </c>
      <c r="H2536" s="40" t="inlineStr">
        <is>
          <t>Borç</t>
        </is>
      </c>
      <c r="I2536" s="38" t="n">
        <v>613859.83</v>
      </c>
      <c r="J2536" s="38" t="n">
        <v>0</v>
      </c>
      <c r="K2536" s="38" t="n">
        <v>613859.83</v>
      </c>
      <c r="L2536" s="40" t="inlineStr">
        <is>
          <t>Borç</t>
        </is>
      </c>
    </row>
    <row r="2537" s="34">
      <c r="A2537" s="40" t="inlineStr">
        <is>
          <t>77</t>
        </is>
      </c>
      <c r="B2537" s="40" t="inlineStr">
        <is>
          <t>GENEL YÖNETİM GİDERLERİ</t>
        </is>
      </c>
      <c r="C2537" s="40" t="inlineStr">
        <is>
          <t>TRY</t>
        </is>
      </c>
      <c r="E2537" s="38" t="n">
        <v>19861883.18</v>
      </c>
      <c r="F2537" s="38" t="n">
        <v>3155722.27</v>
      </c>
      <c r="G2537" s="38" t="n">
        <v>16706160.91</v>
      </c>
      <c r="I2537" s="38" t="n">
        <v>18776571.37</v>
      </c>
      <c r="J2537" s="38" t="n">
        <v>3021247.95</v>
      </c>
      <c r="K2537" s="38" t="n">
        <v>15755323.42</v>
      </c>
    </row>
    <row r="2538" s="34">
      <c r="A2538" s="40" t="inlineStr">
        <is>
          <t>770</t>
        </is>
      </c>
      <c r="B2538" s="40" t="inlineStr">
        <is>
          <t>GENEL YÖNETİM GİDERLERİ</t>
        </is>
      </c>
      <c r="C2538" s="40" t="inlineStr">
        <is>
          <t>TRY</t>
        </is>
      </c>
      <c r="E2538" s="38" t="n">
        <v>19861883.18</v>
      </c>
      <c r="F2538" s="38" t="n">
        <v>3155722.27</v>
      </c>
      <c r="G2538" s="38" t="n">
        <v>16706160.91</v>
      </c>
      <c r="I2538" s="38" t="n">
        <v>18776571.37</v>
      </c>
      <c r="J2538" s="38" t="n">
        <v>3021247.95</v>
      </c>
      <c r="K2538" s="38" t="n">
        <v>15755323.42</v>
      </c>
    </row>
    <row r="2539" s="34">
      <c r="A2539" s="40" t="inlineStr">
        <is>
          <t>770.01</t>
        </is>
      </c>
      <c r="B2539" s="40" t="inlineStr">
        <is>
          <t>GENEL YÖNETİM GİDERLERİ</t>
        </is>
      </c>
      <c r="C2539" s="40" t="inlineStr">
        <is>
          <t>TRY</t>
        </is>
      </c>
      <c r="E2539" s="38" t="n">
        <v>19861883.18</v>
      </c>
      <c r="F2539" s="38" t="n">
        <v>3155722.27</v>
      </c>
      <c r="G2539" s="38" t="n">
        <v>16706160.91</v>
      </c>
      <c r="I2539" s="38" t="n">
        <v>18776571.37</v>
      </c>
      <c r="J2539" s="38" t="n">
        <v>3021247.95</v>
      </c>
      <c r="K2539" s="38" t="n">
        <v>15755323.42</v>
      </c>
    </row>
    <row r="2540" s="34">
      <c r="A2540" s="40" t="inlineStr">
        <is>
          <t>770.01.01</t>
        </is>
      </c>
      <c r="B2540" s="40" t="inlineStr">
        <is>
          <t>PERSONEL GİDERLERİ</t>
        </is>
      </c>
      <c r="C2540" s="40" t="inlineStr">
        <is>
          <t>TRY</t>
        </is>
      </c>
      <c r="E2540" s="38" t="n">
        <v>10413633.96</v>
      </c>
      <c r="F2540" s="38" t="n">
        <v>0</v>
      </c>
      <c r="G2540" s="38" t="n">
        <v>10413633.96</v>
      </c>
      <c r="I2540" s="38" t="n">
        <v>10413633.96</v>
      </c>
      <c r="J2540" s="38" t="n">
        <v>0</v>
      </c>
      <c r="K2540" s="38" t="n">
        <v>10413633.96</v>
      </c>
    </row>
    <row r="2541" s="34">
      <c r="A2541" s="40" t="inlineStr">
        <is>
          <t>770.01.01.0019</t>
        </is>
      </c>
      <c r="B2541" s="40" t="inlineStr">
        <is>
          <t>Hasılat Payı Giderleri</t>
        </is>
      </c>
      <c r="C2541" s="40" t="inlineStr">
        <is>
          <t>TRY</t>
        </is>
      </c>
      <c r="D2541" s="40" t="inlineStr">
        <is>
          <t>ROYAL ADAM EVE</t>
        </is>
      </c>
      <c r="E2541" s="38" t="n">
        <v>10190858.28</v>
      </c>
      <c r="F2541" s="38" t="n">
        <v>0</v>
      </c>
      <c r="G2541" s="38" t="n">
        <v>10190858.28</v>
      </c>
      <c r="H2541" s="40" t="inlineStr">
        <is>
          <t>Borç</t>
        </is>
      </c>
      <c r="I2541" s="38" t="n">
        <v>10190858.28</v>
      </c>
      <c r="J2541" s="38" t="n">
        <v>0</v>
      </c>
      <c r="K2541" s="38" t="n">
        <v>10190858.28</v>
      </c>
      <c r="L2541" s="40" t="inlineStr">
        <is>
          <t>Borç</t>
        </is>
      </c>
    </row>
    <row r="2542" s="34">
      <c r="A2542" s="40" t="inlineStr">
        <is>
          <t>770.01.01.0019</t>
        </is>
      </c>
      <c r="B2542" s="40" t="inlineStr">
        <is>
          <t>Hasılat Payı Giderleri</t>
        </is>
      </c>
      <c r="C2542" s="40" t="inlineStr">
        <is>
          <t>TRY</t>
        </is>
      </c>
      <c r="D2542" s="40" t="inlineStr">
        <is>
          <t>ROYAL ALHAMBRA</t>
        </is>
      </c>
      <c r="E2542" s="38" t="n">
        <v>222775.68</v>
      </c>
      <c r="F2542" s="38" t="n">
        <v>0</v>
      </c>
      <c r="G2542" s="38" t="n">
        <v>222775.68</v>
      </c>
      <c r="H2542" s="40" t="inlineStr">
        <is>
          <t>Borç</t>
        </is>
      </c>
      <c r="I2542" s="38" t="n">
        <v>222775.68</v>
      </c>
      <c r="J2542" s="38" t="n">
        <v>0</v>
      </c>
      <c r="K2542" s="38" t="n">
        <v>222775.68</v>
      </c>
      <c r="L2542" s="40" t="inlineStr">
        <is>
          <t>Borç</t>
        </is>
      </c>
    </row>
    <row r="2543" s="34">
      <c r="A2543" s="40" t="inlineStr">
        <is>
          <t>770.01.02</t>
        </is>
      </c>
      <c r="B2543" s="40" t="inlineStr">
        <is>
          <t>DIŞARDAN SAĞLANAN FAYDA VE HİZMETLER</t>
        </is>
      </c>
      <c r="C2543" s="40" t="inlineStr">
        <is>
          <t>TRY</t>
        </is>
      </c>
      <c r="E2543" s="38" t="n">
        <v>4085667.73</v>
      </c>
      <c r="F2543" s="38" t="n">
        <v>3042731.28</v>
      </c>
      <c r="G2543" s="38" t="n">
        <v>1042936.45</v>
      </c>
      <c r="I2543" s="38" t="n">
        <v>3000355.92</v>
      </c>
      <c r="J2543" s="38" t="n">
        <v>2908256.96</v>
      </c>
      <c r="K2543" s="38" t="n">
        <v>92098.96000000001</v>
      </c>
    </row>
    <row r="2544" s="34">
      <c r="A2544" s="40" t="inlineStr">
        <is>
          <t>770.01.02.0001</t>
        </is>
      </c>
      <c r="B2544" s="40" t="inlineStr">
        <is>
          <t>Telefon-Internet-Uydu Ve Fax Giderleri</t>
        </is>
      </c>
      <c r="C2544" s="40" t="inlineStr">
        <is>
          <t>TRY</t>
        </is>
      </c>
      <c r="D2544" s="40" t="inlineStr">
        <is>
          <t>ROYAL ADAM EVE</t>
        </is>
      </c>
      <c r="E2544" s="38" t="n">
        <v>34062.46</v>
      </c>
      <c r="F2544" s="38" t="n">
        <v>0</v>
      </c>
      <c r="G2544" s="38" t="n">
        <v>34062.46</v>
      </c>
      <c r="H2544" s="40" t="inlineStr">
        <is>
          <t>Borç</t>
        </is>
      </c>
      <c r="I2544" s="38" t="n">
        <v>34062.46</v>
      </c>
      <c r="J2544" s="38" t="n">
        <v>0</v>
      </c>
      <c r="K2544" s="38" t="n">
        <v>34062.46</v>
      </c>
      <c r="L2544" s="40" t="inlineStr">
        <is>
          <t>Borç</t>
        </is>
      </c>
    </row>
    <row r="2545" s="34">
      <c r="A2545" s="40" t="inlineStr">
        <is>
          <t>770.01.02.0001</t>
        </is>
      </c>
      <c r="B2545" s="40" t="inlineStr">
        <is>
          <t>Telefon-Internet-Uydu Ve Fax Giderleri</t>
        </is>
      </c>
      <c r="C2545" s="40" t="inlineStr">
        <is>
          <t>TRY</t>
        </is>
      </c>
      <c r="D2545" s="40" t="inlineStr">
        <is>
          <t>ROYAL SEGINUS</t>
        </is>
      </c>
      <c r="E2545" s="38" t="n">
        <v>6262.01</v>
      </c>
      <c r="F2545" s="38" t="n">
        <v>0</v>
      </c>
      <c r="G2545" s="38" t="n">
        <v>6262.01</v>
      </c>
      <c r="H2545" s="40" t="inlineStr">
        <is>
          <t>Borç</t>
        </is>
      </c>
      <c r="I2545" s="38" t="n">
        <v>6262.01</v>
      </c>
      <c r="J2545" s="38" t="n">
        <v>0</v>
      </c>
      <c r="K2545" s="38" t="n">
        <v>6262.01</v>
      </c>
      <c r="L2545" s="40" t="inlineStr">
        <is>
          <t>Borç</t>
        </is>
      </c>
    </row>
    <row r="2546" s="34">
      <c r="A2546" s="40" t="inlineStr">
        <is>
          <t>770.01.02.0002</t>
        </is>
      </c>
      <c r="B2546" s="40" t="inlineStr">
        <is>
          <t>Posta Ve Kargo Giderleri</t>
        </is>
      </c>
      <c r="C2546" s="40" t="inlineStr">
        <is>
          <t>TRY</t>
        </is>
      </c>
      <c r="D2546" s="40" t="inlineStr">
        <is>
          <t>ROYAL ADAM EVE</t>
        </is>
      </c>
      <c r="E2546" s="38" t="n">
        <v>2052.47</v>
      </c>
      <c r="F2546" s="38" t="n">
        <v>0</v>
      </c>
      <c r="G2546" s="38" t="n">
        <v>2052.47</v>
      </c>
      <c r="H2546" s="40" t="inlineStr">
        <is>
          <t>Borç</t>
        </is>
      </c>
      <c r="I2546" s="38" t="n">
        <v>2052.47</v>
      </c>
      <c r="J2546" s="38" t="n">
        <v>0</v>
      </c>
      <c r="K2546" s="38" t="n">
        <v>2052.47</v>
      </c>
      <c r="L2546" s="40" t="inlineStr">
        <is>
          <t>Borç</t>
        </is>
      </c>
    </row>
    <row r="2547" s="34">
      <c r="A2547" s="40" t="inlineStr">
        <is>
          <t>770.01.02.0002</t>
        </is>
      </c>
      <c r="B2547" s="40" t="inlineStr">
        <is>
          <t>Posta Ve Kargo Giderleri</t>
        </is>
      </c>
      <c r="C2547" s="40" t="inlineStr">
        <is>
          <t>TRY</t>
        </is>
      </c>
      <c r="D2547" s="40" t="inlineStr">
        <is>
          <t>ROYAL DRAGON</t>
        </is>
      </c>
      <c r="E2547" s="38" t="n">
        <v>170</v>
      </c>
      <c r="F2547" s="38" t="n">
        <v>0</v>
      </c>
      <c r="G2547" s="38" t="n">
        <v>170</v>
      </c>
      <c r="H2547" s="40" t="inlineStr">
        <is>
          <t>Borç</t>
        </is>
      </c>
      <c r="I2547" s="38" t="n">
        <v>170</v>
      </c>
      <c r="J2547" s="38" t="n">
        <v>0</v>
      </c>
      <c r="K2547" s="38" t="n">
        <v>170</v>
      </c>
      <c r="L2547" s="40" t="inlineStr">
        <is>
          <t>Borç</t>
        </is>
      </c>
    </row>
    <row r="2548" s="34">
      <c r="A2548" s="40" t="inlineStr">
        <is>
          <t>770.01.02.0002</t>
        </is>
      </c>
      <c r="B2548" s="40" t="inlineStr">
        <is>
          <t>Posta Ve Kargo Giderleri</t>
        </is>
      </c>
      <c r="C2548" s="40" t="inlineStr">
        <is>
          <t>TRY</t>
        </is>
      </c>
      <c r="D2548" s="40" t="inlineStr">
        <is>
          <t>ROYAL HOLIDAY</t>
        </is>
      </c>
      <c r="E2548" s="38" t="n">
        <v>1890</v>
      </c>
      <c r="F2548" s="38" t="n">
        <v>0</v>
      </c>
      <c r="G2548" s="38" t="n">
        <v>1890</v>
      </c>
      <c r="H2548" s="40" t="inlineStr">
        <is>
          <t>Borç</t>
        </is>
      </c>
      <c r="I2548" s="38" t="n">
        <v>1890</v>
      </c>
      <c r="J2548" s="38" t="n">
        <v>0</v>
      </c>
      <c r="K2548" s="38" t="n">
        <v>1890</v>
      </c>
      <c r="L2548" s="40" t="inlineStr">
        <is>
          <t>Borç</t>
        </is>
      </c>
    </row>
    <row r="2549" s="34">
      <c r="A2549" s="40" t="inlineStr">
        <is>
          <t>770.01.02.0002</t>
        </is>
      </c>
      <c r="B2549" s="40" t="inlineStr">
        <is>
          <t>Posta Ve Kargo Giderleri</t>
        </is>
      </c>
      <c r="C2549" s="40" t="inlineStr">
        <is>
          <t>TRY</t>
        </is>
      </c>
      <c r="D2549" s="40" t="inlineStr">
        <is>
          <t>ROYAL SEGINUS</t>
        </is>
      </c>
      <c r="E2549" s="38" t="n">
        <v>31772.15</v>
      </c>
      <c r="F2549" s="38" t="n">
        <v>0</v>
      </c>
      <c r="G2549" s="38" t="n">
        <v>31772.15</v>
      </c>
      <c r="H2549" s="40" t="inlineStr">
        <is>
          <t>Borç</t>
        </is>
      </c>
      <c r="I2549" s="38" t="n">
        <v>31772.15</v>
      </c>
      <c r="J2549" s="38" t="n">
        <v>0</v>
      </c>
      <c r="K2549" s="38" t="n">
        <v>31772.15</v>
      </c>
      <c r="L2549" s="40" t="inlineStr">
        <is>
          <t>Borç</t>
        </is>
      </c>
    </row>
    <row r="2550" s="34">
      <c r="A2550" s="40" t="inlineStr">
        <is>
          <t>770.01.02.0004</t>
        </is>
      </c>
      <c r="B2550" s="40" t="inlineStr">
        <is>
          <t>Banka Giderleri</t>
        </is>
      </c>
      <c r="C2550" s="40" t="inlineStr">
        <is>
          <t>TRY</t>
        </is>
      </c>
      <c r="D2550" s="40" t="inlineStr">
        <is>
          <t>GİTAŞ MERKEZ</t>
        </is>
      </c>
      <c r="E2550" s="38" t="n">
        <v>82486.22</v>
      </c>
      <c r="F2550" s="38" t="n">
        <v>14300</v>
      </c>
      <c r="G2550" s="38" t="n">
        <v>68186.22</v>
      </c>
      <c r="H2550" s="40" t="inlineStr">
        <is>
          <t>Borç</t>
        </is>
      </c>
      <c r="I2550" s="38" t="n">
        <v>68260.14999999999</v>
      </c>
      <c r="J2550" s="38" t="n">
        <v>14300</v>
      </c>
      <c r="K2550" s="38" t="n">
        <v>53960.15</v>
      </c>
      <c r="L2550" s="40" t="inlineStr">
        <is>
          <t>Borç</t>
        </is>
      </c>
    </row>
    <row r="2551" s="34">
      <c r="A2551" s="40" t="inlineStr">
        <is>
          <t>770.01.02.0004</t>
        </is>
      </c>
      <c r="B2551" s="40" t="inlineStr">
        <is>
          <t>Banka Giderleri</t>
        </is>
      </c>
      <c r="C2551" s="40" t="inlineStr">
        <is>
          <t>TRY</t>
        </is>
      </c>
      <c r="D2551" s="40" t="inlineStr">
        <is>
          <t>ROYAL ADAM EVE</t>
        </is>
      </c>
      <c r="E2551" s="38" t="n">
        <v>42269.05</v>
      </c>
      <c r="F2551" s="38" t="n">
        <v>0</v>
      </c>
      <c r="G2551" s="38" t="n">
        <v>42269.05</v>
      </c>
      <c r="H2551" s="40" t="inlineStr">
        <is>
          <t>Borç</t>
        </is>
      </c>
      <c r="I2551" s="38" t="n">
        <v>38211.09</v>
      </c>
      <c r="J2551" s="38" t="n">
        <v>0</v>
      </c>
      <c r="K2551" s="38" t="n">
        <v>38211.09</v>
      </c>
      <c r="L2551" s="40" t="inlineStr">
        <is>
          <t>Borç</t>
        </is>
      </c>
    </row>
    <row r="2552" s="34">
      <c r="A2552" s="40" t="inlineStr">
        <is>
          <t>770.01.02.0004</t>
        </is>
      </c>
      <c r="B2552" s="40" t="inlineStr">
        <is>
          <t>Banka Giderleri</t>
        </is>
      </c>
      <c r="C2552" s="40" t="inlineStr">
        <is>
          <t>TRY</t>
        </is>
      </c>
      <c r="D2552" s="40" t="inlineStr">
        <is>
          <t>SERTAŞ MERKEZ</t>
        </is>
      </c>
      <c r="E2552" s="38" t="n">
        <v>138281.87</v>
      </c>
      <c r="F2552" s="38" t="n">
        <v>14300</v>
      </c>
      <c r="G2552" s="38" t="n">
        <v>123981.87</v>
      </c>
      <c r="H2552" s="40" t="inlineStr">
        <is>
          <t>Borç</t>
        </is>
      </c>
      <c r="I2552" s="38" t="n">
        <v>114316.2</v>
      </c>
      <c r="J2552" s="38" t="n">
        <v>14300</v>
      </c>
      <c r="K2552" s="38" t="n">
        <v>100016.2</v>
      </c>
      <c r="L2552" s="40" t="inlineStr">
        <is>
          <t>Borç</t>
        </is>
      </c>
    </row>
    <row r="2553" s="34">
      <c r="A2553" s="40" t="inlineStr">
        <is>
          <t>770.01.02.0005</t>
        </is>
      </c>
      <c r="B2553" s="40" t="inlineStr">
        <is>
          <t>Kredi Kartı Komisyonları</t>
        </is>
      </c>
      <c r="C2553" s="40" t="inlineStr">
        <is>
          <t>TRY</t>
        </is>
      </c>
      <c r="D2553" s="40" t="inlineStr">
        <is>
          <t>GİTAŞ MERKEZ</t>
        </is>
      </c>
      <c r="E2553" s="38" t="n">
        <v>101416.14</v>
      </c>
      <c r="F2553" s="38" t="n">
        <v>18870.8</v>
      </c>
      <c r="G2553" s="38" t="n">
        <v>82545.34</v>
      </c>
      <c r="H2553" s="40" t="inlineStr">
        <is>
          <t>Borç</t>
        </is>
      </c>
      <c r="I2553" s="38" t="n">
        <v>17581.24</v>
      </c>
      <c r="J2553" s="38" t="n">
        <v>18870.8</v>
      </c>
      <c r="K2553" s="38" t="n">
        <v>-1289.56</v>
      </c>
      <c r="L2553" s="40" t="inlineStr">
        <is>
          <t>Alacak</t>
        </is>
      </c>
    </row>
    <row r="2554" s="34">
      <c r="A2554" s="40" t="inlineStr">
        <is>
          <t>770.01.02.0005</t>
        </is>
      </c>
      <c r="B2554" s="40" t="inlineStr">
        <is>
          <t>Kredi Kartı Komisyonları</t>
        </is>
      </c>
      <c r="C2554" s="40" t="inlineStr">
        <is>
          <t>TRY</t>
        </is>
      </c>
      <c r="D2554" s="40" t="inlineStr">
        <is>
          <t>ROYAL ADAM EVE</t>
        </is>
      </c>
      <c r="E2554" s="38" t="n">
        <v>123903.62</v>
      </c>
      <c r="F2554" s="38" t="n">
        <v>61898.53</v>
      </c>
      <c r="G2554" s="38" t="n">
        <v>62005.09</v>
      </c>
      <c r="H2554" s="40" t="inlineStr">
        <is>
          <t>Borç</t>
        </is>
      </c>
      <c r="I2554" s="38" t="n">
        <v>86765.08</v>
      </c>
      <c r="J2554" s="38" t="n">
        <v>61898.53</v>
      </c>
      <c r="K2554" s="38" t="n">
        <v>24866.55</v>
      </c>
      <c r="L2554" s="40" t="inlineStr">
        <is>
          <t>Borç</t>
        </is>
      </c>
    </row>
    <row r="2555" s="34">
      <c r="A2555" s="40" t="inlineStr">
        <is>
          <t>770.01.02.0005</t>
        </is>
      </c>
      <c r="B2555" s="40" t="inlineStr">
        <is>
          <t>Kredi Kartı Komisyonları</t>
        </is>
      </c>
      <c r="C2555" s="40" t="inlineStr">
        <is>
          <t>TRY</t>
        </is>
      </c>
      <c r="D2555" s="40" t="inlineStr">
        <is>
          <t>SERTAŞ MERKEZ</t>
        </is>
      </c>
      <c r="E2555" s="38" t="n">
        <v>513200.57</v>
      </c>
      <c r="F2555" s="38" t="n">
        <v>0.01</v>
      </c>
      <c r="G2555" s="38" t="n">
        <v>513200.56</v>
      </c>
      <c r="H2555" s="40" t="inlineStr">
        <is>
          <t>Borç</t>
        </is>
      </c>
      <c r="I2555" s="38" t="n">
        <v>67946.31</v>
      </c>
      <c r="J2555" s="38" t="n">
        <v>0.01</v>
      </c>
      <c r="K2555" s="38" t="n">
        <v>67946.3</v>
      </c>
      <c r="L2555" s="40" t="inlineStr">
        <is>
          <t>Borç</t>
        </is>
      </c>
    </row>
    <row r="2556" s="34">
      <c r="A2556" s="40" t="inlineStr">
        <is>
          <t>770.01.02.0006</t>
        </is>
      </c>
      <c r="B2556" s="40" t="inlineStr">
        <is>
          <t>Eğitim Ve Danışmanlık Giderleri</t>
        </is>
      </c>
      <c r="C2556" s="40" t="inlineStr">
        <is>
          <t>TRY</t>
        </is>
      </c>
      <c r="D2556" s="40" t="inlineStr">
        <is>
          <t>ROYAL ADAM EVE</t>
        </is>
      </c>
      <c r="E2556" s="38" t="n">
        <v>173241.71</v>
      </c>
      <c r="F2556" s="38" t="n">
        <v>0</v>
      </c>
      <c r="G2556" s="38" t="n">
        <v>173241.71</v>
      </c>
      <c r="H2556" s="40" t="inlineStr">
        <is>
          <t>Borç</t>
        </is>
      </c>
      <c r="I2556" s="38" t="n">
        <v>152407.63</v>
      </c>
      <c r="J2556" s="38" t="n">
        <v>0</v>
      </c>
      <c r="K2556" s="38" t="n">
        <v>152407.63</v>
      </c>
      <c r="L2556" s="40" t="inlineStr">
        <is>
          <t>Borç</t>
        </is>
      </c>
    </row>
    <row r="2557" s="34">
      <c r="A2557" s="40" t="inlineStr">
        <is>
          <t>770.01.02.0006</t>
        </is>
      </c>
      <c r="B2557" s="40" t="inlineStr">
        <is>
          <t>Eğitim Ve Danışmanlık Giderleri</t>
        </is>
      </c>
      <c r="C2557" s="40" t="inlineStr">
        <is>
          <t>TRY</t>
        </is>
      </c>
      <c r="D2557" s="40" t="inlineStr">
        <is>
          <t>ROYAL HOLIDAY</t>
        </is>
      </c>
      <c r="E2557" s="38" t="n">
        <v>13860</v>
      </c>
      <c r="F2557" s="38" t="n">
        <v>0</v>
      </c>
      <c r="G2557" s="38" t="n">
        <v>13860</v>
      </c>
      <c r="H2557" s="40" t="inlineStr">
        <is>
          <t>Borç</t>
        </is>
      </c>
      <c r="I2557" s="38" t="n">
        <v>13860</v>
      </c>
      <c r="J2557" s="38" t="n">
        <v>0</v>
      </c>
      <c r="K2557" s="38" t="n">
        <v>13860</v>
      </c>
      <c r="L2557" s="40" t="inlineStr">
        <is>
          <t>Borç</t>
        </is>
      </c>
    </row>
    <row r="2558" s="34">
      <c r="A2558" s="40" t="inlineStr">
        <is>
          <t>770.01.02.0006</t>
        </is>
      </c>
      <c r="B2558" s="40" t="inlineStr">
        <is>
          <t>Eğitim Ve Danışmanlık Giderleri</t>
        </is>
      </c>
      <c r="C2558" s="40" t="inlineStr">
        <is>
          <t>TRY</t>
        </is>
      </c>
      <c r="D2558" s="40" t="inlineStr">
        <is>
          <t>ROYAL SEGINUS</t>
        </is>
      </c>
      <c r="E2558" s="38" t="n">
        <v>60860</v>
      </c>
      <c r="F2558" s="38" t="n">
        <v>0</v>
      </c>
      <c r="G2558" s="38" t="n">
        <v>60860</v>
      </c>
      <c r="H2558" s="40" t="inlineStr">
        <is>
          <t>Borç</t>
        </is>
      </c>
      <c r="I2558" s="38" t="n">
        <v>60860</v>
      </c>
      <c r="J2558" s="38" t="n">
        <v>0</v>
      </c>
      <c r="K2558" s="38" t="n">
        <v>60860</v>
      </c>
      <c r="L2558" s="40" t="inlineStr">
        <is>
          <t>Borç</t>
        </is>
      </c>
    </row>
    <row r="2559" s="34">
      <c r="A2559" s="40" t="inlineStr">
        <is>
          <t>770.01.02.0006</t>
        </is>
      </c>
      <c r="B2559" s="40" t="inlineStr">
        <is>
          <t>Eğitim Ve Danışmanlık Giderleri</t>
        </is>
      </c>
      <c r="C2559" s="40" t="inlineStr">
        <is>
          <t>TRY</t>
        </is>
      </c>
      <c r="D2559" s="40" t="inlineStr">
        <is>
          <t>STONE ÇARŞI</t>
        </is>
      </c>
      <c r="E2559" s="38" t="n">
        <v>11299.2</v>
      </c>
      <c r="F2559" s="38" t="n">
        <v>0</v>
      </c>
      <c r="G2559" s="38" t="n">
        <v>11299.2</v>
      </c>
      <c r="H2559" s="40" t="inlineStr">
        <is>
          <t>Borç</t>
        </is>
      </c>
      <c r="I2559" s="38" t="n">
        <v>11299.2</v>
      </c>
      <c r="J2559" s="38" t="n">
        <v>0</v>
      </c>
      <c r="K2559" s="38" t="n">
        <v>11299.2</v>
      </c>
      <c r="L2559" s="40" t="inlineStr">
        <is>
          <t>Borç</t>
        </is>
      </c>
    </row>
    <row r="2560" s="34">
      <c r="A2560" s="40" t="inlineStr">
        <is>
          <t>770.01.02.0009</t>
        </is>
      </c>
      <c r="B2560" s="40" t="inlineStr">
        <is>
          <t>Sigorta Giderleri</t>
        </is>
      </c>
      <c r="C2560" s="40" t="inlineStr">
        <is>
          <t>TRY</t>
        </is>
      </c>
      <c r="D2560" s="40" t="inlineStr">
        <is>
          <t>GİTAŞ MERKEZ</t>
        </is>
      </c>
      <c r="E2560" s="38" t="n">
        <v>425.9</v>
      </c>
      <c r="F2560" s="38" t="n">
        <v>0</v>
      </c>
      <c r="G2560" s="38" t="n">
        <v>425.9</v>
      </c>
      <c r="H2560" s="40" t="inlineStr">
        <is>
          <t>Borç</t>
        </is>
      </c>
      <c r="I2560" s="38" t="n">
        <v>425.9</v>
      </c>
      <c r="J2560" s="38" t="n">
        <v>0</v>
      </c>
      <c r="K2560" s="38" t="n">
        <v>425.9</v>
      </c>
      <c r="L2560" s="40" t="inlineStr">
        <is>
          <t>Borç</t>
        </is>
      </c>
    </row>
    <row r="2561" s="34">
      <c r="A2561" s="40" t="inlineStr">
        <is>
          <t>770.01.02.0009</t>
        </is>
      </c>
      <c r="B2561" s="40" t="inlineStr">
        <is>
          <t>Sigorta Giderleri</t>
        </is>
      </c>
      <c r="C2561" s="40" t="inlineStr">
        <is>
          <t>TRY</t>
        </is>
      </c>
      <c r="D2561" s="40" t="inlineStr">
        <is>
          <t>ROYAL ADAM EVE</t>
        </is>
      </c>
      <c r="E2561" s="38" t="n">
        <v>0</v>
      </c>
      <c r="F2561" s="38" t="n">
        <v>465206</v>
      </c>
      <c r="G2561" s="38" t="n">
        <v>-465206</v>
      </c>
      <c r="H2561" s="40" t="inlineStr">
        <is>
          <t>Alacak</t>
        </is>
      </c>
      <c r="I2561" s="38" t="n">
        <v>0</v>
      </c>
      <c r="J2561" s="38" t="n">
        <v>465206</v>
      </c>
      <c r="K2561" s="38" t="n">
        <v>-465206</v>
      </c>
      <c r="L2561" s="40" t="inlineStr">
        <is>
          <t>Alacak</t>
        </is>
      </c>
    </row>
    <row r="2562" s="34">
      <c r="A2562" s="40" t="inlineStr">
        <is>
          <t>770.01.02.0009</t>
        </is>
      </c>
      <c r="B2562" s="40" t="inlineStr">
        <is>
          <t>Sigorta Giderleri</t>
        </is>
      </c>
      <c r="C2562" s="40" t="inlineStr">
        <is>
          <t>TRY</t>
        </is>
      </c>
      <c r="D2562" s="40" t="inlineStr">
        <is>
          <t>ROYAL DRAGON</t>
        </is>
      </c>
      <c r="E2562" s="38" t="n">
        <v>0</v>
      </c>
      <c r="F2562" s="38" t="n">
        <v>1100000</v>
      </c>
      <c r="G2562" s="38" t="n">
        <v>-1100000</v>
      </c>
      <c r="H2562" s="40" t="inlineStr">
        <is>
          <t>Alacak</t>
        </is>
      </c>
      <c r="I2562" s="38" t="n">
        <v>0</v>
      </c>
      <c r="J2562" s="38" t="n">
        <v>1100000</v>
      </c>
      <c r="K2562" s="38" t="n">
        <v>-1100000</v>
      </c>
      <c r="L2562" s="40" t="inlineStr">
        <is>
          <t>Alacak</t>
        </is>
      </c>
    </row>
    <row r="2563" s="34">
      <c r="A2563" s="40" t="inlineStr">
        <is>
          <t>770.01.02.0009</t>
        </is>
      </c>
      <c r="B2563" s="40" t="inlineStr">
        <is>
          <t>Sigorta Giderleri</t>
        </is>
      </c>
      <c r="C2563" s="40" t="inlineStr">
        <is>
          <t>TRY</t>
        </is>
      </c>
      <c r="D2563" s="40" t="inlineStr">
        <is>
          <t>ROYAL SEGINUS</t>
        </is>
      </c>
      <c r="E2563" s="38" t="n">
        <v>0</v>
      </c>
      <c r="F2563" s="38" t="n">
        <v>1200000</v>
      </c>
      <c r="G2563" s="38" t="n">
        <v>-1200000</v>
      </c>
      <c r="H2563" s="40" t="inlineStr">
        <is>
          <t>Alacak</t>
        </is>
      </c>
      <c r="I2563" s="38" t="n">
        <v>0</v>
      </c>
      <c r="J2563" s="38" t="n">
        <v>1200000</v>
      </c>
      <c r="K2563" s="38" t="n">
        <v>-1200000</v>
      </c>
      <c r="L2563" s="40" t="inlineStr">
        <is>
          <t>Alacak</t>
        </is>
      </c>
    </row>
    <row r="2564" s="34">
      <c r="A2564" s="40" t="inlineStr">
        <is>
          <t>770.01.02.0010</t>
        </is>
      </c>
      <c r="B2564" s="40" t="inlineStr">
        <is>
          <t>Reklamasyon Giderleri</t>
        </is>
      </c>
      <c r="C2564" s="40" t="inlineStr">
        <is>
          <t>TRY</t>
        </is>
      </c>
      <c r="D2564" s="40" t="inlineStr">
        <is>
          <t>ROYAL ADAM EVE</t>
        </is>
      </c>
      <c r="E2564" s="38" t="n">
        <v>118562.5</v>
      </c>
      <c r="F2564" s="38" t="n">
        <v>0</v>
      </c>
      <c r="G2564" s="38" t="n">
        <v>118562.5</v>
      </c>
      <c r="H2564" s="40" t="inlineStr">
        <is>
          <t>Borç</t>
        </is>
      </c>
      <c r="I2564" s="38" t="n">
        <v>118562.5</v>
      </c>
      <c r="J2564" s="38" t="n">
        <v>0</v>
      </c>
      <c r="K2564" s="38" t="n">
        <v>118562.5</v>
      </c>
      <c r="L2564" s="40" t="inlineStr">
        <is>
          <t>Borç</t>
        </is>
      </c>
    </row>
    <row r="2565" s="34">
      <c r="A2565" s="40" t="inlineStr">
        <is>
          <t>770.01.02.0010</t>
        </is>
      </c>
      <c r="B2565" s="40" t="inlineStr">
        <is>
          <t>Reklamasyon Giderleri</t>
        </is>
      </c>
      <c r="C2565" s="40" t="inlineStr">
        <is>
          <t>TRY</t>
        </is>
      </c>
      <c r="D2565" s="40" t="inlineStr">
        <is>
          <t>ROYAL DRAGON</t>
        </is>
      </c>
      <c r="E2565" s="38" t="n">
        <v>99575</v>
      </c>
      <c r="F2565" s="38" t="n">
        <v>0</v>
      </c>
      <c r="G2565" s="38" t="n">
        <v>99575</v>
      </c>
      <c r="H2565" s="40" t="inlineStr">
        <is>
          <t>Borç</t>
        </is>
      </c>
      <c r="I2565" s="38" t="n">
        <v>99575</v>
      </c>
      <c r="J2565" s="38" t="n">
        <v>0</v>
      </c>
      <c r="K2565" s="38" t="n">
        <v>99575</v>
      </c>
      <c r="L2565" s="40" t="inlineStr">
        <is>
          <t>Borç</t>
        </is>
      </c>
    </row>
    <row r="2566" s="34">
      <c r="A2566" s="40" t="inlineStr">
        <is>
          <t>770.01.02.0010</t>
        </is>
      </c>
      <c r="B2566" s="40" t="inlineStr">
        <is>
          <t>Reklamasyon Giderleri</t>
        </is>
      </c>
      <c r="C2566" s="40" t="inlineStr">
        <is>
          <t>TRY</t>
        </is>
      </c>
      <c r="D2566" s="40" t="inlineStr">
        <is>
          <t>ROYAL SEGINUS</t>
        </is>
      </c>
      <c r="E2566" s="38" t="n">
        <v>107625</v>
      </c>
      <c r="F2566" s="38" t="n">
        <v>0</v>
      </c>
      <c r="G2566" s="38" t="n">
        <v>107625</v>
      </c>
      <c r="H2566" s="40" t="inlineStr">
        <is>
          <t>Borç</t>
        </is>
      </c>
      <c r="I2566" s="38" t="n">
        <v>107625</v>
      </c>
      <c r="J2566" s="38" t="n">
        <v>0</v>
      </c>
      <c r="K2566" s="38" t="n">
        <v>107625</v>
      </c>
      <c r="L2566" s="40" t="inlineStr">
        <is>
          <t>Borç</t>
        </is>
      </c>
    </row>
    <row r="2567" s="34">
      <c r="A2567" s="40" t="inlineStr">
        <is>
          <t>770.01.02.0011</t>
        </is>
      </c>
      <c r="B2567" s="40" t="inlineStr">
        <is>
          <t>Labaratuar Analiz Giderleri</t>
        </is>
      </c>
      <c r="C2567" s="40" t="inlineStr">
        <is>
          <t>TRY</t>
        </is>
      </c>
      <c r="D2567" s="40" t="inlineStr">
        <is>
          <t>GİTAŞ MERKEZ</t>
        </is>
      </c>
      <c r="E2567" s="38" t="n">
        <v>28840</v>
      </c>
      <c r="F2567" s="38" t="n">
        <v>0</v>
      </c>
      <c r="G2567" s="38" t="n">
        <v>28840</v>
      </c>
      <c r="H2567" s="40" t="inlineStr">
        <is>
          <t>Borç</t>
        </is>
      </c>
      <c r="I2567" s="38" t="n">
        <v>28840</v>
      </c>
      <c r="J2567" s="38" t="n">
        <v>0</v>
      </c>
      <c r="K2567" s="38" t="n">
        <v>28840</v>
      </c>
      <c r="L2567" s="40" t="inlineStr">
        <is>
          <t>Borç</t>
        </is>
      </c>
    </row>
    <row r="2568" s="34">
      <c r="A2568" s="40" t="inlineStr">
        <is>
          <t>770.01.02.0011</t>
        </is>
      </c>
      <c r="B2568" s="40" t="inlineStr">
        <is>
          <t>Labaratuar Analiz Giderleri</t>
        </is>
      </c>
      <c r="C2568" s="40" t="inlineStr">
        <is>
          <t>TRY</t>
        </is>
      </c>
      <c r="D2568" s="40" t="inlineStr">
        <is>
          <t>ROYAL ADAM EVE</t>
        </is>
      </c>
      <c r="E2568" s="38" t="n">
        <v>20618.75</v>
      </c>
      <c r="F2568" s="38" t="n">
        <v>0</v>
      </c>
      <c r="G2568" s="38" t="n">
        <v>20618.75</v>
      </c>
      <c r="H2568" s="40" t="inlineStr">
        <is>
          <t>Borç</t>
        </is>
      </c>
      <c r="I2568" s="38" t="n">
        <v>20618.75</v>
      </c>
      <c r="J2568" s="38" t="n">
        <v>0</v>
      </c>
      <c r="K2568" s="38" t="n">
        <v>20618.75</v>
      </c>
      <c r="L2568" s="40" t="inlineStr">
        <is>
          <t>Borç</t>
        </is>
      </c>
    </row>
    <row r="2569" s="34">
      <c r="A2569" s="40" t="inlineStr">
        <is>
          <t>770.01.02.0011</t>
        </is>
      </c>
      <c r="B2569" s="40" t="inlineStr">
        <is>
          <t>Labaratuar Analiz Giderleri</t>
        </is>
      </c>
      <c r="C2569" s="40" t="inlineStr">
        <is>
          <t>TRY</t>
        </is>
      </c>
      <c r="D2569" s="40" t="inlineStr">
        <is>
          <t>ROYAL ALHAMBRA</t>
        </is>
      </c>
      <c r="E2569" s="38" t="n">
        <v>20618.75</v>
      </c>
      <c r="F2569" s="38" t="n">
        <v>0</v>
      </c>
      <c r="G2569" s="38" t="n">
        <v>20618.75</v>
      </c>
      <c r="H2569" s="40" t="inlineStr">
        <is>
          <t>Borç</t>
        </is>
      </c>
      <c r="I2569" s="38" t="n">
        <v>20618.75</v>
      </c>
      <c r="J2569" s="38" t="n">
        <v>0</v>
      </c>
      <c r="K2569" s="38" t="n">
        <v>20618.75</v>
      </c>
      <c r="L2569" s="40" t="inlineStr">
        <is>
          <t>Borç</t>
        </is>
      </c>
    </row>
    <row r="2570" s="34">
      <c r="A2570" s="40" t="inlineStr">
        <is>
          <t>770.01.02.0011</t>
        </is>
      </c>
      <c r="B2570" s="40" t="inlineStr">
        <is>
          <t>Labaratuar Analiz Giderleri</t>
        </is>
      </c>
      <c r="C2570" s="40" t="inlineStr">
        <is>
          <t>TRY</t>
        </is>
      </c>
      <c r="D2570" s="40" t="inlineStr">
        <is>
          <t>ROYAL DRAGON</t>
        </is>
      </c>
      <c r="E2570" s="38" t="n">
        <v>20618.75</v>
      </c>
      <c r="F2570" s="38" t="n">
        <v>0</v>
      </c>
      <c r="G2570" s="38" t="n">
        <v>20618.75</v>
      </c>
      <c r="H2570" s="40" t="inlineStr">
        <is>
          <t>Borç</t>
        </is>
      </c>
      <c r="I2570" s="38" t="n">
        <v>20618.75</v>
      </c>
      <c r="J2570" s="38" t="n">
        <v>0</v>
      </c>
      <c r="K2570" s="38" t="n">
        <v>20618.75</v>
      </c>
      <c r="L2570" s="40" t="inlineStr">
        <is>
          <t>Borç</t>
        </is>
      </c>
    </row>
    <row r="2571" s="34">
      <c r="A2571" s="40" t="inlineStr">
        <is>
          <t>770.01.02.0011</t>
        </is>
      </c>
      <c r="B2571" s="40" t="inlineStr">
        <is>
          <t>Labaratuar Analiz Giderleri</t>
        </is>
      </c>
      <c r="C2571" s="40" t="inlineStr">
        <is>
          <t>TRY</t>
        </is>
      </c>
      <c r="D2571" s="40" t="inlineStr">
        <is>
          <t>ROYAL HOLIDAY</t>
        </is>
      </c>
      <c r="E2571" s="38" t="n">
        <v>89018.75</v>
      </c>
      <c r="F2571" s="38" t="n">
        <v>0</v>
      </c>
      <c r="G2571" s="38" t="n">
        <v>89018.75</v>
      </c>
      <c r="H2571" s="40" t="inlineStr">
        <is>
          <t>Borç</t>
        </is>
      </c>
      <c r="I2571" s="38" t="n">
        <v>89018.75</v>
      </c>
      <c r="J2571" s="38" t="n">
        <v>0</v>
      </c>
      <c r="K2571" s="38" t="n">
        <v>89018.75</v>
      </c>
      <c r="L2571" s="40" t="inlineStr">
        <is>
          <t>Borç</t>
        </is>
      </c>
    </row>
    <row r="2572" s="34">
      <c r="A2572" s="40" t="inlineStr">
        <is>
          <t>770.01.02.0011</t>
        </is>
      </c>
      <c r="B2572" s="40" t="inlineStr">
        <is>
          <t>Labaratuar Analiz Giderleri</t>
        </is>
      </c>
      <c r="C2572" s="40" t="inlineStr">
        <is>
          <t>TRY</t>
        </is>
      </c>
      <c r="D2572" s="40" t="inlineStr">
        <is>
          <t>ROYAL SEGINUS</t>
        </is>
      </c>
      <c r="E2572" s="38" t="n">
        <v>97778.75</v>
      </c>
      <c r="F2572" s="38" t="n">
        <v>0</v>
      </c>
      <c r="G2572" s="38" t="n">
        <v>97778.75</v>
      </c>
      <c r="H2572" s="40" t="inlineStr">
        <is>
          <t>Borç</t>
        </is>
      </c>
      <c r="I2572" s="38" t="n">
        <v>97778.75</v>
      </c>
      <c r="J2572" s="38" t="n">
        <v>0</v>
      </c>
      <c r="K2572" s="38" t="n">
        <v>97778.75</v>
      </c>
      <c r="L2572" s="40" t="inlineStr">
        <is>
          <t>Borç</t>
        </is>
      </c>
    </row>
    <row r="2573" s="34">
      <c r="A2573" s="40" t="inlineStr">
        <is>
          <t>770.01.02.0011</t>
        </is>
      </c>
      <c r="B2573" s="40" t="inlineStr">
        <is>
          <t>Labaratuar Analiz Giderleri</t>
        </is>
      </c>
      <c r="C2573" s="40" t="inlineStr">
        <is>
          <t>TRY</t>
        </is>
      </c>
      <c r="D2573" s="40" t="inlineStr">
        <is>
          <t>SERTAŞ MERKEZ</t>
        </is>
      </c>
      <c r="E2573" s="38" t="n">
        <v>39655</v>
      </c>
      <c r="F2573" s="38" t="n">
        <v>0</v>
      </c>
      <c r="G2573" s="38" t="n">
        <v>39655</v>
      </c>
      <c r="H2573" s="40" t="inlineStr">
        <is>
          <t>Borç</t>
        </is>
      </c>
      <c r="I2573" s="38" t="n">
        <v>39655</v>
      </c>
      <c r="J2573" s="38" t="n">
        <v>0</v>
      </c>
      <c r="K2573" s="38" t="n">
        <v>39655</v>
      </c>
      <c r="L2573" s="40" t="inlineStr">
        <is>
          <t>Borç</t>
        </is>
      </c>
    </row>
    <row r="2574" s="34">
      <c r="A2574" s="40" t="inlineStr">
        <is>
          <t>770.01.02.0012</t>
        </is>
      </c>
      <c r="B2574" s="40" t="inlineStr">
        <is>
          <t>Harici Konaklama Giderleri</t>
        </is>
      </c>
      <c r="C2574" s="40" t="inlineStr">
        <is>
          <t>TRY</t>
        </is>
      </c>
      <c r="D2574" s="40" t="inlineStr">
        <is>
          <t>ROYAL ALHAMBRA</t>
        </is>
      </c>
      <c r="E2574" s="38" t="n">
        <v>38560</v>
      </c>
      <c r="F2574" s="38" t="n">
        <v>0</v>
      </c>
      <c r="G2574" s="38" t="n">
        <v>38560</v>
      </c>
      <c r="H2574" s="40" t="inlineStr">
        <is>
          <t>Borç</t>
        </is>
      </c>
      <c r="I2574" s="38" t="n">
        <v>38560</v>
      </c>
      <c r="J2574" s="38" t="n">
        <v>0</v>
      </c>
      <c r="K2574" s="38" t="n">
        <v>38560</v>
      </c>
      <c r="L2574" s="40" t="inlineStr">
        <is>
          <t>Borç</t>
        </is>
      </c>
    </row>
    <row r="2575" s="34">
      <c r="A2575" s="40" t="inlineStr">
        <is>
          <t>770.01.02.0012</t>
        </is>
      </c>
      <c r="B2575" s="40" t="inlineStr">
        <is>
          <t>Harici Konaklama Giderleri</t>
        </is>
      </c>
      <c r="C2575" s="40" t="inlineStr">
        <is>
          <t>TRY</t>
        </is>
      </c>
      <c r="D2575" s="40" t="inlineStr">
        <is>
          <t>ROYAL HOLIDAY</t>
        </is>
      </c>
      <c r="E2575" s="38" t="n">
        <v>666926.39</v>
      </c>
      <c r="F2575" s="38" t="n">
        <v>0</v>
      </c>
      <c r="G2575" s="38" t="n">
        <v>666926.39</v>
      </c>
      <c r="H2575" s="40" t="inlineStr">
        <is>
          <t>Borç</t>
        </is>
      </c>
      <c r="I2575" s="38" t="n">
        <v>666926.39</v>
      </c>
      <c r="J2575" s="38" t="n">
        <v>0</v>
      </c>
      <c r="K2575" s="38" t="n">
        <v>666926.39</v>
      </c>
      <c r="L2575" s="40" t="inlineStr">
        <is>
          <t>Borç</t>
        </is>
      </c>
    </row>
    <row r="2576" s="34">
      <c r="A2576" s="40" t="inlineStr">
        <is>
          <t>770.01.02.0012</t>
        </is>
      </c>
      <c r="B2576" s="40" t="inlineStr">
        <is>
          <t>Harici Konaklama Giderleri</t>
        </is>
      </c>
      <c r="C2576" s="40" t="inlineStr">
        <is>
          <t>TRY</t>
        </is>
      </c>
      <c r="D2576" s="40" t="inlineStr">
        <is>
          <t>ROYAL SEGINUS</t>
        </is>
      </c>
      <c r="E2576" s="38" t="n">
        <v>341163.21</v>
      </c>
      <c r="F2576" s="38" t="n">
        <v>0</v>
      </c>
      <c r="G2576" s="38" t="n">
        <v>341163.21</v>
      </c>
      <c r="H2576" s="40" t="inlineStr">
        <is>
          <t>Borç</t>
        </is>
      </c>
      <c r="I2576" s="38" t="n">
        <v>341163.21</v>
      </c>
      <c r="J2576" s="38" t="n">
        <v>0</v>
      </c>
      <c r="K2576" s="38" t="n">
        <v>341163.21</v>
      </c>
      <c r="L2576" s="40" t="inlineStr">
        <is>
          <t>Borç</t>
        </is>
      </c>
    </row>
    <row r="2577" s="34">
      <c r="A2577" s="40" t="inlineStr">
        <is>
          <t>770.01.02.0013</t>
        </is>
      </c>
      <c r="B2577" s="40" t="inlineStr">
        <is>
          <t>Bilgi İşlem Gideri</t>
        </is>
      </c>
      <c r="C2577" s="40" t="inlineStr">
        <is>
          <t>TRY</t>
        </is>
      </c>
      <c r="D2577" s="40" t="inlineStr">
        <is>
          <t>ROYAL ADAM EVE</t>
        </is>
      </c>
      <c r="E2577" s="38" t="n">
        <v>397760.11</v>
      </c>
      <c r="F2577" s="38" t="n">
        <v>0</v>
      </c>
      <c r="G2577" s="38" t="n">
        <v>397760.11</v>
      </c>
      <c r="H2577" s="40" t="inlineStr">
        <is>
          <t>Borç</t>
        </is>
      </c>
      <c r="I2577" s="38" t="n">
        <v>14341.68</v>
      </c>
      <c r="J2577" s="38" t="n">
        <v>0</v>
      </c>
      <c r="K2577" s="38" t="n">
        <v>14341.68</v>
      </c>
      <c r="L2577" s="40" t="inlineStr">
        <is>
          <t>Borç</t>
        </is>
      </c>
    </row>
    <row r="2578" s="34">
      <c r="A2578" s="40" t="inlineStr">
        <is>
          <t>770.01.02.0013</t>
        </is>
      </c>
      <c r="B2578" s="40" t="inlineStr">
        <is>
          <t>Bilgi İşlem Gideri</t>
        </is>
      </c>
      <c r="C2578" s="40" t="inlineStr">
        <is>
          <t>TRY</t>
        </is>
      </c>
      <c r="D2578" s="40" t="inlineStr">
        <is>
          <t>ROYAL ALHAMBRA</t>
        </is>
      </c>
      <c r="E2578" s="38" t="n">
        <v>21319.16</v>
      </c>
      <c r="F2578" s="38" t="n">
        <v>34268.58</v>
      </c>
      <c r="G2578" s="38" t="n">
        <v>-12949.42</v>
      </c>
      <c r="H2578" s="40" t="inlineStr">
        <is>
          <t>Alacak</t>
        </is>
      </c>
      <c r="I2578" s="38" t="n">
        <v>21319.16</v>
      </c>
      <c r="J2578" s="38" t="n">
        <v>650</v>
      </c>
      <c r="K2578" s="38" t="n">
        <v>20669.16</v>
      </c>
      <c r="L2578" s="40" t="inlineStr">
        <is>
          <t>Borç</t>
        </is>
      </c>
    </row>
    <row r="2579" s="34">
      <c r="A2579" s="40" t="inlineStr">
        <is>
          <t>770.01.02.0013</t>
        </is>
      </c>
      <c r="B2579" s="40" t="inlineStr">
        <is>
          <t>Bilgi İşlem Gideri</t>
        </is>
      </c>
      <c r="C2579" s="40" t="inlineStr">
        <is>
          <t>TRY</t>
        </is>
      </c>
      <c r="D2579" s="40" t="inlineStr">
        <is>
          <t>ROYAL DRAGON</t>
        </is>
      </c>
      <c r="E2579" s="38" t="n">
        <v>0</v>
      </c>
      <c r="F2579" s="38" t="n">
        <v>34268.58</v>
      </c>
      <c r="G2579" s="38" t="n">
        <v>-34268.58</v>
      </c>
      <c r="H2579" s="40" t="inlineStr">
        <is>
          <t>Alacak</t>
        </is>
      </c>
      <c r="I2579" s="38" t="n">
        <v>0</v>
      </c>
      <c r="J2579" s="38" t="n">
        <v>650</v>
      </c>
      <c r="K2579" s="38" t="n">
        <v>-650</v>
      </c>
      <c r="L2579" s="40" t="inlineStr">
        <is>
          <t>Alacak</t>
        </is>
      </c>
    </row>
    <row r="2580" s="34">
      <c r="A2580" s="40" t="inlineStr">
        <is>
          <t>770.01.02.0013</t>
        </is>
      </c>
      <c r="B2580" s="40" t="inlineStr">
        <is>
          <t>Bilgi İşlem Gideri</t>
        </is>
      </c>
      <c r="C2580" s="40" t="inlineStr">
        <is>
          <t>TRY</t>
        </is>
      </c>
      <c r="D2580" s="40" t="inlineStr">
        <is>
          <t>ROYAL HOLIDAY</t>
        </is>
      </c>
      <c r="E2580" s="38" t="n">
        <v>46462.97</v>
      </c>
      <c r="F2580" s="38" t="n">
        <v>34268.58</v>
      </c>
      <c r="G2580" s="38" t="n">
        <v>12194.39</v>
      </c>
      <c r="H2580" s="40" t="inlineStr">
        <is>
          <t>Borç</t>
        </is>
      </c>
      <c r="I2580" s="38" t="n">
        <v>871.7</v>
      </c>
      <c r="J2580" s="38" t="n">
        <v>650</v>
      </c>
      <c r="K2580" s="38" t="n">
        <v>221.7</v>
      </c>
      <c r="L2580" s="40" t="inlineStr">
        <is>
          <t>Borç</t>
        </is>
      </c>
    </row>
    <row r="2581" s="34">
      <c r="A2581" s="40" t="inlineStr">
        <is>
          <t>770.01.02.0013</t>
        </is>
      </c>
      <c r="B2581" s="40" t="inlineStr">
        <is>
          <t>Bilgi İşlem Gideri</t>
        </is>
      </c>
      <c r="C2581" s="40" t="inlineStr">
        <is>
          <t>TRY</t>
        </is>
      </c>
      <c r="D2581" s="40" t="inlineStr">
        <is>
          <t>ROYAL SEGINUS</t>
        </is>
      </c>
      <c r="E2581" s="38" t="n">
        <v>27506.29</v>
      </c>
      <c r="F2581" s="38" t="n">
        <v>34268.58</v>
      </c>
      <c r="G2581" s="38" t="n">
        <v>-6762.29</v>
      </c>
      <c r="H2581" s="40" t="inlineStr">
        <is>
          <t>Alacak</t>
        </is>
      </c>
      <c r="I2581" s="38" t="n">
        <v>515.66</v>
      </c>
      <c r="J2581" s="38" t="n">
        <v>650</v>
      </c>
      <c r="K2581" s="38" t="n">
        <v>-134.34</v>
      </c>
      <c r="L2581" s="40" t="inlineStr">
        <is>
          <t>Alacak</t>
        </is>
      </c>
    </row>
    <row r="2582" s="34">
      <c r="A2582" s="40" t="inlineStr">
        <is>
          <t>770.01.02.0015</t>
        </is>
      </c>
      <c r="B2582" s="40" t="inlineStr">
        <is>
          <t>Hukuk Musavırlık Gıderlerı</t>
        </is>
      </c>
      <c r="C2582" s="40" t="inlineStr">
        <is>
          <t>TRY</t>
        </is>
      </c>
      <c r="D2582" s="40" t="inlineStr">
        <is>
          <t>GİTAŞ MERKEZ</t>
        </is>
      </c>
      <c r="E2582" s="38" t="n">
        <v>100000</v>
      </c>
      <c r="F2582" s="38" t="n">
        <v>0</v>
      </c>
      <c r="G2582" s="38" t="n">
        <v>100000</v>
      </c>
      <c r="H2582" s="40" t="inlineStr">
        <is>
          <t>Borç</t>
        </is>
      </c>
      <c r="I2582" s="38" t="n">
        <v>100000</v>
      </c>
      <c r="J2582" s="38" t="n">
        <v>0</v>
      </c>
      <c r="K2582" s="38" t="n">
        <v>100000</v>
      </c>
      <c r="L2582" s="40" t="inlineStr">
        <is>
          <t>Borç</t>
        </is>
      </c>
    </row>
    <row r="2583" s="34">
      <c r="A2583" s="40" t="inlineStr">
        <is>
          <t>770.01.02.0015</t>
        </is>
      </c>
      <c r="B2583" s="40" t="inlineStr">
        <is>
          <t>Hukuk Musavırlık Gıderlerı</t>
        </is>
      </c>
      <c r="C2583" s="40" t="inlineStr">
        <is>
          <t>TRY</t>
        </is>
      </c>
      <c r="D2583" s="40" t="inlineStr">
        <is>
          <t>ROYAL ADAM EVE</t>
        </is>
      </c>
      <c r="E2583" s="38" t="n">
        <v>81250</v>
      </c>
      <c r="F2583" s="38" t="n">
        <v>0</v>
      </c>
      <c r="G2583" s="38" t="n">
        <v>81250</v>
      </c>
      <c r="H2583" s="40" t="inlineStr">
        <is>
          <t>Borç</t>
        </is>
      </c>
      <c r="I2583" s="38" t="n">
        <v>81250</v>
      </c>
      <c r="J2583" s="38" t="n">
        <v>0</v>
      </c>
      <c r="K2583" s="38" t="n">
        <v>81250</v>
      </c>
      <c r="L2583" s="40" t="inlineStr">
        <is>
          <t>Borç</t>
        </is>
      </c>
    </row>
    <row r="2584" s="34">
      <c r="A2584" s="40" t="inlineStr">
        <is>
          <t>770.01.02.0015</t>
        </is>
      </c>
      <c r="B2584" s="40" t="inlineStr">
        <is>
          <t>Hukuk Musavırlık Gıderlerı</t>
        </is>
      </c>
      <c r="C2584" s="40" t="inlineStr">
        <is>
          <t>TRY</t>
        </is>
      </c>
      <c r="D2584" s="40" t="inlineStr">
        <is>
          <t>ROYAL SEGINUS</t>
        </is>
      </c>
      <c r="E2584" s="38" t="n">
        <v>48066.3</v>
      </c>
      <c r="F2584" s="38" t="n">
        <v>0</v>
      </c>
      <c r="G2584" s="38" t="n">
        <v>48066.3</v>
      </c>
      <c r="H2584" s="40" t="inlineStr">
        <is>
          <t>Borç</t>
        </is>
      </c>
      <c r="I2584" s="38" t="n">
        <v>48066.3</v>
      </c>
      <c r="J2584" s="38" t="n">
        <v>0</v>
      </c>
      <c r="K2584" s="38" t="n">
        <v>48066.3</v>
      </c>
      <c r="L2584" s="40" t="inlineStr">
        <is>
          <t>Borç</t>
        </is>
      </c>
    </row>
    <row r="2585" s="34">
      <c r="A2585" s="40" t="inlineStr">
        <is>
          <t>770.01.02.0015</t>
        </is>
      </c>
      <c r="B2585" s="40" t="inlineStr">
        <is>
          <t>Hukuk Musavırlık Gıderlerı</t>
        </is>
      </c>
      <c r="C2585" s="40" t="inlineStr">
        <is>
          <t>TRY</t>
        </is>
      </c>
      <c r="D2585" s="40" t="inlineStr">
        <is>
          <t>SERTAŞ MERKEZ</t>
        </is>
      </c>
      <c r="E2585" s="38" t="n">
        <v>266490</v>
      </c>
      <c r="F2585" s="38" t="n">
        <v>0</v>
      </c>
      <c r="G2585" s="38" t="n">
        <v>266490</v>
      </c>
      <c r="H2585" s="40" t="inlineStr">
        <is>
          <t>Borç</t>
        </is>
      </c>
      <c r="I2585" s="38" t="n">
        <v>266490</v>
      </c>
      <c r="J2585" s="38" t="n">
        <v>0</v>
      </c>
      <c r="K2585" s="38" t="n">
        <v>266490</v>
      </c>
      <c r="L2585" s="40" t="inlineStr">
        <is>
          <t>Borç</t>
        </is>
      </c>
    </row>
    <row r="2586" s="34">
      <c r="A2586" s="40" t="inlineStr">
        <is>
          <t>770.01.02.0016</t>
        </is>
      </c>
      <c r="B2586" s="40" t="inlineStr">
        <is>
          <t>Diğer Giderler</t>
        </is>
      </c>
      <c r="C2586" s="40" t="inlineStr">
        <is>
          <t>TRY</t>
        </is>
      </c>
      <c r="D2586" s="40" t="inlineStr">
        <is>
          <t>ROYAL ADAM EVE</t>
        </is>
      </c>
      <c r="E2586" s="38" t="n">
        <v>66333.33</v>
      </c>
      <c r="F2586" s="38" t="n">
        <v>31081.62</v>
      </c>
      <c r="G2586" s="38" t="n">
        <v>35251.71</v>
      </c>
      <c r="H2586" s="40" t="inlineStr">
        <is>
          <t>Borç</t>
        </is>
      </c>
      <c r="I2586" s="38" t="n">
        <v>66333.33</v>
      </c>
      <c r="J2586" s="38" t="n">
        <v>31081.62</v>
      </c>
      <c r="K2586" s="38" t="n">
        <v>35251.71</v>
      </c>
      <c r="L2586" s="40" t="inlineStr">
        <is>
          <t>Borç</t>
        </is>
      </c>
    </row>
    <row r="2587" s="34">
      <c r="A2587" s="40" t="inlineStr">
        <is>
          <t>770.01.02.0016</t>
        </is>
      </c>
      <c r="B2587" s="40" t="inlineStr">
        <is>
          <t>Diğer Giderler</t>
        </is>
      </c>
      <c r="C2587" s="40" t="inlineStr">
        <is>
          <t>TRY</t>
        </is>
      </c>
      <c r="D2587" s="40" t="inlineStr">
        <is>
          <t>ROYAL HOLIDAY</t>
        </is>
      </c>
      <c r="E2587" s="38" t="n">
        <v>3465.35</v>
      </c>
      <c r="F2587" s="38" t="n">
        <v>0</v>
      </c>
      <c r="G2587" s="38" t="n">
        <v>3465.35</v>
      </c>
      <c r="H2587" s="40" t="inlineStr">
        <is>
          <t>Borç</t>
        </is>
      </c>
      <c r="I2587" s="38" t="n">
        <v>3465.35</v>
      </c>
      <c r="J2587" s="38" t="n">
        <v>0</v>
      </c>
      <c r="K2587" s="38" t="n">
        <v>3465.35</v>
      </c>
      <c r="L2587" s="40" t="inlineStr">
        <is>
          <t>Borç</t>
        </is>
      </c>
    </row>
    <row r="2588" s="34">
      <c r="A2588" s="40" t="inlineStr">
        <is>
          <t>770.01.03</t>
        </is>
      </c>
      <c r="B2588" s="40" t="inlineStr">
        <is>
          <t>BAKIM ONARIM GİDERLERİ</t>
        </is>
      </c>
      <c r="C2588" s="40" t="inlineStr">
        <is>
          <t>TRY</t>
        </is>
      </c>
      <c r="E2588" s="38" t="n">
        <v>1623747.57</v>
      </c>
      <c r="F2588" s="38" t="n">
        <v>77000</v>
      </c>
      <c r="G2588" s="38" t="n">
        <v>1546747.57</v>
      </c>
      <c r="I2588" s="38" t="n">
        <v>1623747.57</v>
      </c>
      <c r="J2588" s="38" t="n">
        <v>77000</v>
      </c>
      <c r="K2588" s="38" t="n">
        <v>1546747.57</v>
      </c>
    </row>
    <row r="2589" s="34">
      <c r="A2589" s="40" t="inlineStr">
        <is>
          <t>770.01.03.0002</t>
        </is>
      </c>
      <c r="B2589" s="40" t="inlineStr">
        <is>
          <t>Teknik Ekipman Sarf Malzemeler</t>
        </is>
      </c>
      <c r="C2589" s="40" t="inlineStr">
        <is>
          <t>TRY</t>
        </is>
      </c>
      <c r="D2589" s="40" t="inlineStr">
        <is>
          <t>ROYAL ADAM EVE</t>
        </is>
      </c>
      <c r="E2589" s="38" t="n">
        <v>342459.68</v>
      </c>
      <c r="F2589" s="38" t="n">
        <v>0</v>
      </c>
      <c r="G2589" s="38" t="n">
        <v>342459.68</v>
      </c>
      <c r="H2589" s="40" t="inlineStr">
        <is>
          <t>Borç</t>
        </is>
      </c>
      <c r="I2589" s="38" t="n">
        <v>342459.68</v>
      </c>
      <c r="J2589" s="38" t="n">
        <v>0</v>
      </c>
      <c r="K2589" s="38" t="n">
        <v>342459.68</v>
      </c>
      <c r="L2589" s="40" t="inlineStr">
        <is>
          <t>Borç</t>
        </is>
      </c>
    </row>
    <row r="2590" s="34">
      <c r="A2590" s="40" t="inlineStr">
        <is>
          <t>770.01.03.0006</t>
        </is>
      </c>
      <c r="B2590" s="40" t="inlineStr">
        <is>
          <t>Araç Bakım Onarım Giderleri</t>
        </is>
      </c>
      <c r="C2590" s="40" t="inlineStr">
        <is>
          <t>TRY</t>
        </is>
      </c>
      <c r="D2590" s="40" t="inlineStr">
        <is>
          <t>GİTAŞ MERKEZ</t>
        </is>
      </c>
      <c r="E2590" s="38" t="n">
        <v>4906.5</v>
      </c>
      <c r="F2590" s="38" t="n">
        <v>0</v>
      </c>
      <c r="G2590" s="38" t="n">
        <v>4906.5</v>
      </c>
      <c r="H2590" s="40" t="inlineStr">
        <is>
          <t>Borç</t>
        </is>
      </c>
      <c r="I2590" s="38" t="n">
        <v>4906.5</v>
      </c>
      <c r="J2590" s="38" t="n">
        <v>0</v>
      </c>
      <c r="K2590" s="38" t="n">
        <v>4906.5</v>
      </c>
      <c r="L2590" s="40" t="inlineStr">
        <is>
          <t>Borç</t>
        </is>
      </c>
    </row>
    <row r="2591" s="34">
      <c r="A2591" s="40" t="inlineStr">
        <is>
          <t>770.01.03.0006</t>
        </is>
      </c>
      <c r="B2591" s="40" t="inlineStr">
        <is>
          <t>Araç Bakım Onarım Giderleri</t>
        </is>
      </c>
      <c r="C2591" s="40" t="inlineStr">
        <is>
          <t>TRY</t>
        </is>
      </c>
      <c r="D2591" s="40" t="inlineStr">
        <is>
          <t>ROYAL ADAM EVE</t>
        </is>
      </c>
      <c r="E2591" s="38" t="n">
        <v>21166.67</v>
      </c>
      <c r="F2591" s="38" t="n">
        <v>0</v>
      </c>
      <c r="G2591" s="38" t="n">
        <v>21166.67</v>
      </c>
      <c r="H2591" s="40" t="inlineStr">
        <is>
          <t>Borç</t>
        </is>
      </c>
      <c r="I2591" s="38" t="n">
        <v>21166.67</v>
      </c>
      <c r="J2591" s="38" t="n">
        <v>0</v>
      </c>
      <c r="K2591" s="38" t="n">
        <v>21166.67</v>
      </c>
      <c r="L2591" s="40" t="inlineStr">
        <is>
          <t>Borç</t>
        </is>
      </c>
    </row>
    <row r="2592" s="34">
      <c r="A2592" s="40" t="inlineStr">
        <is>
          <t>770.01.03.0006</t>
        </is>
      </c>
      <c r="B2592" s="40" t="inlineStr">
        <is>
          <t>Araç Bakım Onarım Giderleri</t>
        </is>
      </c>
      <c r="C2592" s="40" t="inlineStr">
        <is>
          <t>TRY</t>
        </is>
      </c>
      <c r="D2592" s="40" t="inlineStr">
        <is>
          <t>ROYAL DRAGON</t>
        </is>
      </c>
      <c r="E2592" s="38" t="n">
        <v>1166.16</v>
      </c>
      <c r="F2592" s="38" t="n">
        <v>0</v>
      </c>
      <c r="G2592" s="38" t="n">
        <v>1166.16</v>
      </c>
      <c r="H2592" s="40" t="inlineStr">
        <is>
          <t>Borç</t>
        </is>
      </c>
      <c r="I2592" s="38" t="n">
        <v>1166.16</v>
      </c>
      <c r="J2592" s="38" t="n">
        <v>0</v>
      </c>
      <c r="K2592" s="38" t="n">
        <v>1166.16</v>
      </c>
      <c r="L2592" s="40" t="inlineStr">
        <is>
          <t>Borç</t>
        </is>
      </c>
    </row>
    <row r="2593" s="34">
      <c r="A2593" s="40" t="inlineStr">
        <is>
          <t>770.01.03.0006</t>
        </is>
      </c>
      <c r="B2593" s="40" t="inlineStr">
        <is>
          <t>Araç Bakım Onarım Giderleri</t>
        </is>
      </c>
      <c r="C2593" s="40" t="inlineStr">
        <is>
          <t>TRY</t>
        </is>
      </c>
      <c r="D2593" s="40" t="inlineStr">
        <is>
          <t>ROYAL HOLIDAY</t>
        </is>
      </c>
      <c r="E2593" s="38" t="n">
        <v>12000</v>
      </c>
      <c r="F2593" s="38" t="n">
        <v>0</v>
      </c>
      <c r="G2593" s="38" t="n">
        <v>12000</v>
      </c>
      <c r="H2593" s="40" t="inlineStr">
        <is>
          <t>Borç</t>
        </is>
      </c>
      <c r="I2593" s="38" t="n">
        <v>12000</v>
      </c>
      <c r="J2593" s="38" t="n">
        <v>0</v>
      </c>
      <c r="K2593" s="38" t="n">
        <v>12000</v>
      </c>
      <c r="L2593" s="40" t="inlineStr">
        <is>
          <t>Borç</t>
        </is>
      </c>
    </row>
    <row r="2594" s="34">
      <c r="A2594" s="40" t="inlineStr">
        <is>
          <t>770.01.03.0006</t>
        </is>
      </c>
      <c r="B2594" s="40" t="inlineStr">
        <is>
          <t>Araç Bakım Onarım Giderleri</t>
        </is>
      </c>
      <c r="C2594" s="40" t="inlineStr">
        <is>
          <t>TRY</t>
        </is>
      </c>
      <c r="D2594" s="40" t="inlineStr">
        <is>
          <t>ROYAL SEGINUS</t>
        </is>
      </c>
      <c r="E2594" s="38" t="n">
        <v>62227</v>
      </c>
      <c r="F2594" s="38" t="n">
        <v>0</v>
      </c>
      <c r="G2594" s="38" t="n">
        <v>62227</v>
      </c>
      <c r="H2594" s="40" t="inlineStr">
        <is>
          <t>Borç</t>
        </is>
      </c>
      <c r="I2594" s="38" t="n">
        <v>62227</v>
      </c>
      <c r="J2594" s="38" t="n">
        <v>0</v>
      </c>
      <c r="K2594" s="38" t="n">
        <v>62227</v>
      </c>
      <c r="L2594" s="40" t="inlineStr">
        <is>
          <t>Borç</t>
        </is>
      </c>
    </row>
    <row r="2595" s="34">
      <c r="A2595" s="40" t="inlineStr">
        <is>
          <t>770.01.03.0006</t>
        </is>
      </c>
      <c r="B2595" s="40" t="inlineStr">
        <is>
          <t>Araç Bakım Onarım Giderleri</t>
        </is>
      </c>
      <c r="C2595" s="40" t="inlineStr">
        <is>
          <t>TRY</t>
        </is>
      </c>
      <c r="D2595" s="40" t="inlineStr">
        <is>
          <t>SERTAŞ MERKEZ</t>
        </is>
      </c>
      <c r="E2595" s="38" t="n">
        <v>20237.5</v>
      </c>
      <c r="F2595" s="38" t="n">
        <v>0</v>
      </c>
      <c r="G2595" s="38" t="n">
        <v>20237.5</v>
      </c>
      <c r="H2595" s="40" t="inlineStr">
        <is>
          <t>Borç</t>
        </is>
      </c>
      <c r="I2595" s="38" t="n">
        <v>20237.5</v>
      </c>
      <c r="J2595" s="38" t="n">
        <v>0</v>
      </c>
      <c r="K2595" s="38" t="n">
        <v>20237.5</v>
      </c>
      <c r="L2595" s="40" t="inlineStr">
        <is>
          <t>Borç</t>
        </is>
      </c>
    </row>
    <row r="2596" s="34">
      <c r="A2596" s="40" t="inlineStr">
        <is>
          <t>770.01.03.0007</t>
        </is>
      </c>
      <c r="B2596" s="40" t="inlineStr">
        <is>
          <t>Bakım - Onarım Masrafları</t>
        </is>
      </c>
      <c r="C2596" s="40" t="inlineStr">
        <is>
          <t>TRY</t>
        </is>
      </c>
      <c r="D2596" s="40" t="inlineStr">
        <is>
          <t>ROYAL ADAM EVE</t>
        </is>
      </c>
      <c r="E2596" s="38" t="n">
        <v>351591.46</v>
      </c>
      <c r="F2596" s="38" t="n">
        <v>0</v>
      </c>
      <c r="G2596" s="38" t="n">
        <v>351591.46</v>
      </c>
      <c r="H2596" s="40" t="inlineStr">
        <is>
          <t>Borç</t>
        </is>
      </c>
      <c r="I2596" s="38" t="n">
        <v>351591.46</v>
      </c>
      <c r="J2596" s="38" t="n">
        <v>0</v>
      </c>
      <c r="K2596" s="38" t="n">
        <v>351591.46</v>
      </c>
      <c r="L2596" s="40" t="inlineStr">
        <is>
          <t>Borç</t>
        </is>
      </c>
    </row>
    <row r="2597" s="34">
      <c r="A2597" s="40" t="inlineStr">
        <is>
          <t>770.01.03.0007</t>
        </is>
      </c>
      <c r="B2597" s="40" t="inlineStr">
        <is>
          <t>Bakım - Onarım Masrafları</t>
        </is>
      </c>
      <c r="C2597" s="40" t="inlineStr">
        <is>
          <t>TRY</t>
        </is>
      </c>
      <c r="D2597" s="40" t="inlineStr">
        <is>
          <t>ROYAL ALHAMBRA</t>
        </is>
      </c>
      <c r="E2597" s="38" t="n">
        <v>479950.04</v>
      </c>
      <c r="F2597" s="38" t="n">
        <v>0</v>
      </c>
      <c r="G2597" s="38" t="n">
        <v>479950.04</v>
      </c>
      <c r="H2597" s="40" t="inlineStr">
        <is>
          <t>Borç</t>
        </is>
      </c>
      <c r="I2597" s="38" t="n">
        <v>479950.04</v>
      </c>
      <c r="J2597" s="38" t="n">
        <v>0</v>
      </c>
      <c r="K2597" s="38" t="n">
        <v>479950.04</v>
      </c>
      <c r="L2597" s="40" t="inlineStr">
        <is>
          <t>Borç</t>
        </is>
      </c>
    </row>
    <row r="2598" s="34">
      <c r="A2598" s="40" t="inlineStr">
        <is>
          <t>770.01.03.0007</t>
        </is>
      </c>
      <c r="B2598" s="40" t="inlineStr">
        <is>
          <t>Bakım - Onarım Masrafları</t>
        </is>
      </c>
      <c r="C2598" s="40" t="inlineStr">
        <is>
          <t>TRY</t>
        </is>
      </c>
      <c r="D2598" s="40" t="inlineStr">
        <is>
          <t>ROYAL DRAGON</t>
        </is>
      </c>
      <c r="E2598" s="38" t="n">
        <v>11000</v>
      </c>
      <c r="F2598" s="38" t="n">
        <v>0</v>
      </c>
      <c r="G2598" s="38" t="n">
        <v>11000</v>
      </c>
      <c r="H2598" s="40" t="inlineStr">
        <is>
          <t>Borç</t>
        </is>
      </c>
      <c r="I2598" s="38" t="n">
        <v>11000</v>
      </c>
      <c r="J2598" s="38" t="n">
        <v>0</v>
      </c>
      <c r="K2598" s="38" t="n">
        <v>11000</v>
      </c>
      <c r="L2598" s="40" t="inlineStr">
        <is>
          <t>Borç</t>
        </is>
      </c>
    </row>
    <row r="2599" s="34">
      <c r="A2599" s="40" t="inlineStr">
        <is>
          <t>770.01.03.0007</t>
        </is>
      </c>
      <c r="B2599" s="40" t="inlineStr">
        <is>
          <t>Bakım - Onarım Masrafları</t>
        </is>
      </c>
      <c r="C2599" s="40" t="inlineStr">
        <is>
          <t>TRY</t>
        </is>
      </c>
      <c r="D2599" s="40" t="inlineStr">
        <is>
          <t>ROYAL HOLIDAY</t>
        </is>
      </c>
      <c r="E2599" s="38" t="n">
        <v>195154.05</v>
      </c>
      <c r="F2599" s="38" t="n">
        <v>0</v>
      </c>
      <c r="G2599" s="38" t="n">
        <v>195154.05</v>
      </c>
      <c r="H2599" s="40" t="inlineStr">
        <is>
          <t>Borç</t>
        </is>
      </c>
      <c r="I2599" s="38" t="n">
        <v>195154.05</v>
      </c>
      <c r="J2599" s="38" t="n">
        <v>0</v>
      </c>
      <c r="K2599" s="38" t="n">
        <v>195154.05</v>
      </c>
      <c r="L2599" s="40" t="inlineStr">
        <is>
          <t>Borç</t>
        </is>
      </c>
    </row>
    <row r="2600" s="34">
      <c r="A2600" s="40" t="inlineStr">
        <is>
          <t>770.01.03.0007</t>
        </is>
      </c>
      <c r="B2600" s="40" t="inlineStr">
        <is>
          <t>Bakım - Onarım Masrafları</t>
        </is>
      </c>
      <c r="C2600" s="40" t="inlineStr">
        <is>
          <t>TRY</t>
        </is>
      </c>
      <c r="D2600" s="40" t="inlineStr">
        <is>
          <t>ROYAL SEGINUS</t>
        </is>
      </c>
      <c r="E2600" s="38" t="n">
        <v>121888.51</v>
      </c>
      <c r="F2600" s="38" t="n">
        <v>77000</v>
      </c>
      <c r="G2600" s="38" t="n">
        <v>44888.51</v>
      </c>
      <c r="H2600" s="40" t="inlineStr">
        <is>
          <t>Borç</t>
        </is>
      </c>
      <c r="I2600" s="38" t="n">
        <v>121888.51</v>
      </c>
      <c r="J2600" s="38" t="n">
        <v>77000</v>
      </c>
      <c r="K2600" s="38" t="n">
        <v>44888.51</v>
      </c>
      <c r="L2600" s="40" t="inlineStr">
        <is>
          <t>Borç</t>
        </is>
      </c>
    </row>
    <row r="2601" s="34">
      <c r="A2601" s="40" t="inlineStr">
        <is>
          <t>770.01.06</t>
        </is>
      </c>
      <c r="B2601" s="40" t="inlineStr">
        <is>
          <t>ENERJİ GİDERLERİ</t>
        </is>
      </c>
      <c r="C2601" s="40" t="inlineStr">
        <is>
          <t>TRY</t>
        </is>
      </c>
      <c r="E2601" s="38" t="n">
        <v>233653.36</v>
      </c>
      <c r="F2601" s="38" t="n">
        <v>0</v>
      </c>
      <c r="G2601" s="38" t="n">
        <v>233653.36</v>
      </c>
      <c r="I2601" s="38" t="n">
        <v>233653.36</v>
      </c>
      <c r="J2601" s="38" t="n">
        <v>0</v>
      </c>
      <c r="K2601" s="38" t="n">
        <v>233653.36</v>
      </c>
    </row>
    <row r="2602" s="34">
      <c r="A2602" s="40" t="inlineStr">
        <is>
          <t>770.01.06.0006</t>
        </is>
      </c>
      <c r="B2602" s="40" t="inlineStr">
        <is>
          <t>Motorin Giderleri</t>
        </is>
      </c>
      <c r="C2602" s="40" t="inlineStr">
        <is>
          <t>TRY</t>
        </is>
      </c>
      <c r="D2602" s="40" t="inlineStr">
        <is>
          <t>ROYAL ADAM EVE</t>
        </is>
      </c>
      <c r="E2602" s="38" t="n">
        <v>233653.36</v>
      </c>
      <c r="F2602" s="38" t="n">
        <v>0</v>
      </c>
      <c r="G2602" s="38" t="n">
        <v>233653.36</v>
      </c>
      <c r="H2602" s="40" t="inlineStr">
        <is>
          <t>Borç</t>
        </is>
      </c>
      <c r="I2602" s="38" t="n">
        <v>233653.36</v>
      </c>
      <c r="J2602" s="38" t="n">
        <v>0</v>
      </c>
      <c r="K2602" s="38" t="n">
        <v>233653.36</v>
      </c>
      <c r="L2602" s="40" t="inlineStr">
        <is>
          <t>Borç</t>
        </is>
      </c>
    </row>
    <row r="2603" s="34">
      <c r="A2603" s="40" t="inlineStr">
        <is>
          <t>770.01.07</t>
        </is>
      </c>
      <c r="B2603" s="40" t="inlineStr">
        <is>
          <t>VERGİ RESİM VE HARÇLAR</t>
        </is>
      </c>
      <c r="C2603" s="40" t="inlineStr">
        <is>
          <t>TRY</t>
        </is>
      </c>
      <c r="E2603" s="38" t="n">
        <v>3126941.9</v>
      </c>
      <c r="F2603" s="38" t="n">
        <v>35990.99</v>
      </c>
      <c r="G2603" s="38" t="n">
        <v>3090950.91</v>
      </c>
      <c r="I2603" s="38" t="n">
        <v>3126941.9</v>
      </c>
      <c r="J2603" s="38" t="n">
        <v>35990.99</v>
      </c>
      <c r="K2603" s="38" t="n">
        <v>3090950.91</v>
      </c>
    </row>
    <row r="2604" s="34">
      <c r="A2604" s="40" t="inlineStr">
        <is>
          <t>770.01.07.0001</t>
        </is>
      </c>
      <c r="B2604" s="40" t="inlineStr">
        <is>
          <t>Damga Vergisi</t>
        </is>
      </c>
      <c r="C2604" s="40" t="inlineStr">
        <is>
          <t>TRY</t>
        </is>
      </c>
      <c r="D2604" s="40" t="inlineStr">
        <is>
          <t>GİTAŞ MERKEZ</t>
        </is>
      </c>
      <c r="E2604" s="38" t="n">
        <v>7416.4</v>
      </c>
      <c r="F2604" s="38" t="n">
        <v>0</v>
      </c>
      <c r="G2604" s="38" t="n">
        <v>7416.4</v>
      </c>
      <c r="H2604" s="40" t="inlineStr">
        <is>
          <t>Borç</t>
        </is>
      </c>
      <c r="I2604" s="38" t="n">
        <v>7416.4</v>
      </c>
      <c r="J2604" s="38" t="n">
        <v>0</v>
      </c>
      <c r="K2604" s="38" t="n">
        <v>7416.4</v>
      </c>
      <c r="L2604" s="40" t="inlineStr">
        <is>
          <t>Borç</t>
        </is>
      </c>
    </row>
    <row r="2605" s="34">
      <c r="A2605" s="40" t="inlineStr">
        <is>
          <t>770.01.07.0001</t>
        </is>
      </c>
      <c r="B2605" s="40" t="inlineStr">
        <is>
          <t>Damga Vergisi</t>
        </is>
      </c>
      <c r="C2605" s="40" t="inlineStr">
        <is>
          <t>TRY</t>
        </is>
      </c>
      <c r="D2605" s="40" t="inlineStr">
        <is>
          <t>ROYAL ADAM EVE</t>
        </is>
      </c>
      <c r="E2605" s="38" t="n">
        <v>6589.47</v>
      </c>
      <c r="F2605" s="38" t="n">
        <v>0</v>
      </c>
      <c r="G2605" s="38" t="n">
        <v>6589.47</v>
      </c>
      <c r="H2605" s="40" t="inlineStr">
        <is>
          <t>Borç</t>
        </is>
      </c>
      <c r="I2605" s="38" t="n">
        <v>6589.47</v>
      </c>
      <c r="J2605" s="38" t="n">
        <v>0</v>
      </c>
      <c r="K2605" s="38" t="n">
        <v>6589.47</v>
      </c>
      <c r="L2605" s="40" t="inlineStr">
        <is>
          <t>Borç</t>
        </is>
      </c>
    </row>
    <row r="2606" s="34">
      <c r="A2606" s="40" t="inlineStr">
        <is>
          <t>770.01.07.0001</t>
        </is>
      </c>
      <c r="B2606" s="40" t="inlineStr">
        <is>
          <t>Damga Vergisi</t>
        </is>
      </c>
      <c r="C2606" s="40" t="inlineStr">
        <is>
          <t>TRY</t>
        </is>
      </c>
      <c r="D2606" s="40" t="inlineStr">
        <is>
          <t>ROYAL ALHAMBRA</t>
        </is>
      </c>
      <c r="E2606" s="38" t="n">
        <v>195.47</v>
      </c>
      <c r="F2606" s="38" t="n">
        <v>0</v>
      </c>
      <c r="G2606" s="38" t="n">
        <v>195.47</v>
      </c>
      <c r="H2606" s="40" t="inlineStr">
        <is>
          <t>Borç</t>
        </is>
      </c>
      <c r="I2606" s="38" t="n">
        <v>195.47</v>
      </c>
      <c r="J2606" s="38" t="n">
        <v>0</v>
      </c>
      <c r="K2606" s="38" t="n">
        <v>195.47</v>
      </c>
      <c r="L2606" s="40" t="inlineStr">
        <is>
          <t>Borç</t>
        </is>
      </c>
    </row>
    <row r="2607" s="34">
      <c r="A2607" s="40" t="inlineStr">
        <is>
          <t>770.01.07.0001</t>
        </is>
      </c>
      <c r="B2607" s="40" t="inlineStr">
        <is>
          <t>Damga Vergisi</t>
        </is>
      </c>
      <c r="C2607" s="40" t="inlineStr">
        <is>
          <t>TRY</t>
        </is>
      </c>
      <c r="D2607" s="40" t="inlineStr">
        <is>
          <t>ROYAL DRAGON</t>
        </is>
      </c>
      <c r="E2607" s="38" t="n">
        <v>195.47</v>
      </c>
      <c r="F2607" s="38" t="n">
        <v>0</v>
      </c>
      <c r="G2607" s="38" t="n">
        <v>195.47</v>
      </c>
      <c r="H2607" s="40" t="inlineStr">
        <is>
          <t>Borç</t>
        </is>
      </c>
      <c r="I2607" s="38" t="n">
        <v>195.47</v>
      </c>
      <c r="J2607" s="38" t="n">
        <v>0</v>
      </c>
      <c r="K2607" s="38" t="n">
        <v>195.47</v>
      </c>
      <c r="L2607" s="40" t="inlineStr">
        <is>
          <t>Borç</t>
        </is>
      </c>
    </row>
    <row r="2608" s="34">
      <c r="A2608" s="40" t="inlineStr">
        <is>
          <t>770.01.07.0001</t>
        </is>
      </c>
      <c r="B2608" s="40" t="inlineStr">
        <is>
          <t>Damga Vergisi</t>
        </is>
      </c>
      <c r="C2608" s="40" t="inlineStr">
        <is>
          <t>TRY</t>
        </is>
      </c>
      <c r="D2608" s="40" t="inlineStr">
        <is>
          <t>ROYAL HOLIDAY</t>
        </is>
      </c>
      <c r="E2608" s="38" t="n">
        <v>195.47</v>
      </c>
      <c r="F2608" s="38" t="n">
        <v>0</v>
      </c>
      <c r="G2608" s="38" t="n">
        <v>195.47</v>
      </c>
      <c r="H2608" s="40" t="inlineStr">
        <is>
          <t>Borç</t>
        </is>
      </c>
      <c r="I2608" s="38" t="n">
        <v>195.47</v>
      </c>
      <c r="J2608" s="38" t="n">
        <v>0</v>
      </c>
      <c r="K2608" s="38" t="n">
        <v>195.47</v>
      </c>
      <c r="L2608" s="40" t="inlineStr">
        <is>
          <t>Borç</t>
        </is>
      </c>
    </row>
    <row r="2609" s="34">
      <c r="A2609" s="40" t="inlineStr">
        <is>
          <t>770.01.07.0001</t>
        </is>
      </c>
      <c r="B2609" s="40" t="inlineStr">
        <is>
          <t>Damga Vergisi</t>
        </is>
      </c>
      <c r="C2609" s="40" t="inlineStr">
        <is>
          <t>TRY</t>
        </is>
      </c>
      <c r="D2609" s="40" t="inlineStr">
        <is>
          <t>ROYAL SEGINUS</t>
        </is>
      </c>
      <c r="E2609" s="38" t="n">
        <v>195.47</v>
      </c>
      <c r="F2609" s="38" t="n">
        <v>0</v>
      </c>
      <c r="G2609" s="38" t="n">
        <v>195.47</v>
      </c>
      <c r="H2609" s="40" t="inlineStr">
        <is>
          <t>Borç</t>
        </is>
      </c>
      <c r="I2609" s="38" t="n">
        <v>195.47</v>
      </c>
      <c r="J2609" s="38" t="n">
        <v>0</v>
      </c>
      <c r="K2609" s="38" t="n">
        <v>195.47</v>
      </c>
      <c r="L2609" s="40" t="inlineStr">
        <is>
          <t>Borç</t>
        </is>
      </c>
    </row>
    <row r="2610" s="34">
      <c r="A2610" s="40" t="inlineStr">
        <is>
          <t>770.01.07.0001</t>
        </is>
      </c>
      <c r="B2610" s="40" t="inlineStr">
        <is>
          <t>Damga Vergisi</t>
        </is>
      </c>
      <c r="C2610" s="40" t="inlineStr">
        <is>
          <t>TRY</t>
        </is>
      </c>
      <c r="D2610" s="40" t="inlineStr">
        <is>
          <t>SERTAŞ MERKEZ</t>
        </is>
      </c>
      <c r="E2610" s="38" t="n">
        <v>31632.26</v>
      </c>
      <c r="F2610" s="38" t="n">
        <v>0</v>
      </c>
      <c r="G2610" s="38" t="n">
        <v>31632.26</v>
      </c>
      <c r="H2610" s="40" t="inlineStr">
        <is>
          <t>Borç</t>
        </is>
      </c>
      <c r="I2610" s="38" t="n">
        <v>31632.26</v>
      </c>
      <c r="J2610" s="38" t="n">
        <v>0</v>
      </c>
      <c r="K2610" s="38" t="n">
        <v>31632.26</v>
      </c>
      <c r="L2610" s="40" t="inlineStr">
        <is>
          <t>Borç</t>
        </is>
      </c>
    </row>
    <row r="2611" s="34">
      <c r="A2611" s="40" t="inlineStr">
        <is>
          <t>770.01.07.0002</t>
        </is>
      </c>
      <c r="B2611" s="40" t="inlineStr">
        <is>
          <t>Bina Emlak Vergisi</t>
        </is>
      </c>
      <c r="C2611" s="40" t="inlineStr">
        <is>
          <t>TRY</t>
        </is>
      </c>
      <c r="D2611" s="40" t="inlineStr">
        <is>
          <t>SERTAŞ MERKEZ</t>
        </is>
      </c>
      <c r="E2611" s="38" t="n">
        <v>1214568.77</v>
      </c>
      <c r="F2611" s="38" t="n">
        <v>0</v>
      </c>
      <c r="G2611" s="38" t="n">
        <v>1214568.77</v>
      </c>
      <c r="H2611" s="40" t="inlineStr">
        <is>
          <t>Borç</t>
        </is>
      </c>
      <c r="I2611" s="38" t="n">
        <v>1214568.77</v>
      </c>
      <c r="J2611" s="38" t="n">
        <v>0</v>
      </c>
      <c r="K2611" s="38" t="n">
        <v>1214568.77</v>
      </c>
      <c r="L2611" s="40" t="inlineStr">
        <is>
          <t>Borç</t>
        </is>
      </c>
    </row>
    <row r="2612" s="34">
      <c r="A2612" s="40" t="inlineStr">
        <is>
          <t>770.01.07.0003</t>
        </is>
      </c>
      <c r="B2612" s="40" t="inlineStr">
        <is>
          <t>Eğlence Vergisi</t>
        </is>
      </c>
      <c r="C2612" s="40" t="inlineStr">
        <is>
          <t>TRY</t>
        </is>
      </c>
      <c r="D2612" s="40" t="inlineStr">
        <is>
          <t>GİTAŞ MERKEZ</t>
        </is>
      </c>
      <c r="E2612" s="38" t="n">
        <v>6200</v>
      </c>
      <c r="F2612" s="38" t="n">
        <v>0</v>
      </c>
      <c r="G2612" s="38" t="n">
        <v>6200</v>
      </c>
      <c r="H2612" s="40" t="inlineStr">
        <is>
          <t>Borç</t>
        </is>
      </c>
      <c r="I2612" s="38" t="n">
        <v>6200</v>
      </c>
      <c r="J2612" s="38" t="n">
        <v>0</v>
      </c>
      <c r="K2612" s="38" t="n">
        <v>6200</v>
      </c>
      <c r="L2612" s="40" t="inlineStr">
        <is>
          <t>Borç</t>
        </is>
      </c>
    </row>
    <row r="2613" s="34">
      <c r="A2613" s="40" t="inlineStr">
        <is>
          <t>770.01.07.0003</t>
        </is>
      </c>
      <c r="B2613" s="40" t="inlineStr">
        <is>
          <t>Eğlence Vergisi</t>
        </is>
      </c>
      <c r="C2613" s="40" t="inlineStr">
        <is>
          <t>TRY</t>
        </is>
      </c>
      <c r="D2613" s="40" t="inlineStr">
        <is>
          <t>ROYAL ADAM EVE</t>
        </is>
      </c>
      <c r="E2613" s="38" t="n">
        <v>3100</v>
      </c>
      <c r="F2613" s="38" t="n">
        <v>0</v>
      </c>
      <c r="G2613" s="38" t="n">
        <v>3100</v>
      </c>
      <c r="H2613" s="40" t="inlineStr">
        <is>
          <t>Borç</t>
        </is>
      </c>
      <c r="I2613" s="38" t="n">
        <v>3100</v>
      </c>
      <c r="J2613" s="38" t="n">
        <v>0</v>
      </c>
      <c r="K2613" s="38" t="n">
        <v>3100</v>
      </c>
      <c r="L2613" s="40" t="inlineStr">
        <is>
          <t>Borç</t>
        </is>
      </c>
    </row>
    <row r="2614" s="34">
      <c r="A2614" s="40" t="inlineStr">
        <is>
          <t>770.01.07.0003</t>
        </is>
      </c>
      <c r="B2614" s="40" t="inlineStr">
        <is>
          <t>Eğlence Vergisi</t>
        </is>
      </c>
      <c r="C2614" s="40" t="inlineStr">
        <is>
          <t>TRY</t>
        </is>
      </c>
      <c r="D2614" s="40" t="inlineStr">
        <is>
          <t>SERTAŞ MERKEZ</t>
        </is>
      </c>
      <c r="E2614" s="38" t="n">
        <v>6200</v>
      </c>
      <c r="F2614" s="38" t="n">
        <v>0</v>
      </c>
      <c r="G2614" s="38" t="n">
        <v>6200</v>
      </c>
      <c r="H2614" s="40" t="inlineStr">
        <is>
          <t>Borç</t>
        </is>
      </c>
      <c r="I2614" s="38" t="n">
        <v>6200</v>
      </c>
      <c r="J2614" s="38" t="n">
        <v>0</v>
      </c>
      <c r="K2614" s="38" t="n">
        <v>6200</v>
      </c>
      <c r="L2614" s="40" t="inlineStr">
        <is>
          <t>Borç</t>
        </is>
      </c>
    </row>
    <row r="2615" s="34">
      <c r="A2615" s="40" t="inlineStr">
        <is>
          <t>770.01.07.0004</t>
        </is>
      </c>
      <c r="B2615" s="40" t="inlineStr">
        <is>
          <t>Çevre Temizlik Vergisi</t>
        </is>
      </c>
      <c r="C2615" s="40" t="inlineStr">
        <is>
          <t>TRY</t>
        </is>
      </c>
      <c r="D2615" s="40" t="inlineStr">
        <is>
          <t>SERTAŞ MERKEZ</t>
        </is>
      </c>
      <c r="E2615" s="38" t="n">
        <v>1562.5</v>
      </c>
      <c r="F2615" s="38" t="n">
        <v>0</v>
      </c>
      <c r="G2615" s="38" t="n">
        <v>1562.5</v>
      </c>
      <c r="H2615" s="40" t="inlineStr">
        <is>
          <t>Borç</t>
        </is>
      </c>
      <c r="I2615" s="38" t="n">
        <v>1562.5</v>
      </c>
      <c r="J2615" s="38" t="n">
        <v>0</v>
      </c>
      <c r="K2615" s="38" t="n">
        <v>1562.5</v>
      </c>
      <c r="L2615" s="40" t="inlineStr">
        <is>
          <t>Borç</t>
        </is>
      </c>
    </row>
    <row r="2616" s="34">
      <c r="A2616" s="40" t="inlineStr">
        <is>
          <t>770.01.07.0005</t>
        </is>
      </c>
      <c r="B2616" s="40" t="inlineStr">
        <is>
          <t>İlan Ve Reklam Vergisi</t>
        </is>
      </c>
      <c r="C2616" s="40" t="inlineStr">
        <is>
          <t>TRY</t>
        </is>
      </c>
      <c r="D2616" s="40" t="inlineStr">
        <is>
          <t>ROYAL ADAM EVE</t>
        </is>
      </c>
      <c r="E2616" s="38" t="n">
        <v>4762.5</v>
      </c>
      <c r="F2616" s="38" t="n">
        <v>0</v>
      </c>
      <c r="G2616" s="38" t="n">
        <v>4762.5</v>
      </c>
      <c r="H2616" s="40" t="inlineStr">
        <is>
          <t>Borç</t>
        </is>
      </c>
      <c r="I2616" s="38" t="n">
        <v>4762.5</v>
      </c>
      <c r="J2616" s="38" t="n">
        <v>0</v>
      </c>
      <c r="K2616" s="38" t="n">
        <v>4762.5</v>
      </c>
      <c r="L2616" s="40" t="inlineStr">
        <is>
          <t>Borç</t>
        </is>
      </c>
    </row>
    <row r="2617" s="34">
      <c r="A2617" s="40" t="inlineStr">
        <is>
          <t>770.01.07.0005</t>
        </is>
      </c>
      <c r="B2617" s="40" t="inlineStr">
        <is>
          <t>İlan Ve Reklam Vergisi</t>
        </is>
      </c>
      <c r="C2617" s="40" t="inlineStr">
        <is>
          <t>TRY</t>
        </is>
      </c>
      <c r="D2617" s="40" t="inlineStr">
        <is>
          <t>SERTAŞ MERKEZ</t>
        </is>
      </c>
      <c r="E2617" s="38" t="n">
        <v>5412.5</v>
      </c>
      <c r="F2617" s="38" t="n">
        <v>0</v>
      </c>
      <c r="G2617" s="38" t="n">
        <v>5412.5</v>
      </c>
      <c r="H2617" s="40" t="inlineStr">
        <is>
          <t>Borç</t>
        </is>
      </c>
      <c r="I2617" s="38" t="n">
        <v>5412.5</v>
      </c>
      <c r="J2617" s="38" t="n">
        <v>0</v>
      </c>
      <c r="K2617" s="38" t="n">
        <v>5412.5</v>
      </c>
      <c r="L2617" s="40" t="inlineStr">
        <is>
          <t>Borç</t>
        </is>
      </c>
    </row>
    <row r="2618" s="34">
      <c r="A2618" s="40" t="inlineStr">
        <is>
          <t>770.01.07.0008</t>
        </is>
      </c>
      <c r="B2618" s="40" t="inlineStr">
        <is>
          <t>Turizm Katkı Payı</t>
        </is>
      </c>
      <c r="C2618" s="40" t="inlineStr">
        <is>
          <t>TRY</t>
        </is>
      </c>
      <c r="D2618" s="40" t="inlineStr">
        <is>
          <t>ROYAL HOLIDAY</t>
        </is>
      </c>
      <c r="E2618" s="38" t="n">
        <v>16793.79</v>
      </c>
      <c r="F2618" s="38" t="n">
        <v>0</v>
      </c>
      <c r="G2618" s="38" t="n">
        <v>16793.79</v>
      </c>
      <c r="H2618" s="40" t="inlineStr">
        <is>
          <t>Borç</t>
        </is>
      </c>
      <c r="I2618" s="38" t="n">
        <v>16793.79</v>
      </c>
      <c r="J2618" s="38" t="n">
        <v>0</v>
      </c>
      <c r="K2618" s="38" t="n">
        <v>16793.79</v>
      </c>
      <c r="L2618" s="40" t="inlineStr">
        <is>
          <t>Borç</t>
        </is>
      </c>
    </row>
    <row r="2619" s="34">
      <c r="A2619" s="40" t="inlineStr">
        <is>
          <t>770.01.07.0008</t>
        </is>
      </c>
      <c r="B2619" s="40" t="inlineStr">
        <is>
          <t>Turizm Katkı Payı</t>
        </is>
      </c>
      <c r="C2619" s="40" t="inlineStr">
        <is>
          <t>TRY</t>
        </is>
      </c>
      <c r="D2619" s="40" t="inlineStr">
        <is>
          <t>ROYAL SEGINUS</t>
        </is>
      </c>
      <c r="E2619" s="38" t="n">
        <v>636932.26</v>
      </c>
      <c r="F2619" s="38" t="n">
        <v>0</v>
      </c>
      <c r="G2619" s="38" t="n">
        <v>636932.26</v>
      </c>
      <c r="H2619" s="40" t="inlineStr">
        <is>
          <t>Borç</t>
        </is>
      </c>
      <c r="I2619" s="38" t="n">
        <v>636932.26</v>
      </c>
      <c r="J2619" s="38" t="n">
        <v>0</v>
      </c>
      <c r="K2619" s="38" t="n">
        <v>636932.26</v>
      </c>
      <c r="L2619" s="40" t="inlineStr">
        <is>
          <t>Borç</t>
        </is>
      </c>
    </row>
    <row r="2620" s="34">
      <c r="A2620" s="40" t="inlineStr">
        <is>
          <t>770.01.07.0008</t>
        </is>
      </c>
      <c r="B2620" s="40" t="inlineStr">
        <is>
          <t>Turizm Katkı Payı</t>
        </is>
      </c>
      <c r="C2620" s="40" t="inlineStr">
        <is>
          <t>TRY</t>
        </is>
      </c>
      <c r="D2620" s="40" t="inlineStr">
        <is>
          <t>SERTAŞ MERKEZ</t>
        </is>
      </c>
      <c r="E2620" s="38" t="n">
        <v>2232.31</v>
      </c>
      <c r="F2620" s="38" t="n">
        <v>0</v>
      </c>
      <c r="G2620" s="38" t="n">
        <v>2232.31</v>
      </c>
      <c r="H2620" s="40" t="inlineStr">
        <is>
          <t>Borç</t>
        </is>
      </c>
      <c r="I2620" s="38" t="n">
        <v>2232.31</v>
      </c>
      <c r="J2620" s="38" t="n">
        <v>0</v>
      </c>
      <c r="K2620" s="38" t="n">
        <v>2232.31</v>
      </c>
      <c r="L2620" s="40" t="inlineStr">
        <is>
          <t>Borç</t>
        </is>
      </c>
    </row>
    <row r="2621" s="34">
      <c r="A2621" s="40" t="inlineStr">
        <is>
          <t>770.01.07.0008</t>
        </is>
      </c>
      <c r="B2621" s="40" t="inlineStr">
        <is>
          <t>Turizm Katkı Payı</t>
        </is>
      </c>
      <c r="C2621" s="40" t="inlineStr">
        <is>
          <t>TRY</t>
        </is>
      </c>
      <c r="D2621" s="40" t="inlineStr">
        <is>
          <t>STONE ÇARŞI</t>
        </is>
      </c>
      <c r="E2621" s="38" t="n">
        <v>42114.67</v>
      </c>
      <c r="F2621" s="38" t="n">
        <v>0</v>
      </c>
      <c r="G2621" s="38" t="n">
        <v>42114.67</v>
      </c>
      <c r="H2621" s="40" t="inlineStr">
        <is>
          <t>Borç</t>
        </is>
      </c>
      <c r="I2621" s="38" t="n">
        <v>42114.67</v>
      </c>
      <c r="J2621" s="38" t="n">
        <v>0</v>
      </c>
      <c r="K2621" s="38" t="n">
        <v>42114.67</v>
      </c>
      <c r="L2621" s="40" t="inlineStr">
        <is>
          <t>Borç</t>
        </is>
      </c>
    </row>
    <row r="2622" s="34">
      <c r="A2622" s="40" t="inlineStr">
        <is>
          <t>770.01.07.0009</t>
        </is>
      </c>
      <c r="B2622" s="40" t="inlineStr">
        <is>
          <t>Geri Kazanım Katılım Payı</t>
        </is>
      </c>
      <c r="C2622" s="40" t="inlineStr">
        <is>
          <t>TRY</t>
        </is>
      </c>
      <c r="D2622" s="40" t="inlineStr">
        <is>
          <t>SERTAŞ MERKEZ</t>
        </is>
      </c>
      <c r="E2622" s="38" t="n">
        <v>8155</v>
      </c>
      <c r="F2622" s="38" t="n">
        <v>0</v>
      </c>
      <c r="G2622" s="38" t="n">
        <v>8155</v>
      </c>
      <c r="H2622" s="40" t="inlineStr">
        <is>
          <t>Borç</t>
        </is>
      </c>
      <c r="I2622" s="38" t="n">
        <v>8155</v>
      </c>
      <c r="J2622" s="38" t="n">
        <v>0</v>
      </c>
      <c r="K2622" s="38" t="n">
        <v>8155</v>
      </c>
      <c r="L2622" s="40" t="inlineStr">
        <is>
          <t>Borç</t>
        </is>
      </c>
    </row>
    <row r="2623" s="34">
      <c r="A2623" s="40" t="inlineStr">
        <is>
          <t>770.01.07.0011</t>
        </is>
      </c>
      <c r="B2623" s="40" t="inlineStr">
        <is>
          <t>Noter Giderleri</t>
        </is>
      </c>
      <c r="C2623" s="40" t="inlineStr">
        <is>
          <t>TRY</t>
        </is>
      </c>
      <c r="D2623" s="40" t="inlineStr">
        <is>
          <t>GİTAŞ MERKEZ</t>
        </is>
      </c>
      <c r="E2623" s="38" t="n">
        <v>4565.31</v>
      </c>
      <c r="F2623" s="38" t="n">
        <v>0</v>
      </c>
      <c r="G2623" s="38" t="n">
        <v>4565.31</v>
      </c>
      <c r="H2623" s="40" t="inlineStr">
        <is>
          <t>Borç</t>
        </is>
      </c>
      <c r="I2623" s="38" t="n">
        <v>4565.31</v>
      </c>
      <c r="J2623" s="38" t="n">
        <v>0</v>
      </c>
      <c r="K2623" s="38" t="n">
        <v>4565.31</v>
      </c>
      <c r="L2623" s="40" t="inlineStr">
        <is>
          <t>Borç</t>
        </is>
      </c>
    </row>
    <row r="2624" s="34">
      <c r="A2624" s="40" t="inlineStr">
        <is>
          <t>770.01.07.0011</t>
        </is>
      </c>
      <c r="B2624" s="40" t="inlineStr">
        <is>
          <t>Noter Giderleri</t>
        </is>
      </c>
      <c r="C2624" s="40" t="inlineStr">
        <is>
          <t>TRY</t>
        </is>
      </c>
      <c r="D2624" s="40" t="inlineStr">
        <is>
          <t>ROYAL ADAM EVE</t>
        </is>
      </c>
      <c r="E2624" s="38" t="n">
        <v>5215.32</v>
      </c>
      <c r="F2624" s="38" t="n">
        <v>0</v>
      </c>
      <c r="G2624" s="38" t="n">
        <v>5215.32</v>
      </c>
      <c r="H2624" s="40" t="inlineStr">
        <is>
          <t>Borç</t>
        </is>
      </c>
      <c r="I2624" s="38" t="n">
        <v>5215.32</v>
      </c>
      <c r="J2624" s="38" t="n">
        <v>0</v>
      </c>
      <c r="K2624" s="38" t="n">
        <v>5215.32</v>
      </c>
      <c r="L2624" s="40" t="inlineStr">
        <is>
          <t>Borç</t>
        </is>
      </c>
    </row>
    <row r="2625" s="34">
      <c r="A2625" s="40" t="inlineStr">
        <is>
          <t>770.01.07.0011</t>
        </is>
      </c>
      <c r="B2625" s="40" t="inlineStr">
        <is>
          <t>Noter Giderleri</t>
        </is>
      </c>
      <c r="C2625" s="40" t="inlineStr">
        <is>
          <t>TRY</t>
        </is>
      </c>
      <c r="D2625" s="40" t="inlineStr">
        <is>
          <t>SERTAŞ MERKEZ</t>
        </is>
      </c>
      <c r="E2625" s="38" t="n">
        <v>7569.82</v>
      </c>
      <c r="F2625" s="38" t="n">
        <v>0</v>
      </c>
      <c r="G2625" s="38" t="n">
        <v>7569.82</v>
      </c>
      <c r="H2625" s="40" t="inlineStr">
        <is>
          <t>Borç</t>
        </is>
      </c>
      <c r="I2625" s="38" t="n">
        <v>7569.82</v>
      </c>
      <c r="J2625" s="38" t="n">
        <v>0</v>
      </c>
      <c r="K2625" s="38" t="n">
        <v>7569.82</v>
      </c>
      <c r="L2625" s="40" t="inlineStr">
        <is>
          <t>Borç</t>
        </is>
      </c>
    </row>
    <row r="2626" s="34">
      <c r="A2626" s="40" t="inlineStr">
        <is>
          <t>770.01.07.0012</t>
        </is>
      </c>
      <c r="B2626" s="40" t="inlineStr">
        <is>
          <t>Mahkeme Masrafları</t>
        </is>
      </c>
      <c r="C2626" s="40" t="inlineStr">
        <is>
          <t>TRY</t>
        </is>
      </c>
      <c r="D2626" s="40" t="inlineStr">
        <is>
          <t>GİTAŞ MERKEZ</t>
        </is>
      </c>
      <c r="E2626" s="38" t="n">
        <v>100002.44</v>
      </c>
      <c r="F2626" s="38" t="n">
        <v>0</v>
      </c>
      <c r="G2626" s="38" t="n">
        <v>100002.44</v>
      </c>
      <c r="H2626" s="40" t="inlineStr">
        <is>
          <t>Borç</t>
        </is>
      </c>
      <c r="I2626" s="38" t="n">
        <v>100002.44</v>
      </c>
      <c r="J2626" s="38" t="n">
        <v>0</v>
      </c>
      <c r="K2626" s="38" t="n">
        <v>100002.44</v>
      </c>
      <c r="L2626" s="40" t="inlineStr">
        <is>
          <t>Borç</t>
        </is>
      </c>
    </row>
    <row r="2627" s="34">
      <c r="A2627" s="40" t="inlineStr">
        <is>
          <t>770.01.07.0012</t>
        </is>
      </c>
      <c r="B2627" s="40" t="inlineStr">
        <is>
          <t>Mahkeme Masrafları</t>
        </is>
      </c>
      <c r="C2627" s="40" t="inlineStr">
        <is>
          <t>TRY</t>
        </is>
      </c>
      <c r="D2627" s="40" t="inlineStr">
        <is>
          <t>ROYAL ADAM EVE</t>
        </is>
      </c>
      <c r="E2627" s="38" t="n">
        <v>5800.69</v>
      </c>
      <c r="F2627" s="38" t="n">
        <v>0</v>
      </c>
      <c r="G2627" s="38" t="n">
        <v>5800.69</v>
      </c>
      <c r="H2627" s="40" t="inlineStr">
        <is>
          <t>Borç</t>
        </is>
      </c>
      <c r="I2627" s="38" t="n">
        <v>5800.69</v>
      </c>
      <c r="J2627" s="38" t="n">
        <v>0</v>
      </c>
      <c r="K2627" s="38" t="n">
        <v>5800.69</v>
      </c>
      <c r="L2627" s="40" t="inlineStr">
        <is>
          <t>Borç</t>
        </is>
      </c>
    </row>
    <row r="2628" s="34">
      <c r="A2628" s="40" t="inlineStr">
        <is>
          <t>770.01.07.0012</t>
        </is>
      </c>
      <c r="B2628" s="40" t="inlineStr">
        <is>
          <t>Mahkeme Masrafları</t>
        </is>
      </c>
      <c r="C2628" s="40" t="inlineStr">
        <is>
          <t>TRY</t>
        </is>
      </c>
      <c r="D2628" s="40" t="inlineStr">
        <is>
          <t>ROYAL DRAGON</t>
        </is>
      </c>
      <c r="E2628" s="38" t="n">
        <v>317119.92</v>
      </c>
      <c r="F2628" s="38" t="n">
        <v>0</v>
      </c>
      <c r="G2628" s="38" t="n">
        <v>317119.92</v>
      </c>
      <c r="H2628" s="40" t="inlineStr">
        <is>
          <t>Borç</t>
        </is>
      </c>
      <c r="I2628" s="38" t="n">
        <v>317119.92</v>
      </c>
      <c r="J2628" s="38" t="n">
        <v>0</v>
      </c>
      <c r="K2628" s="38" t="n">
        <v>317119.92</v>
      </c>
      <c r="L2628" s="40" t="inlineStr">
        <is>
          <t>Borç</t>
        </is>
      </c>
    </row>
    <row r="2629" s="34">
      <c r="A2629" s="40" t="inlineStr">
        <is>
          <t>770.01.07.0012</t>
        </is>
      </c>
      <c r="B2629" s="40" t="inlineStr">
        <is>
          <t>Mahkeme Masrafları</t>
        </is>
      </c>
      <c r="C2629" s="40" t="inlineStr">
        <is>
          <t>TRY</t>
        </is>
      </c>
      <c r="D2629" s="40" t="inlineStr">
        <is>
          <t>ROYAL SEGINUS</t>
        </is>
      </c>
      <c r="E2629" s="38" t="n">
        <v>316005.29</v>
      </c>
      <c r="F2629" s="38" t="n">
        <v>0</v>
      </c>
      <c r="G2629" s="38" t="n">
        <v>316005.29</v>
      </c>
      <c r="H2629" s="40" t="inlineStr">
        <is>
          <t>Borç</t>
        </is>
      </c>
      <c r="I2629" s="38" t="n">
        <v>316005.29</v>
      </c>
      <c r="J2629" s="38" t="n">
        <v>0</v>
      </c>
      <c r="K2629" s="38" t="n">
        <v>316005.29</v>
      </c>
      <c r="L2629" s="40" t="inlineStr">
        <is>
          <t>Borç</t>
        </is>
      </c>
    </row>
    <row r="2630" s="34">
      <c r="A2630" s="40" t="inlineStr">
        <is>
          <t>770.01.07.0012</t>
        </is>
      </c>
      <c r="B2630" s="40" t="inlineStr">
        <is>
          <t>Mahkeme Masrafları</t>
        </is>
      </c>
      <c r="C2630" s="40" t="inlineStr">
        <is>
          <t>TRY</t>
        </is>
      </c>
      <c r="D2630" s="40" t="inlineStr">
        <is>
          <t>SERTAŞ MERKEZ</t>
        </is>
      </c>
      <c r="E2630" s="38" t="n">
        <v>278540.82</v>
      </c>
      <c r="F2630" s="38" t="n">
        <v>35990.99</v>
      </c>
      <c r="G2630" s="38" t="n">
        <v>242549.83</v>
      </c>
      <c r="H2630" s="40" t="inlineStr">
        <is>
          <t>Borç</t>
        </is>
      </c>
      <c r="I2630" s="38" t="n">
        <v>278540.82</v>
      </c>
      <c r="J2630" s="38" t="n">
        <v>35990.99</v>
      </c>
      <c r="K2630" s="38" t="n">
        <v>242549.83</v>
      </c>
      <c r="L2630" s="40" t="inlineStr">
        <is>
          <t>Borç</t>
        </is>
      </c>
    </row>
    <row r="2631" s="34">
      <c r="A2631" s="40" t="inlineStr">
        <is>
          <t>770.01.07.0015</t>
        </is>
      </c>
      <c r="B2631" s="40" t="inlineStr">
        <is>
          <t>Diğer Aidat, Vergi Resim Ve Harçlar</t>
        </is>
      </c>
      <c r="C2631" s="40" t="inlineStr">
        <is>
          <t>TRY</t>
        </is>
      </c>
      <c r="D2631" s="40" t="inlineStr">
        <is>
          <t>SERTAŞ MERKEZ</t>
        </is>
      </c>
      <c r="E2631" s="38" t="n">
        <v>16595.59</v>
      </c>
      <c r="F2631" s="38" t="n">
        <v>0</v>
      </c>
      <c r="G2631" s="38" t="n">
        <v>16595.59</v>
      </c>
      <c r="H2631" s="40" t="inlineStr">
        <is>
          <t>Borç</t>
        </is>
      </c>
      <c r="I2631" s="38" t="n">
        <v>16595.59</v>
      </c>
      <c r="J2631" s="38" t="n">
        <v>0</v>
      </c>
      <c r="K2631" s="38" t="n">
        <v>16595.59</v>
      </c>
      <c r="L2631" s="40" t="inlineStr">
        <is>
          <t>Borç</t>
        </is>
      </c>
    </row>
    <row r="2632" s="34">
      <c r="A2632" s="40" t="inlineStr">
        <is>
          <t>770.01.07.0016</t>
        </is>
      </c>
      <c r="B2632" s="40" t="inlineStr">
        <is>
          <t>Bakiye Karar Ve İlam Harçları</t>
        </is>
      </c>
      <c r="C2632" s="40" t="inlineStr">
        <is>
          <t>TRY</t>
        </is>
      </c>
      <c r="D2632" s="40" t="inlineStr">
        <is>
          <t>SERTAŞ MERKEZ</t>
        </is>
      </c>
      <c r="E2632" s="38" t="n">
        <v>81072.39</v>
      </c>
      <c r="F2632" s="38" t="n">
        <v>0</v>
      </c>
      <c r="G2632" s="38" t="n">
        <v>81072.39</v>
      </c>
      <c r="H2632" s="40" t="inlineStr">
        <is>
          <t>Borç</t>
        </is>
      </c>
      <c r="I2632" s="38" t="n">
        <v>81072.39</v>
      </c>
      <c r="J2632" s="38" t="n">
        <v>0</v>
      </c>
      <c r="K2632" s="38" t="n">
        <v>81072.39</v>
      </c>
      <c r="L2632" s="40" t="inlineStr">
        <is>
          <t>Borç</t>
        </is>
      </c>
    </row>
    <row r="2633" s="34">
      <c r="A2633" s="40" t="inlineStr">
        <is>
          <t>770.01.08</t>
        </is>
      </c>
      <c r="B2633" s="40" t="inlineStr">
        <is>
          <t>KİRA GİDERLERİ</t>
        </is>
      </c>
      <c r="C2633" s="40" t="inlineStr">
        <is>
          <t>TRY</t>
        </is>
      </c>
      <c r="E2633" s="38" t="n">
        <v>378238.66</v>
      </c>
      <c r="F2633" s="38" t="n">
        <v>0</v>
      </c>
      <c r="G2633" s="38" t="n">
        <v>378238.66</v>
      </c>
      <c r="I2633" s="38" t="n">
        <v>378238.66</v>
      </c>
      <c r="J2633" s="38" t="n">
        <v>0</v>
      </c>
      <c r="K2633" s="38" t="n">
        <v>378238.66</v>
      </c>
    </row>
    <row r="2634" s="34">
      <c r="A2634" s="40" t="inlineStr">
        <is>
          <t>770.01.08.0001</t>
        </is>
      </c>
      <c r="B2634" s="40" t="inlineStr">
        <is>
          <t>Üst Hakkı Bedeli</t>
        </is>
      </c>
      <c r="C2634" s="40" t="inlineStr">
        <is>
          <t>TRY</t>
        </is>
      </c>
      <c r="D2634" s="40" t="inlineStr">
        <is>
          <t>ROYAL ADAM EVE</t>
        </is>
      </c>
      <c r="E2634" s="38" t="n">
        <v>378238.66</v>
      </c>
      <c r="F2634" s="38" t="n">
        <v>0</v>
      </c>
      <c r="G2634" s="38" t="n">
        <v>378238.66</v>
      </c>
      <c r="H2634" s="40" t="inlineStr">
        <is>
          <t>Borç</t>
        </is>
      </c>
      <c r="I2634" s="38" t="n">
        <v>378238.66</v>
      </c>
      <c r="J2634" s="38" t="n">
        <v>0</v>
      </c>
      <c r="K2634" s="38" t="n">
        <v>378238.66</v>
      </c>
      <c r="L2634" s="40" t="inlineStr">
        <is>
          <t>Borç</t>
        </is>
      </c>
    </row>
    <row r="2635" s="34">
      <c r="A2635" s="40" t="inlineStr">
        <is>
          <t>9</t>
        </is>
      </c>
      <c r="B2635" s="40" t="inlineStr">
        <is>
          <t>NAZIM HESAPLAR</t>
        </is>
      </c>
      <c r="C2635" s="40" t="inlineStr">
        <is>
          <t>TRY</t>
        </is>
      </c>
      <c r="E2635" s="38" t="n">
        <v>4232901193.71</v>
      </c>
      <c r="F2635" s="38" t="n">
        <v>4232901193.71</v>
      </c>
      <c r="G2635" s="38" t="n">
        <v>0</v>
      </c>
      <c r="I2635" s="38" t="n">
        <v>3170907293.71</v>
      </c>
      <c r="J2635" s="38" t="n">
        <v>3170907293.71</v>
      </c>
      <c r="K2635" s="38" t="n">
        <v>0</v>
      </c>
    </row>
    <row r="2636" s="34">
      <c r="A2636" s="40" t="inlineStr">
        <is>
          <t>90</t>
        </is>
      </c>
      <c r="B2636" s="40" t="inlineStr">
        <is>
          <t>TEMINAT ALINAN DEGERLER</t>
        </is>
      </c>
      <c r="C2636" s="40" t="inlineStr">
        <is>
          <t>TRY</t>
        </is>
      </c>
      <c r="E2636" s="38" t="n">
        <v>4232901193.71</v>
      </c>
      <c r="F2636" s="38" t="n">
        <v>4232901193.71</v>
      </c>
      <c r="G2636" s="38" t="n">
        <v>0</v>
      </c>
      <c r="I2636" s="38" t="n">
        <v>3170907293.71</v>
      </c>
      <c r="J2636" s="38" t="n">
        <v>3170907293.71</v>
      </c>
      <c r="K2636" s="38" t="n">
        <v>0</v>
      </c>
    </row>
    <row r="2637" s="34">
      <c r="A2637" s="40" t="inlineStr">
        <is>
          <t>900</t>
        </is>
      </c>
      <c r="B2637" s="40" t="inlineStr">
        <is>
          <t>ALINAN TEMINAT HESABI</t>
        </is>
      </c>
      <c r="C2637" s="40" t="inlineStr">
        <is>
          <t>TRY</t>
        </is>
      </c>
      <c r="E2637" s="38" t="n">
        <v>1124720832.67</v>
      </c>
      <c r="F2637" s="38" t="n">
        <v>3108180361.04</v>
      </c>
      <c r="G2637" s="38" t="n">
        <v>-1983459528.37</v>
      </c>
      <c r="I2637" s="38" t="n">
        <v>62726932.67</v>
      </c>
      <c r="J2637" s="38" t="n">
        <v>3108180361.04</v>
      </c>
      <c r="K2637" s="38" t="n">
        <v>-3045453428.37</v>
      </c>
    </row>
    <row r="2638" s="34">
      <c r="A2638" s="40" t="inlineStr">
        <is>
          <t>900.01</t>
        </is>
      </c>
      <c r="B2638" s="40" t="inlineStr">
        <is>
          <t>ALINAN TEMİNAT MEKTUBU</t>
        </is>
      </c>
      <c r="C2638" s="40" t="inlineStr">
        <is>
          <t>TRY</t>
        </is>
      </c>
      <c r="E2638" s="38" t="n">
        <v>7623989.67</v>
      </c>
      <c r="F2638" s="38" t="n">
        <v>191638512.5</v>
      </c>
      <c r="G2638" s="38" t="n">
        <v>-184014522.83</v>
      </c>
      <c r="I2638" s="38" t="n">
        <v>7623989.67</v>
      </c>
      <c r="J2638" s="38" t="n">
        <v>191638512.5</v>
      </c>
      <c r="K2638" s="38" t="n">
        <v>-184014522.83</v>
      </c>
    </row>
    <row r="2639" s="34">
      <c r="A2639" s="40" t="inlineStr">
        <is>
          <t>900.01.01.0005</t>
        </is>
      </c>
      <c r="B2639" s="40" t="inlineStr">
        <is>
          <t>2084Krtm26000053 Nl.2025/395 Karar Saylı Ziraat Bankası Teminat Mektubu 821.000,00 TL</t>
        </is>
      </c>
      <c r="C2639" s="40" t="inlineStr">
        <is>
          <t>TRY</t>
        </is>
      </c>
      <c r="D2639" s="40" t="inlineStr">
        <is>
          <t>SERTAŞ MERKEZ</t>
        </is>
      </c>
      <c r="E2639" s="38" t="n">
        <v>0</v>
      </c>
      <c r="F2639" s="38" t="n">
        <v>821000</v>
      </c>
      <c r="G2639" s="38" t="n">
        <v>-821000</v>
      </c>
      <c r="H2639" s="40" t="inlineStr">
        <is>
          <t>Alacak</t>
        </is>
      </c>
      <c r="I2639" s="38" t="n">
        <v>0</v>
      </c>
      <c r="J2639" s="38" t="n">
        <v>821000</v>
      </c>
      <c r="K2639" s="38" t="n">
        <v>-821000</v>
      </c>
      <c r="L2639" s="40" t="inlineStr">
        <is>
          <t>Alacak</t>
        </is>
      </c>
    </row>
    <row r="2640" s="34">
      <c r="A2640" s="40" t="inlineStr">
        <is>
          <t>900.01.01.0015</t>
        </is>
      </c>
      <c r="B2640" s="40" t="inlineStr">
        <is>
          <t>Manavgat Mal Mud.180Ada1Prsl(Süresiz)</t>
        </is>
      </c>
      <c r="C2640" s="40" t="inlineStr">
        <is>
          <t>TRY</t>
        </is>
      </c>
      <c r="D2640" s="40" t="inlineStr">
        <is>
          <t>GİTAŞ MERKEZ</t>
        </is>
      </c>
      <c r="E2640" s="38" t="n">
        <v>0</v>
      </c>
      <c r="F2640" s="38" t="n">
        <v>261000</v>
      </c>
      <c r="G2640" s="38" t="n">
        <v>-261000</v>
      </c>
      <c r="H2640" s="40" t="inlineStr">
        <is>
          <t>Alacak</t>
        </is>
      </c>
      <c r="I2640" s="38" t="n">
        <v>0</v>
      </c>
      <c r="J2640" s="38" t="n">
        <v>261000</v>
      </c>
      <c r="K2640" s="38" t="n">
        <v>-261000</v>
      </c>
      <c r="L2640" s="40" t="inlineStr">
        <is>
          <t>Alacak</t>
        </is>
      </c>
    </row>
    <row r="2641" s="34">
      <c r="A2641" s="40" t="inlineStr">
        <is>
          <t>900.01.01.0016</t>
        </is>
      </c>
      <c r="B2641" s="40" t="inlineStr">
        <is>
          <t>Manavgat Beld.12687Ada6Prsl(Süresiz)</t>
        </is>
      </c>
      <c r="C2641" s="40" t="inlineStr">
        <is>
          <t>TRY</t>
        </is>
      </c>
      <c r="D2641" s="40" t="inlineStr">
        <is>
          <t>GİTAŞ MERKEZ</t>
        </is>
      </c>
      <c r="E2641" s="38" t="n">
        <v>0</v>
      </c>
      <c r="F2641" s="38" t="n">
        <v>53550</v>
      </c>
      <c r="G2641" s="38" t="n">
        <v>-53550</v>
      </c>
      <c r="H2641" s="40" t="inlineStr">
        <is>
          <t>Alacak</t>
        </is>
      </c>
      <c r="I2641" s="38" t="n">
        <v>0</v>
      </c>
      <c r="J2641" s="38" t="n">
        <v>53550</v>
      </c>
      <c r="K2641" s="38" t="n">
        <v>-53550</v>
      </c>
      <c r="L2641" s="40" t="inlineStr">
        <is>
          <t>Alacak</t>
        </is>
      </c>
    </row>
    <row r="2642" s="34">
      <c r="A2642" s="40" t="inlineStr">
        <is>
          <t>900.01.01.0017</t>
        </is>
      </c>
      <c r="B2642" s="40" t="inlineStr">
        <is>
          <t>2084KRTM19000059/27/05/2022 Vdl.812.500,00 Eur Tem.Mek/Türkiye İhracat</t>
        </is>
      </c>
      <c r="C2642" s="40" t="inlineStr">
        <is>
          <t>TRY</t>
        </is>
      </c>
      <c r="D2642" s="40" t="inlineStr">
        <is>
          <t>GİTAŞ MERKEZ</t>
        </is>
      </c>
      <c r="E2642" s="38" t="n">
        <v>0</v>
      </c>
      <c r="F2642" s="38" t="n">
        <v>4900837.5</v>
      </c>
      <c r="G2642" s="38" t="n">
        <v>-4900837.5</v>
      </c>
      <c r="H2642" s="40" t="inlineStr">
        <is>
          <t>Alacak</t>
        </is>
      </c>
      <c r="I2642" s="38" t="n">
        <v>0</v>
      </c>
      <c r="J2642" s="38" t="n">
        <v>4900837.5</v>
      </c>
      <c r="K2642" s="38" t="n">
        <v>-4900837.5</v>
      </c>
      <c r="L2642" s="40" t="inlineStr">
        <is>
          <t>Alacak</t>
        </is>
      </c>
    </row>
    <row r="2643" s="34">
      <c r="A2643" s="40" t="inlineStr">
        <is>
          <t>900.01.01.0018</t>
        </is>
      </c>
      <c r="B2643" s="40" t="inlineStr">
        <is>
          <t>2020061800121005724/19/07/2022 Vdl.2.000.000,00 Eur KesinTem.Mek/Türkiye Halkbankası A.ş.7.6884</t>
        </is>
      </c>
      <c r="C2643" s="40" t="inlineStr">
        <is>
          <t>TRY</t>
        </is>
      </c>
      <c r="D2643" s="40" t="inlineStr">
        <is>
          <t>GİTAŞ MERKEZ</t>
        </is>
      </c>
      <c r="E2643" s="38" t="n">
        <v>0</v>
      </c>
      <c r="F2643" s="38" t="n">
        <v>15376800</v>
      </c>
      <c r="G2643" s="38" t="n">
        <v>-15376800</v>
      </c>
      <c r="H2643" s="40" t="inlineStr">
        <is>
          <t>Alacak</t>
        </is>
      </c>
      <c r="I2643" s="38" t="n">
        <v>0</v>
      </c>
      <c r="J2643" s="38" t="n">
        <v>15376800</v>
      </c>
      <c r="K2643" s="38" t="n">
        <v>-15376800</v>
      </c>
      <c r="L2643" s="40" t="inlineStr">
        <is>
          <t>Alacak</t>
        </is>
      </c>
    </row>
    <row r="2644" s="34">
      <c r="A2644" s="40" t="inlineStr">
        <is>
          <t>900.01.01.0019</t>
        </is>
      </c>
      <c r="B2644" s="40" t="inlineStr">
        <is>
          <t>2020063000121006006/25/07/2022 Vdl.3.000.000,00 Eur KesinTem.Mek/Türkiye Halkbankası A.ş.7.7082</t>
        </is>
      </c>
      <c r="C2644" s="40" t="inlineStr">
        <is>
          <t>TRY</t>
        </is>
      </c>
      <c r="D2644" s="40" t="inlineStr">
        <is>
          <t>GİTAŞ MERKEZ</t>
        </is>
      </c>
      <c r="E2644" s="38" t="n">
        <v>0</v>
      </c>
      <c r="F2644" s="38" t="n">
        <v>23124600</v>
      </c>
      <c r="G2644" s="38" t="n">
        <v>-23124600</v>
      </c>
      <c r="H2644" s="40" t="inlineStr">
        <is>
          <t>Alacak</t>
        </is>
      </c>
      <c r="I2644" s="38" t="n">
        <v>0</v>
      </c>
      <c r="J2644" s="38" t="n">
        <v>23124600</v>
      </c>
      <c r="K2644" s="38" t="n">
        <v>-23124600</v>
      </c>
      <c r="L2644" s="40" t="inlineStr">
        <is>
          <t>Alacak</t>
        </is>
      </c>
    </row>
    <row r="2645" s="34">
      <c r="A2645" s="40" t="inlineStr">
        <is>
          <t>900.01.01.0020</t>
        </is>
      </c>
      <c r="B2645" s="40" t="inlineStr">
        <is>
          <t>2020062300121005842/25/07/2022 Vdl.3.000.000,00 Eur KesinTem.Mek/Türkiye Halkbanksı .A.ş.7.6713</t>
        </is>
      </c>
      <c r="C2645" s="40" t="inlineStr">
        <is>
          <t>TRY</t>
        </is>
      </c>
      <c r="D2645" s="40" t="inlineStr">
        <is>
          <t>GİTAŞ MERKEZ</t>
        </is>
      </c>
      <c r="E2645" s="38" t="n">
        <v>0</v>
      </c>
      <c r="F2645" s="38" t="n">
        <v>23013900</v>
      </c>
      <c r="G2645" s="38" t="n">
        <v>-23013900</v>
      </c>
      <c r="H2645" s="40" t="inlineStr">
        <is>
          <t>Alacak</t>
        </is>
      </c>
      <c r="I2645" s="38" t="n">
        <v>0</v>
      </c>
      <c r="J2645" s="38" t="n">
        <v>23013900</v>
      </c>
      <c r="K2645" s="38" t="n">
        <v>-23013900</v>
      </c>
      <c r="L2645" s="40" t="inlineStr">
        <is>
          <t>Alacak</t>
        </is>
      </c>
    </row>
    <row r="2646" s="34">
      <c r="A2646" s="40" t="inlineStr">
        <is>
          <t>900.01.01.0021</t>
        </is>
      </c>
      <c r="B2646" s="40" t="inlineStr">
        <is>
          <t>2020061800121005731/13/09/2022 Vdl.160.000.00 Eur KesinTem.Mek/Türkiye Halkbankası A.ş.7.6884</t>
        </is>
      </c>
      <c r="C2646" s="40" t="inlineStr">
        <is>
          <t>TRY</t>
        </is>
      </c>
      <c r="D2646" s="40" t="inlineStr">
        <is>
          <t>GİTAŞ MERKEZ</t>
        </is>
      </c>
      <c r="E2646" s="38" t="n">
        <v>0</v>
      </c>
      <c r="F2646" s="38" t="n">
        <v>1230144</v>
      </c>
      <c r="G2646" s="38" t="n">
        <v>-1230144</v>
      </c>
      <c r="H2646" s="40" t="inlineStr">
        <is>
          <t>Alacak</t>
        </is>
      </c>
      <c r="I2646" s="38" t="n">
        <v>0</v>
      </c>
      <c r="J2646" s="38" t="n">
        <v>1230144</v>
      </c>
      <c r="K2646" s="38" t="n">
        <v>-1230144</v>
      </c>
      <c r="L2646" s="40" t="inlineStr">
        <is>
          <t>Alacak</t>
        </is>
      </c>
    </row>
    <row r="2647" s="34">
      <c r="A2647" s="40" t="inlineStr">
        <is>
          <t>900.01.01.0022</t>
        </is>
      </c>
      <c r="B2647" s="40" t="inlineStr">
        <is>
          <t>2020062300121005839/25/07/2022 Vdl.240.000.00 Eur KesinTem.Mek/Türkiye Halkbankası  A.ş.7.6713</t>
        </is>
      </c>
      <c r="C2647" s="40" t="inlineStr">
        <is>
          <t>TRY</t>
        </is>
      </c>
      <c r="D2647" s="40" t="inlineStr">
        <is>
          <t>GİTAŞ MERKEZ</t>
        </is>
      </c>
      <c r="E2647" s="38" t="n">
        <v>0</v>
      </c>
      <c r="F2647" s="38" t="n">
        <v>1841112</v>
      </c>
      <c r="G2647" s="38" t="n">
        <v>-1841112</v>
      </c>
      <c r="H2647" s="40" t="inlineStr">
        <is>
          <t>Alacak</t>
        </is>
      </c>
      <c r="I2647" s="38" t="n">
        <v>0</v>
      </c>
      <c r="J2647" s="38" t="n">
        <v>1841112</v>
      </c>
      <c r="K2647" s="38" t="n">
        <v>-1841112</v>
      </c>
      <c r="L2647" s="40" t="inlineStr">
        <is>
          <t>Alacak</t>
        </is>
      </c>
    </row>
    <row r="2648" s="34">
      <c r="A2648" s="40" t="inlineStr">
        <is>
          <t>900.01.01.0023</t>
        </is>
      </c>
      <c r="B2648" s="40" t="inlineStr">
        <is>
          <t>2020063000121006007/25/07/2022 Vdl.240.000.00 Eur KesinTem.Mek/Türkiye Halkbankası A.ş.7.7082</t>
        </is>
      </c>
      <c r="C2648" s="40" t="inlineStr">
        <is>
          <t>TRY</t>
        </is>
      </c>
      <c r="D2648" s="40" t="inlineStr">
        <is>
          <t>GİTAŞ MERKEZ</t>
        </is>
      </c>
      <c r="E2648" s="38" t="n">
        <v>0</v>
      </c>
      <c r="F2648" s="38" t="n">
        <v>1849968</v>
      </c>
      <c r="G2648" s="38" t="n">
        <v>-1849968</v>
      </c>
      <c r="H2648" s="40" t="inlineStr">
        <is>
          <t>Alacak</t>
        </is>
      </c>
      <c r="I2648" s="38" t="n">
        <v>0</v>
      </c>
      <c r="J2648" s="38" t="n">
        <v>1849968</v>
      </c>
      <c r="K2648" s="38" t="n">
        <v>-1849968</v>
      </c>
      <c r="L2648" s="40" t="inlineStr">
        <is>
          <t>Alacak</t>
        </is>
      </c>
    </row>
    <row r="2649" s="34">
      <c r="A2649" s="40" t="inlineStr">
        <is>
          <t>900.01.01.0024</t>
        </is>
      </c>
      <c r="B2649" s="40" t="inlineStr">
        <is>
          <t>2084KRTM21000017/22/03/2022 Vdl.850.000.00 Eur KesinTem.Mek/Ziraat Bankası 8.5374</t>
        </is>
      </c>
      <c r="C2649" s="40" t="inlineStr">
        <is>
          <t>TRY</t>
        </is>
      </c>
      <c r="D2649" s="40" t="inlineStr">
        <is>
          <t>GİTAŞ MERKEZ</t>
        </is>
      </c>
      <c r="E2649" s="38" t="n">
        <v>0</v>
      </c>
      <c r="F2649" s="38" t="n">
        <v>7256790</v>
      </c>
      <c r="G2649" s="38" t="n">
        <v>-7256790</v>
      </c>
      <c r="H2649" s="40" t="inlineStr">
        <is>
          <t>Alacak</t>
        </is>
      </c>
      <c r="I2649" s="38" t="n">
        <v>0</v>
      </c>
      <c r="J2649" s="38" t="n">
        <v>7256790</v>
      </c>
      <c r="K2649" s="38" t="n">
        <v>-7256790</v>
      </c>
      <c r="L2649" s="40" t="inlineStr">
        <is>
          <t>Alacak</t>
        </is>
      </c>
    </row>
    <row r="2650" s="34">
      <c r="A2650" s="40" t="inlineStr">
        <is>
          <t>900.01.01.0025</t>
        </is>
      </c>
      <c r="B2650" s="40" t="inlineStr">
        <is>
          <t>2084KRTM21000019/16/06/2022 Vdl.34.000.00 Eur KesinTem.Mek/Ziraat Bankası 8.5374</t>
        </is>
      </c>
      <c r="C2650" s="40" t="inlineStr">
        <is>
          <t>TRY</t>
        </is>
      </c>
      <c r="D2650" s="40" t="inlineStr">
        <is>
          <t>GİTAŞ MERKEZ</t>
        </is>
      </c>
      <c r="E2650" s="38" t="n">
        <v>0</v>
      </c>
      <c r="F2650" s="38" t="n">
        <v>290271.6</v>
      </c>
      <c r="G2650" s="38" t="n">
        <v>-290271.6</v>
      </c>
      <c r="H2650" s="40" t="inlineStr">
        <is>
          <t>Alacak</t>
        </is>
      </c>
      <c r="I2650" s="38" t="n">
        <v>0</v>
      </c>
      <c r="J2650" s="38" t="n">
        <v>290271.6</v>
      </c>
      <c r="K2650" s="38" t="n">
        <v>-290271.6</v>
      </c>
      <c r="L2650" s="40" t="inlineStr">
        <is>
          <t>Alacak</t>
        </is>
      </c>
    </row>
    <row r="2651" s="34">
      <c r="A2651" s="40" t="inlineStr">
        <is>
          <t>900.01.01.0026</t>
        </is>
      </c>
      <c r="B2651" s="40" t="inlineStr">
        <is>
          <t>2021093000641043753/25/07/2022 Vdl.3.000.000.00 Eur KesinTem.Mek/İş Bankası 10.3135</t>
        </is>
      </c>
      <c r="C2651" s="40" t="inlineStr">
        <is>
          <t>TRY</t>
        </is>
      </c>
      <c r="D2651" s="40" t="inlineStr">
        <is>
          <t>GİTAŞ MERKEZ</t>
        </is>
      </c>
      <c r="E2651" s="38" t="n">
        <v>0</v>
      </c>
      <c r="F2651" s="38" t="n">
        <v>30940500</v>
      </c>
      <c r="G2651" s="38" t="n">
        <v>-30940500</v>
      </c>
      <c r="H2651" s="40" t="inlineStr">
        <is>
          <t>Alacak</t>
        </is>
      </c>
      <c r="I2651" s="38" t="n">
        <v>0</v>
      </c>
      <c r="J2651" s="38" t="n">
        <v>30940500</v>
      </c>
      <c r="K2651" s="38" t="n">
        <v>-30940500</v>
      </c>
      <c r="L2651" s="40" t="inlineStr">
        <is>
          <t>Alacak</t>
        </is>
      </c>
    </row>
    <row r="2652" s="34">
      <c r="A2652" s="40" t="inlineStr">
        <is>
          <t>900.01.01.0027</t>
        </is>
      </c>
      <c r="B2652" s="40" t="inlineStr">
        <is>
          <t>2021093000641043754/25/07/2022 Vdl.3.000.000.00 Eur KesinTem.Mek/İş Bankası 10.3135</t>
        </is>
      </c>
      <c r="C2652" s="40" t="inlineStr">
        <is>
          <t>TRY</t>
        </is>
      </c>
      <c r="D2652" s="40" t="inlineStr">
        <is>
          <t>GİTAŞ MERKEZ</t>
        </is>
      </c>
      <c r="E2652" s="38" t="n">
        <v>0</v>
      </c>
      <c r="F2652" s="38" t="n">
        <v>30940500</v>
      </c>
      <c r="G2652" s="38" t="n">
        <v>-30940500</v>
      </c>
      <c r="H2652" s="40" t="inlineStr">
        <is>
          <t>Alacak</t>
        </is>
      </c>
      <c r="I2652" s="38" t="n">
        <v>0</v>
      </c>
      <c r="J2652" s="38" t="n">
        <v>30940500</v>
      </c>
      <c r="K2652" s="38" t="n">
        <v>-30940500</v>
      </c>
      <c r="L2652" s="40" t="inlineStr">
        <is>
          <t>Alacak</t>
        </is>
      </c>
    </row>
    <row r="2653" s="34">
      <c r="A2653" s="40" t="inlineStr">
        <is>
          <t>900.01.01.0028</t>
        </is>
      </c>
      <c r="B2653" s="40" t="inlineStr">
        <is>
          <t>2021093000641043755/25/07/2022 Vdl.240.000.00 Eur KesinTem.Mek/İş Bankası 10.3135</t>
        </is>
      </c>
      <c r="C2653" s="40" t="inlineStr">
        <is>
          <t>TRY</t>
        </is>
      </c>
      <c r="D2653" s="40" t="inlineStr">
        <is>
          <t>GİTAŞ MERKEZ</t>
        </is>
      </c>
      <c r="E2653" s="38" t="n">
        <v>0</v>
      </c>
      <c r="F2653" s="38" t="n">
        <v>2475240</v>
      </c>
      <c r="G2653" s="38" t="n">
        <v>-2475240</v>
      </c>
      <c r="H2653" s="40" t="inlineStr">
        <is>
          <t>Alacak</t>
        </is>
      </c>
      <c r="I2653" s="38" t="n">
        <v>0</v>
      </c>
      <c r="J2653" s="38" t="n">
        <v>2475240</v>
      </c>
      <c r="K2653" s="38" t="n">
        <v>-2475240</v>
      </c>
      <c r="L2653" s="40" t="inlineStr">
        <is>
          <t>Alacak</t>
        </is>
      </c>
    </row>
    <row r="2654" s="34">
      <c r="A2654" s="40" t="inlineStr">
        <is>
          <t>900.01.01.0029</t>
        </is>
      </c>
      <c r="B2654" s="40" t="inlineStr">
        <is>
          <t>2021093000641043757/25/07/2022 Vdl.240.000.00 Eur KesinTem.Mek/İş Bankası 10.3135</t>
        </is>
      </c>
      <c r="C2654" s="40" t="inlineStr">
        <is>
          <t>TRY</t>
        </is>
      </c>
      <c r="D2654" s="40" t="inlineStr">
        <is>
          <t>GİTAŞ MERKEZ</t>
        </is>
      </c>
      <c r="E2654" s="38" t="n">
        <v>0</v>
      </c>
      <c r="F2654" s="38" t="n">
        <v>2475240</v>
      </c>
      <c r="G2654" s="38" t="n">
        <v>-2475240</v>
      </c>
      <c r="H2654" s="40" t="inlineStr">
        <is>
          <t>Alacak</t>
        </is>
      </c>
      <c r="I2654" s="38" t="n">
        <v>0</v>
      </c>
      <c r="J2654" s="38" t="n">
        <v>2475240</v>
      </c>
      <c r="K2654" s="38" t="n">
        <v>-2475240</v>
      </c>
      <c r="L2654" s="40" t="inlineStr">
        <is>
          <t>Alacak</t>
        </is>
      </c>
    </row>
    <row r="2655" s="34">
      <c r="A2655" s="40" t="inlineStr">
        <is>
          <t>900.01.01.0030</t>
        </is>
      </c>
      <c r="B2655" s="40" t="inlineStr">
        <is>
          <t>2021110800641046845/19/07/2022 Vdl.2.000.000,00 Eur KesinTem.Mek/İş Bankası Kur:11.2013</t>
        </is>
      </c>
      <c r="C2655" s="40" t="inlineStr">
        <is>
          <t>TRY</t>
        </is>
      </c>
      <c r="D2655" s="40" t="inlineStr">
        <is>
          <t>GİTAŞ MERKEZ</t>
        </is>
      </c>
      <c r="E2655" s="38" t="n">
        <v>0</v>
      </c>
      <c r="F2655" s="38" t="n">
        <v>22402600</v>
      </c>
      <c r="G2655" s="38" t="n">
        <v>-22402600</v>
      </c>
      <c r="H2655" s="40" t="inlineStr">
        <is>
          <t>Alacak</t>
        </is>
      </c>
      <c r="I2655" s="38" t="n">
        <v>0</v>
      </c>
      <c r="J2655" s="38" t="n">
        <v>22402600</v>
      </c>
      <c r="K2655" s="38" t="n">
        <v>-22402600</v>
      </c>
      <c r="L2655" s="40" t="inlineStr">
        <is>
          <t>Alacak</t>
        </is>
      </c>
    </row>
    <row r="2656" s="34">
      <c r="A2656" s="40" t="inlineStr">
        <is>
          <t>900.01.01.0031</t>
        </is>
      </c>
      <c r="B2656" s="40" t="inlineStr">
        <is>
          <t>2021110800641046817/13/09/2022 Vdl.160.000,00 Eur KesinTem.Mek/İş Bankası Kur:11,2013</t>
        </is>
      </c>
      <c r="C2656" s="40" t="inlineStr">
        <is>
          <t>TRY</t>
        </is>
      </c>
      <c r="D2656" s="40" t="inlineStr">
        <is>
          <t>GİTAŞ MERKEZ</t>
        </is>
      </c>
      <c r="E2656" s="38" t="n">
        <v>0</v>
      </c>
      <c r="F2656" s="38" t="n">
        <v>1792208</v>
      </c>
      <c r="G2656" s="38" t="n">
        <v>-1792208</v>
      </c>
      <c r="H2656" s="40" t="inlineStr">
        <is>
          <t>Alacak</t>
        </is>
      </c>
      <c r="I2656" s="38" t="n">
        <v>0</v>
      </c>
      <c r="J2656" s="38" t="n">
        <v>1792208</v>
      </c>
      <c r="K2656" s="38" t="n">
        <v>-1792208</v>
      </c>
      <c r="L2656" s="40" t="inlineStr">
        <is>
          <t>Alacak</t>
        </is>
      </c>
    </row>
    <row r="2657" s="34">
      <c r="A2657" s="40" t="inlineStr">
        <is>
          <t>900.01.01.0032</t>
        </is>
      </c>
      <c r="B2657" s="40" t="inlineStr">
        <is>
          <t>7100519547 Nolu 04.02.2022 CK Akdeniz Elektrik A.ş.Süresiz Teminat Mektubu Vakıfbank</t>
        </is>
      </c>
      <c r="C2657" s="40" t="inlineStr">
        <is>
          <t>TRY</t>
        </is>
      </c>
      <c r="D2657" s="40" t="inlineStr">
        <is>
          <t>GİTAŞ MERKEZ</t>
        </is>
      </c>
      <c r="E2657" s="38" t="n">
        <v>0</v>
      </c>
      <c r="F2657" s="38" t="n">
        <v>1661737.24</v>
      </c>
      <c r="G2657" s="38" t="n">
        <v>-1661737.24</v>
      </c>
      <c r="H2657" s="40" t="inlineStr">
        <is>
          <t>Alacak</t>
        </is>
      </c>
      <c r="I2657" s="38" t="n">
        <v>0</v>
      </c>
      <c r="J2657" s="38" t="n">
        <v>1661737.24</v>
      </c>
      <c r="K2657" s="38" t="n">
        <v>-1661737.24</v>
      </c>
      <c r="L2657" s="40" t="inlineStr">
        <is>
          <t>Alacak</t>
        </is>
      </c>
    </row>
    <row r="2658" s="34">
      <c r="A2658" s="40" t="inlineStr">
        <is>
          <t>900.01.01.0033</t>
        </is>
      </c>
      <c r="B2658" s="40" t="inlineStr">
        <is>
          <t>7100519540 Nolu 04.02.2022 CK Akdeniz Elektrik A.ş.Süresiz Teminat Mektubu Vakıfbank</t>
        </is>
      </c>
      <c r="C2658" s="40" t="inlineStr">
        <is>
          <t>TRY</t>
        </is>
      </c>
      <c r="D2658" s="40" t="inlineStr">
        <is>
          <t>GİTAŞ MERKEZ</t>
        </is>
      </c>
      <c r="E2658" s="38" t="n">
        <v>0</v>
      </c>
      <c r="F2658" s="38" t="n">
        <v>1265456.13</v>
      </c>
      <c r="G2658" s="38" t="n">
        <v>-1265456.13</v>
      </c>
      <c r="H2658" s="40" t="inlineStr">
        <is>
          <t>Alacak</t>
        </is>
      </c>
      <c r="I2658" s="38" t="n">
        <v>0</v>
      </c>
      <c r="J2658" s="38" t="n">
        <v>1265456.13</v>
      </c>
      <c r="K2658" s="38" t="n">
        <v>-1265456.13</v>
      </c>
      <c r="L2658" s="40" t="inlineStr">
        <is>
          <t>Alacak</t>
        </is>
      </c>
    </row>
    <row r="2659" s="34">
      <c r="A2659" s="40" t="inlineStr">
        <is>
          <t>900.01.01.0035</t>
        </is>
      </c>
      <c r="B2659" s="40" t="inlineStr">
        <is>
          <t>Manavgat 2.İş Mahkemesi 2024/420 Esas 2025/313 Karar Sayılı Vakıfbank 7100985987 NL.(Süresiz)</t>
        </is>
      </c>
      <c r="C2659" s="40" t="inlineStr">
        <is>
          <t>TRY</t>
        </is>
      </c>
      <c r="D2659" s="40" t="inlineStr">
        <is>
          <t>GİTAŞ MERKEZ</t>
        </is>
      </c>
      <c r="E2659" s="38" t="n">
        <v>0</v>
      </c>
      <c r="F2659" s="38" t="n">
        <v>284000</v>
      </c>
      <c r="G2659" s="38" t="n">
        <v>-284000</v>
      </c>
      <c r="H2659" s="40" t="inlineStr">
        <is>
          <t>Alacak</t>
        </is>
      </c>
      <c r="I2659" s="38" t="n">
        <v>0</v>
      </c>
      <c r="J2659" s="38" t="n">
        <v>284000</v>
      </c>
      <c r="K2659" s="38" t="n">
        <v>-284000</v>
      </c>
      <c r="L2659" s="40" t="inlineStr">
        <is>
          <t>Alacak</t>
        </is>
      </c>
    </row>
    <row r="2660" s="34">
      <c r="A2660" s="40" t="inlineStr">
        <is>
          <t>900.01.01.0036</t>
        </is>
      </c>
      <c r="B2660" s="40" t="inlineStr">
        <is>
          <t>19000053-23.05.2022 Tarihli Tem.Mekt./Türkiye İhr.Bank.</t>
        </is>
      </c>
      <c r="C2660" s="40" t="inlineStr">
        <is>
          <t>TRY</t>
        </is>
      </c>
      <c r="D2660" s="40" t="inlineStr">
        <is>
          <t>ROYAL ADAM EVE</t>
        </is>
      </c>
      <c r="E2660" s="38" t="n">
        <v>0</v>
      </c>
      <c r="F2660" s="38" t="n">
        <v>3278258.75</v>
      </c>
      <c r="G2660" s="38" t="n">
        <v>-3278258.75</v>
      </c>
      <c r="H2660" s="40" t="inlineStr">
        <is>
          <t>Alacak</t>
        </is>
      </c>
      <c r="I2660" s="38" t="n">
        <v>0</v>
      </c>
      <c r="J2660" s="38" t="n">
        <v>3278258.75</v>
      </c>
      <c r="K2660" s="38" t="n">
        <v>-3278258.75</v>
      </c>
      <c r="L2660" s="40" t="inlineStr">
        <is>
          <t>Alacak</t>
        </is>
      </c>
    </row>
    <row r="2661" s="34">
      <c r="A2661" s="40" t="inlineStr">
        <is>
          <t>900.01.01.0037</t>
        </is>
      </c>
      <c r="B2661" s="40" t="inlineStr">
        <is>
          <t>641012434-25.07.2022 Tarihli Tem.Mekt./Türkiye İhr.Bank.</t>
        </is>
      </c>
      <c r="C2661" s="40" t="inlineStr">
        <is>
          <t>TRY</t>
        </is>
      </c>
      <c r="D2661" s="40" t="inlineStr">
        <is>
          <t>ROYAL ADAM EVE</t>
        </is>
      </c>
      <c r="E2661" s="38" t="n">
        <v>0</v>
      </c>
      <c r="F2661" s="38" t="n">
        <v>613760</v>
      </c>
      <c r="G2661" s="38" t="n">
        <v>-613760</v>
      </c>
      <c r="H2661" s="40" t="inlineStr">
        <is>
          <t>Alacak</t>
        </is>
      </c>
      <c r="I2661" s="38" t="n">
        <v>0</v>
      </c>
      <c r="J2661" s="38" t="n">
        <v>613760</v>
      </c>
      <c r="K2661" s="38" t="n">
        <v>-613760</v>
      </c>
      <c r="L2661" s="40" t="inlineStr">
        <is>
          <t>Alacak</t>
        </is>
      </c>
    </row>
    <row r="2662" s="34">
      <c r="A2662" s="40" t="inlineStr">
        <is>
          <t>900.01.01.0038</t>
        </is>
      </c>
      <c r="B2662" s="40" t="inlineStr">
        <is>
          <t>641012435-25.07.2022 Tarihli Tem.Mekt./Türkiye İhr.Bank.</t>
        </is>
      </c>
      <c r="C2662" s="40" t="inlineStr">
        <is>
          <t>TRY</t>
        </is>
      </c>
      <c r="D2662" s="40" t="inlineStr">
        <is>
          <t>ROYAL ADAM EVE</t>
        </is>
      </c>
      <c r="E2662" s="38" t="n">
        <v>0</v>
      </c>
      <c r="F2662" s="38" t="n">
        <v>7672000</v>
      </c>
      <c r="G2662" s="38" t="n">
        <v>-7672000</v>
      </c>
      <c r="H2662" s="40" t="inlineStr">
        <is>
          <t>Alacak</t>
        </is>
      </c>
      <c r="I2662" s="38" t="n">
        <v>0</v>
      </c>
      <c r="J2662" s="38" t="n">
        <v>7672000</v>
      </c>
      <c r="K2662" s="38" t="n">
        <v>-7672000</v>
      </c>
      <c r="L2662" s="40" t="inlineStr">
        <is>
          <t>Alacak</t>
        </is>
      </c>
    </row>
    <row r="2663" s="34">
      <c r="A2663" s="40" t="inlineStr">
        <is>
          <t>900.01.01.0042</t>
        </is>
      </c>
      <c r="B2663" s="40" t="inlineStr">
        <is>
          <t>7100519543-Süresiz Tem.Mekt./Ck Akdeniz Elkt.</t>
        </is>
      </c>
      <c r="C2663" s="40" t="inlineStr">
        <is>
          <t>TRY</t>
        </is>
      </c>
      <c r="D2663" s="40" t="inlineStr">
        <is>
          <t>ROYAL ADAM EVE</t>
        </is>
      </c>
      <c r="E2663" s="38" t="n">
        <v>0</v>
      </c>
      <c r="F2663" s="38" t="n">
        <v>50937.13</v>
      </c>
      <c r="G2663" s="38" t="n">
        <v>-50937.13</v>
      </c>
      <c r="H2663" s="40" t="inlineStr">
        <is>
          <t>Alacak</t>
        </is>
      </c>
      <c r="I2663" s="38" t="n">
        <v>0</v>
      </c>
      <c r="J2663" s="38" t="n">
        <v>50937.13</v>
      </c>
      <c r="K2663" s="38" t="n">
        <v>-50937.13</v>
      </c>
      <c r="L2663" s="40" t="inlineStr">
        <is>
          <t>Alacak</t>
        </is>
      </c>
    </row>
    <row r="2664" s="34">
      <c r="A2664" s="40" t="inlineStr">
        <is>
          <t>900.01.01.0043</t>
        </is>
      </c>
      <c r="B2664" s="40" t="inlineStr">
        <is>
          <t>7100591798-Süresiz Tem.Mekt./CK Akdeniz Elkt.</t>
        </is>
      </c>
      <c r="C2664" s="40" t="inlineStr">
        <is>
          <t>TRY</t>
        </is>
      </c>
      <c r="D2664" s="40" t="inlineStr">
        <is>
          <t>ROYAL ADAM EVE</t>
        </is>
      </c>
      <c r="E2664" s="38" t="n">
        <v>0</v>
      </c>
      <c r="F2664" s="38" t="n">
        <v>196102.15</v>
      </c>
      <c r="G2664" s="38" t="n">
        <v>-196102.15</v>
      </c>
      <c r="H2664" s="40" t="inlineStr">
        <is>
          <t>Alacak</t>
        </is>
      </c>
      <c r="I2664" s="38" t="n">
        <v>0</v>
      </c>
      <c r="J2664" s="38" t="n">
        <v>196102.15</v>
      </c>
      <c r="K2664" s="38" t="n">
        <v>-196102.15</v>
      </c>
      <c r="L2664" s="40" t="inlineStr">
        <is>
          <t>Alacak</t>
        </is>
      </c>
    </row>
    <row r="2665" s="34">
      <c r="A2665" s="40" t="inlineStr">
        <is>
          <t>900.01.01.0045</t>
        </is>
      </c>
      <c r="B2665" s="40" t="inlineStr">
        <is>
          <t>798986 NL/31.12.2024 Vad.5.360.000 TL-Tem.Mek/Sesasu Ltd.Şti.</t>
        </is>
      </c>
      <c r="C2665" s="40" t="inlineStr">
        <is>
          <t>TRY</t>
        </is>
      </c>
      <c r="D2665" s="40" t="inlineStr">
        <is>
          <t>ROYAL ADAM EVE</t>
        </is>
      </c>
      <c r="E2665" s="38" t="n">
        <v>0</v>
      </c>
      <c r="F2665" s="38" t="n">
        <v>5360000</v>
      </c>
      <c r="G2665" s="38" t="n">
        <v>-5360000</v>
      </c>
      <c r="H2665" s="40" t="inlineStr">
        <is>
          <t>Alacak</t>
        </is>
      </c>
      <c r="I2665" s="38" t="n">
        <v>0</v>
      </c>
      <c r="J2665" s="38" t="n">
        <v>5360000</v>
      </c>
      <c r="K2665" s="38" t="n">
        <v>-5360000</v>
      </c>
      <c r="L2665" s="40" t="inlineStr">
        <is>
          <t>Alacak</t>
        </is>
      </c>
    </row>
    <row r="2666" s="34">
      <c r="A2666" s="40" t="inlineStr">
        <is>
          <t>900.01.01.0057</t>
        </is>
      </c>
      <c r="B2666" s="40" t="inlineStr">
        <is>
          <t>2084KRTM25000253 Nl.2025/125 Karar Saylı Ziraat Bankası Teminat Mektubu 210.000,00 TL</t>
        </is>
      </c>
      <c r="C2666" s="40" t="inlineStr">
        <is>
          <t>TRY</t>
        </is>
      </c>
      <c r="D2666" s="40" t="inlineStr">
        <is>
          <t>GİTAŞ MERKEZ</t>
        </is>
      </c>
      <c r="E2666" s="38" t="n">
        <v>210000</v>
      </c>
      <c r="F2666" s="38" t="n">
        <v>210000</v>
      </c>
      <c r="G2666" s="38" t="n">
        <v>0</v>
      </c>
      <c r="I2666" s="38" t="n">
        <v>210000</v>
      </c>
      <c r="J2666" s="38" t="n">
        <v>210000</v>
      </c>
      <c r="K2666" s="38" t="n">
        <v>0</v>
      </c>
    </row>
    <row r="2667" s="34">
      <c r="A2667" s="40" t="inlineStr">
        <is>
          <t>900.01.01.0058</t>
        </is>
      </c>
      <c r="B2667" s="40" t="inlineStr">
        <is>
          <t>2084KRTM26000371 Nl.2026/203 Karar Saylı Ziraat Bankası Teminat Mektubu 225.000,00 TL</t>
        </is>
      </c>
      <c r="C2667" s="40" t="inlineStr">
        <is>
          <t>TRY</t>
        </is>
      </c>
      <c r="D2667" s="40" t="inlineStr">
        <is>
          <t>ROYAL ADAM EVE</t>
        </is>
      </c>
      <c r="E2667" s="38" t="n">
        <v>225000</v>
      </c>
      <c r="F2667" s="38" t="n">
        <v>0</v>
      </c>
      <c r="G2667" s="38" t="n">
        <v>225000</v>
      </c>
      <c r="H2667" s="40" t="inlineStr">
        <is>
          <t>Borç</t>
        </is>
      </c>
      <c r="I2667" s="38" t="n">
        <v>225000</v>
      </c>
      <c r="J2667" s="38" t="n">
        <v>0</v>
      </c>
      <c r="K2667" s="38" t="n">
        <v>225000</v>
      </c>
      <c r="L2667" s="40" t="inlineStr">
        <is>
          <t>Borç</t>
        </is>
      </c>
    </row>
    <row r="2668" s="34">
      <c r="A2668" s="40" t="inlineStr">
        <is>
          <t>900.01.01.0060</t>
        </is>
      </c>
      <c r="B2668" s="40" t="inlineStr">
        <is>
          <t>2084KRTM26000380 Nl.2026/283 Karar Saylı Ziraat Bankası Teminat Mektubu 870.000,00 TL</t>
        </is>
      </c>
      <c r="C2668" s="40" t="inlineStr">
        <is>
          <t>TRY</t>
        </is>
      </c>
      <c r="D2668" s="40" t="inlineStr">
        <is>
          <t>GİTAŞ MERKEZ</t>
        </is>
      </c>
      <c r="E2668" s="38" t="n">
        <v>870000</v>
      </c>
      <c r="F2668" s="38" t="n">
        <v>0</v>
      </c>
      <c r="G2668" s="38" t="n">
        <v>870000</v>
      </c>
      <c r="H2668" s="40" t="inlineStr">
        <is>
          <t>Borç</t>
        </is>
      </c>
      <c r="I2668" s="38" t="n">
        <v>870000</v>
      </c>
      <c r="J2668" s="38" t="n">
        <v>0</v>
      </c>
      <c r="K2668" s="38" t="n">
        <v>870000</v>
      </c>
      <c r="L2668" s="40" t="inlineStr">
        <is>
          <t>Borç</t>
        </is>
      </c>
    </row>
    <row r="2669" s="34">
      <c r="A2669" s="40" t="inlineStr">
        <is>
          <t>900.01.01.0062</t>
        </is>
      </c>
      <c r="B2669" s="40" t="inlineStr">
        <is>
          <t>2084KRTM26000398 Nl.2026/150 Karar Saylı Ziraat Bankası Teminat Mektubu 670.000,00 TL</t>
        </is>
      </c>
      <c r="C2669" s="40" t="inlineStr">
        <is>
          <t>TRY</t>
        </is>
      </c>
      <c r="D2669" s="40" t="inlineStr">
        <is>
          <t>GİTAŞ MERKEZ</t>
        </is>
      </c>
      <c r="E2669" s="38" t="n">
        <v>670000</v>
      </c>
      <c r="F2669" s="38" t="n">
        <v>0</v>
      </c>
      <c r="G2669" s="38" t="n">
        <v>670000</v>
      </c>
      <c r="H2669" s="40" t="inlineStr">
        <is>
          <t>Borç</t>
        </is>
      </c>
      <c r="I2669" s="38" t="n">
        <v>670000</v>
      </c>
      <c r="J2669" s="38" t="n">
        <v>0</v>
      </c>
      <c r="K2669" s="38" t="n">
        <v>670000</v>
      </c>
      <c r="L2669" s="40" t="inlineStr">
        <is>
          <t>Borç</t>
        </is>
      </c>
    </row>
    <row r="2670" s="34">
      <c r="A2670" s="40" t="inlineStr">
        <is>
          <t>900.01.01.0063</t>
        </is>
      </c>
      <c r="B2670" s="40" t="inlineStr">
        <is>
          <t>202500212375Nl.2025/179 Karar Saylı Yapıkredi Bankası Teminat Mektubu 1.100.000,00 TL</t>
        </is>
      </c>
      <c r="C2670" s="40" t="inlineStr">
        <is>
          <t>TRY</t>
        </is>
      </c>
      <c r="D2670" s="40" t="inlineStr">
        <is>
          <t>GİTAŞ MERKEZ</t>
        </is>
      </c>
      <c r="E2670" s="38" t="n">
        <v>1100000</v>
      </c>
      <c r="F2670" s="38" t="n">
        <v>0</v>
      </c>
      <c r="G2670" s="38" t="n">
        <v>1100000</v>
      </c>
      <c r="H2670" s="40" t="inlineStr">
        <is>
          <t>Borç</t>
        </is>
      </c>
      <c r="I2670" s="38" t="n">
        <v>1100000</v>
      </c>
      <c r="J2670" s="38" t="n">
        <v>0</v>
      </c>
      <c r="K2670" s="38" t="n">
        <v>1100000</v>
      </c>
      <c r="L2670" s="40" t="inlineStr">
        <is>
          <t>Borç</t>
        </is>
      </c>
    </row>
    <row r="2671" s="34">
      <c r="A2671" s="40" t="inlineStr">
        <is>
          <t>900.01.01.0064</t>
        </is>
      </c>
      <c r="B2671" s="40" t="inlineStr">
        <is>
          <t>7101004647Nl.2025/302 Karar Saylı Vakıfbank  Teminat Mektubu 350.000,00 TL</t>
        </is>
      </c>
      <c r="C2671" s="40" t="inlineStr">
        <is>
          <t>TRY</t>
        </is>
      </c>
      <c r="D2671" s="40" t="inlineStr">
        <is>
          <t>GİTAŞ MERKEZ</t>
        </is>
      </c>
      <c r="E2671" s="38" t="n">
        <v>350000</v>
      </c>
      <c r="F2671" s="38" t="n">
        <v>0</v>
      </c>
      <c r="G2671" s="38" t="n">
        <v>350000</v>
      </c>
      <c r="H2671" s="40" t="inlineStr">
        <is>
          <t>Borç</t>
        </is>
      </c>
      <c r="I2671" s="38" t="n">
        <v>350000</v>
      </c>
      <c r="J2671" s="38" t="n">
        <v>0</v>
      </c>
      <c r="K2671" s="38" t="n">
        <v>350000</v>
      </c>
      <c r="L2671" s="40" t="inlineStr">
        <is>
          <t>Borç</t>
        </is>
      </c>
    </row>
    <row r="2672" s="34">
      <c r="A2672" s="40" t="inlineStr">
        <is>
          <t>900.01.01.0065</t>
        </is>
      </c>
      <c r="B2672" s="40" t="inlineStr">
        <is>
          <t>Ck Akdeniz Seri No 822243 21.10.2022 Trh 1.449.976,67 TL Vakıflar Bankası</t>
        </is>
      </c>
      <c r="C2672" s="40" t="inlineStr">
        <is>
          <t>TRY</t>
        </is>
      </c>
      <c r="D2672" s="40" t="inlineStr">
        <is>
          <t>SERTAŞ MERKEZ</t>
        </is>
      </c>
      <c r="E2672" s="38" t="n">
        <v>1449976.67</v>
      </c>
      <c r="F2672" s="38" t="n">
        <v>0</v>
      </c>
      <c r="G2672" s="38" t="n">
        <v>1449976.67</v>
      </c>
      <c r="H2672" s="40" t="inlineStr">
        <is>
          <t>Borç</t>
        </is>
      </c>
      <c r="I2672" s="38" t="n">
        <v>1449976.67</v>
      </c>
      <c r="J2672" s="38" t="n">
        <v>0</v>
      </c>
      <c r="K2672" s="38" t="n">
        <v>1449976.67</v>
      </c>
      <c r="L2672" s="40" t="inlineStr">
        <is>
          <t>Borç</t>
        </is>
      </c>
    </row>
    <row r="2673" s="34">
      <c r="A2673" s="40" t="inlineStr">
        <is>
          <t>900.01.01.0066</t>
        </is>
      </c>
      <c r="B2673" s="40" t="inlineStr">
        <is>
          <t>13.03.2023 Seri No:822264 Epdk 2.749.013 TL  Vakıflar Bankası</t>
        </is>
      </c>
      <c r="C2673" s="40" t="inlineStr">
        <is>
          <t>TRY</t>
        </is>
      </c>
      <c r="D2673" s="40" t="inlineStr">
        <is>
          <t>SERTAŞ MERKEZ</t>
        </is>
      </c>
      <c r="E2673" s="38" t="n">
        <v>2749013</v>
      </c>
      <c r="F2673" s="38" t="n">
        <v>0</v>
      </c>
      <c r="G2673" s="38" t="n">
        <v>2749013</v>
      </c>
      <c r="H2673" s="40" t="inlineStr">
        <is>
          <t>Borç</t>
        </is>
      </c>
      <c r="I2673" s="38" t="n">
        <v>2749013</v>
      </c>
      <c r="J2673" s="38" t="n">
        <v>0</v>
      </c>
      <c r="K2673" s="38" t="n">
        <v>2749013</v>
      </c>
      <c r="L2673" s="40" t="inlineStr">
        <is>
          <t>Borç</t>
        </is>
      </c>
    </row>
    <row r="2674" s="34">
      <c r="A2674" s="40" t="inlineStr">
        <is>
          <t>900.02</t>
        </is>
      </c>
      <c r="B2674" s="40" t="inlineStr">
        <is>
          <t>TEMINAT MEKTUBU ALANLAR</t>
        </is>
      </c>
      <c r="C2674" s="40" t="inlineStr">
        <is>
          <t>TRY</t>
        </is>
      </c>
      <c r="E2674" s="38" t="n">
        <v>33857943</v>
      </c>
      <c r="F2674" s="38" t="n">
        <v>1071144371.65</v>
      </c>
      <c r="G2674" s="38" t="n">
        <v>-1037286428.65</v>
      </c>
      <c r="I2674" s="38" t="n">
        <v>33857943</v>
      </c>
      <c r="J2674" s="38" t="n">
        <v>1071144371.65</v>
      </c>
      <c r="K2674" s="38" t="n">
        <v>-1037286428.65</v>
      </c>
    </row>
    <row r="2675" s="34">
      <c r="A2675" s="40" t="inlineStr">
        <is>
          <t>900.02.02.0005</t>
        </is>
      </c>
      <c r="B2675" s="40" t="inlineStr">
        <is>
          <t>Ipragaz Teminat Senedi 15,000 Euro</t>
        </is>
      </c>
      <c r="C2675" s="40" t="inlineStr">
        <is>
          <t>TRY</t>
        </is>
      </c>
      <c r="D2675" s="40" t="inlineStr">
        <is>
          <t>SERTAŞ MERKEZ</t>
        </is>
      </c>
      <c r="E2675" s="38" t="n">
        <v>0</v>
      </c>
      <c r="F2675" s="38" t="n">
        <v>15000</v>
      </c>
      <c r="G2675" s="38" t="n">
        <v>-15000</v>
      </c>
      <c r="H2675" s="40" t="inlineStr">
        <is>
          <t>Alacak</t>
        </is>
      </c>
      <c r="I2675" s="38" t="n">
        <v>0</v>
      </c>
      <c r="J2675" s="38" t="n">
        <v>15000</v>
      </c>
      <c r="K2675" s="38" t="n">
        <v>-15000</v>
      </c>
      <c r="L2675" s="40" t="inlineStr">
        <is>
          <t>Alacak</t>
        </is>
      </c>
    </row>
    <row r="2676" s="34">
      <c r="A2676" s="40" t="inlineStr">
        <is>
          <t>900.02.02.0011</t>
        </is>
      </c>
      <c r="B2676" s="40" t="inlineStr">
        <is>
          <t>2084Krtm14/08.02.2021 Vd.2Mly Eur-Tem.Mek/Eximbank.6,6355</t>
        </is>
      </c>
      <c r="C2676" s="40" t="inlineStr">
        <is>
          <t>TRY</t>
        </is>
      </c>
      <c r="D2676" s="40" t="inlineStr">
        <is>
          <t>SERTAŞ MERKEZ</t>
        </is>
      </c>
      <c r="E2676" s="38" t="n">
        <v>0</v>
      </c>
      <c r="F2676" s="38" t="n">
        <v>13271000</v>
      </c>
      <c r="G2676" s="38" t="n">
        <v>-13271000</v>
      </c>
      <c r="H2676" s="40" t="inlineStr">
        <is>
          <t>Alacak</t>
        </is>
      </c>
      <c r="I2676" s="38" t="n">
        <v>0</v>
      </c>
      <c r="J2676" s="38" t="n">
        <v>13271000</v>
      </c>
      <c r="K2676" s="38" t="n">
        <v>-13271000</v>
      </c>
      <c r="L2676" s="40" t="inlineStr">
        <is>
          <t>Alacak</t>
        </is>
      </c>
    </row>
    <row r="2677" s="34">
      <c r="A2677" s="40" t="inlineStr">
        <is>
          <t>900.02.02.0012</t>
        </is>
      </c>
      <c r="B2677" s="40" t="inlineStr">
        <is>
          <t>2084Krtm16/06.05.2022 Vd.130.000 Eur-Tem.Mek/Eximbank.6,6355</t>
        </is>
      </c>
      <c r="C2677" s="40" t="inlineStr">
        <is>
          <t>TRY</t>
        </is>
      </c>
      <c r="D2677" s="40" t="inlineStr">
        <is>
          <t>SERTAŞ MERKEZ</t>
        </is>
      </c>
      <c r="E2677" s="38" t="n">
        <v>0</v>
      </c>
      <c r="F2677" s="38" t="n">
        <v>862615</v>
      </c>
      <c r="G2677" s="38" t="n">
        <v>-862615</v>
      </c>
      <c r="H2677" s="40" t="inlineStr">
        <is>
          <t>Alacak</t>
        </is>
      </c>
      <c r="I2677" s="38" t="n">
        <v>0</v>
      </c>
      <c r="J2677" s="38" t="n">
        <v>862615</v>
      </c>
      <c r="K2677" s="38" t="n">
        <v>-862615</v>
      </c>
      <c r="L2677" s="40" t="inlineStr">
        <is>
          <t>Alacak</t>
        </is>
      </c>
    </row>
    <row r="2678" s="34">
      <c r="A2678" s="40" t="inlineStr">
        <is>
          <t>900.02.02.0013</t>
        </is>
      </c>
      <c r="B2678" s="40" t="inlineStr">
        <is>
          <t>2084Krtm17/06.05.2022 Vd.520.000 Eur-Tem.Mek/Eximbank.6,6355</t>
        </is>
      </c>
      <c r="C2678" s="40" t="inlineStr">
        <is>
          <t>TRY</t>
        </is>
      </c>
      <c r="D2678" s="40" t="inlineStr">
        <is>
          <t>SERTAŞ MERKEZ</t>
        </is>
      </c>
      <c r="E2678" s="38" t="n">
        <v>0</v>
      </c>
      <c r="F2678" s="38" t="n">
        <v>3450460</v>
      </c>
      <c r="G2678" s="38" t="n">
        <v>-3450460</v>
      </c>
      <c r="H2678" s="40" t="inlineStr">
        <is>
          <t>Alacak</t>
        </is>
      </c>
      <c r="I2678" s="38" t="n">
        <v>0</v>
      </c>
      <c r="J2678" s="38" t="n">
        <v>3450460</v>
      </c>
      <c r="K2678" s="38" t="n">
        <v>-3450460</v>
      </c>
      <c r="L2678" s="40" t="inlineStr">
        <is>
          <t>Alacak</t>
        </is>
      </c>
    </row>
    <row r="2679" s="34">
      <c r="A2679" s="40" t="inlineStr">
        <is>
          <t>900.02.02.0014</t>
        </is>
      </c>
      <c r="B2679" s="40" t="inlineStr">
        <is>
          <t>2084Krtm18/06.05.2022 Vd.195.000 Eur-Tem.Mek/Eximbank.6,6355</t>
        </is>
      </c>
      <c r="C2679" s="40" t="inlineStr">
        <is>
          <t>TRY</t>
        </is>
      </c>
      <c r="D2679" s="40" t="inlineStr">
        <is>
          <t>SERTAŞ MERKEZ</t>
        </is>
      </c>
      <c r="E2679" s="38" t="n">
        <v>0</v>
      </c>
      <c r="F2679" s="38" t="n">
        <v>1293922.5</v>
      </c>
      <c r="G2679" s="38" t="n">
        <v>-1293922.5</v>
      </c>
      <c r="H2679" s="40" t="inlineStr">
        <is>
          <t>Alacak</t>
        </is>
      </c>
      <c r="I2679" s="38" t="n">
        <v>0</v>
      </c>
      <c r="J2679" s="38" t="n">
        <v>1293922.5</v>
      </c>
      <c r="K2679" s="38" t="n">
        <v>-1293922.5</v>
      </c>
      <c r="L2679" s="40" t="inlineStr">
        <is>
          <t>Alacak</t>
        </is>
      </c>
    </row>
    <row r="2680" s="34">
      <c r="A2680" s="40" t="inlineStr">
        <is>
          <t>900.02.02.0016</t>
        </is>
      </c>
      <c r="B2680" s="40" t="inlineStr">
        <is>
          <t>1319751/04.07.2022 Vad.950.000 Eur-Tem.Mek/Eximbank.5,4274</t>
        </is>
      </c>
      <c r="C2680" s="40" t="inlineStr">
        <is>
          <t>TRY</t>
        </is>
      </c>
      <c r="D2680" s="40" t="inlineStr">
        <is>
          <t>SERTAŞ MERKEZ</t>
        </is>
      </c>
      <c r="E2680" s="38" t="n">
        <v>0</v>
      </c>
      <c r="F2680" s="38" t="n">
        <v>5156030</v>
      </c>
      <c r="G2680" s="38" t="n">
        <v>-5156030</v>
      </c>
      <c r="H2680" s="40" t="inlineStr">
        <is>
          <t>Alacak</t>
        </is>
      </c>
      <c r="I2680" s="38" t="n">
        <v>0</v>
      </c>
      <c r="J2680" s="38" t="n">
        <v>5156030</v>
      </c>
      <c r="K2680" s="38" t="n">
        <v>-5156030</v>
      </c>
      <c r="L2680" s="40" t="inlineStr">
        <is>
          <t>Alacak</t>
        </is>
      </c>
    </row>
    <row r="2681" s="34">
      <c r="A2681" s="40" t="inlineStr">
        <is>
          <t>900.02.02.0024</t>
        </is>
      </c>
      <c r="B2681" s="40" t="inlineStr">
        <is>
          <t>19000044/04.01.2022 Vad.8.Mly Eur-Tem.Mek/Eximbank.5,9591</t>
        </is>
      </c>
      <c r="C2681" s="40" t="inlineStr">
        <is>
          <t>TRY</t>
        </is>
      </c>
      <c r="D2681" s="40" t="inlineStr">
        <is>
          <t>SERTAŞ MERKEZ</t>
        </is>
      </c>
      <c r="E2681" s="38" t="n">
        <v>0</v>
      </c>
      <c r="F2681" s="38" t="n">
        <v>47672800</v>
      </c>
      <c r="G2681" s="38" t="n">
        <v>-47672800</v>
      </c>
      <c r="H2681" s="40" t="inlineStr">
        <is>
          <t>Alacak</t>
        </is>
      </c>
      <c r="I2681" s="38" t="n">
        <v>0</v>
      </c>
      <c r="J2681" s="38" t="n">
        <v>47672800</v>
      </c>
      <c r="K2681" s="38" t="n">
        <v>-47672800</v>
      </c>
      <c r="L2681" s="40" t="inlineStr">
        <is>
          <t>Alacak</t>
        </is>
      </c>
    </row>
    <row r="2682" s="34">
      <c r="A2682" s="40" t="inlineStr">
        <is>
          <t>900.02.02.0025</t>
        </is>
      </c>
      <c r="B2682" s="40" t="inlineStr">
        <is>
          <t>19000045/15.02.2022 Vad.520.000 Eur-Tem.Mek/Eximbank.5,9591</t>
        </is>
      </c>
      <c r="C2682" s="40" t="inlineStr">
        <is>
          <t>TRY</t>
        </is>
      </c>
      <c r="D2682" s="40" t="inlineStr">
        <is>
          <t>SERTAŞ MERKEZ</t>
        </is>
      </c>
      <c r="E2682" s="38" t="n">
        <v>0</v>
      </c>
      <c r="F2682" s="38" t="n">
        <v>3098732</v>
      </c>
      <c r="G2682" s="38" t="n">
        <v>-3098732</v>
      </c>
      <c r="H2682" s="40" t="inlineStr">
        <is>
          <t>Alacak</t>
        </is>
      </c>
      <c r="I2682" s="38" t="n">
        <v>0</v>
      </c>
      <c r="J2682" s="38" t="n">
        <v>3098732</v>
      </c>
      <c r="K2682" s="38" t="n">
        <v>-3098732</v>
      </c>
      <c r="L2682" s="40" t="inlineStr">
        <is>
          <t>Alacak</t>
        </is>
      </c>
    </row>
    <row r="2683" s="34">
      <c r="A2683" s="40" t="inlineStr">
        <is>
          <t>900.02.02.0028</t>
        </is>
      </c>
      <c r="B2683" s="40" t="inlineStr">
        <is>
          <t>19000054/15.2.2022 Vad.195.000 Eur-Tem.Mek/Eximbank.5,9958</t>
        </is>
      </c>
      <c r="C2683" s="40" t="inlineStr">
        <is>
          <t>TRY</t>
        </is>
      </c>
      <c r="D2683" s="40" t="inlineStr">
        <is>
          <t>SERTAŞ MERKEZ</t>
        </is>
      </c>
      <c r="E2683" s="38" t="n">
        <v>0</v>
      </c>
      <c r="F2683" s="38" t="n">
        <v>1169181</v>
      </c>
      <c r="G2683" s="38" t="n">
        <v>-1169181</v>
      </c>
      <c r="H2683" s="40" t="inlineStr">
        <is>
          <t>Alacak</t>
        </is>
      </c>
      <c r="I2683" s="38" t="n">
        <v>0</v>
      </c>
      <c r="J2683" s="38" t="n">
        <v>1169181</v>
      </c>
      <c r="K2683" s="38" t="n">
        <v>-1169181</v>
      </c>
      <c r="L2683" s="40" t="inlineStr">
        <is>
          <t>Alacak</t>
        </is>
      </c>
    </row>
    <row r="2684" s="34">
      <c r="A2684" s="40" t="inlineStr">
        <is>
          <t>900.02.02.0029</t>
        </is>
      </c>
      <c r="B2684" s="40" t="inlineStr">
        <is>
          <t>19000055/08.02.2021 Vad.3 Mly Eur-Tem.Mek/Eximbank.5,9958</t>
        </is>
      </c>
      <c r="C2684" s="40" t="inlineStr">
        <is>
          <t>TRY</t>
        </is>
      </c>
      <c r="D2684" s="40" t="inlineStr">
        <is>
          <t>SERTAŞ MERKEZ</t>
        </is>
      </c>
      <c r="E2684" s="38" t="n">
        <v>0</v>
      </c>
      <c r="F2684" s="38" t="n">
        <v>16679400</v>
      </c>
      <c r="G2684" s="38" t="n">
        <v>-16679400</v>
      </c>
      <c r="H2684" s="40" t="inlineStr">
        <is>
          <t>Alacak</t>
        </is>
      </c>
      <c r="I2684" s="38" t="n">
        <v>0</v>
      </c>
      <c r="J2684" s="38" t="n">
        <v>16679400</v>
      </c>
      <c r="K2684" s="38" t="n">
        <v>-16679400</v>
      </c>
      <c r="L2684" s="40" t="inlineStr">
        <is>
          <t>Alacak</t>
        </is>
      </c>
    </row>
    <row r="2685" s="34">
      <c r="A2685" s="40" t="inlineStr">
        <is>
          <t>900.02.02.0030</t>
        </is>
      </c>
      <c r="B2685" s="40" t="inlineStr">
        <is>
          <t>19000106/27.06.2022 Vad.45.500 Eur-Tem.Mek/Eximbank.6,7101</t>
        </is>
      </c>
      <c r="C2685" s="40" t="inlineStr">
        <is>
          <t>TRY</t>
        </is>
      </c>
      <c r="D2685" s="40" t="inlineStr">
        <is>
          <t>SERTAŞ MERKEZ</t>
        </is>
      </c>
      <c r="E2685" s="38" t="n">
        <v>0</v>
      </c>
      <c r="F2685" s="38" t="n">
        <v>305309.55</v>
      </c>
      <c r="G2685" s="38" t="n">
        <v>-305309.55</v>
      </c>
      <c r="H2685" s="40" t="inlineStr">
        <is>
          <t>Alacak</t>
        </is>
      </c>
      <c r="I2685" s="38" t="n">
        <v>0</v>
      </c>
      <c r="J2685" s="38" t="n">
        <v>305309.55</v>
      </c>
      <c r="K2685" s="38" t="n">
        <v>-305309.55</v>
      </c>
      <c r="L2685" s="40" t="inlineStr">
        <is>
          <t>Alacak</t>
        </is>
      </c>
    </row>
    <row r="2686" s="34">
      <c r="A2686" s="40" t="inlineStr">
        <is>
          <t>900.02.02.0032</t>
        </is>
      </c>
      <c r="B2686" s="40" t="inlineStr">
        <is>
          <t>0624Mw003544/06.10.2020 Vad.65.000 Eur-Tem.Mek/Eximbank.6,7864</t>
        </is>
      </c>
      <c r="C2686" s="40" t="inlineStr">
        <is>
          <t>TRY</t>
        </is>
      </c>
      <c r="D2686" s="40" t="inlineStr">
        <is>
          <t>SERTAŞ MERKEZ</t>
        </is>
      </c>
      <c r="E2686" s="38" t="n">
        <v>0</v>
      </c>
      <c r="F2686" s="38" t="n">
        <v>441116</v>
      </c>
      <c r="G2686" s="38" t="n">
        <v>-441116</v>
      </c>
      <c r="H2686" s="40" t="inlineStr">
        <is>
          <t>Alacak</t>
        </is>
      </c>
      <c r="I2686" s="38" t="n">
        <v>0</v>
      </c>
      <c r="J2686" s="38" t="n">
        <v>441116</v>
      </c>
      <c r="K2686" s="38" t="n">
        <v>-441116</v>
      </c>
      <c r="L2686" s="40" t="inlineStr">
        <is>
          <t>Alacak</t>
        </is>
      </c>
    </row>
    <row r="2687" s="34">
      <c r="A2687" s="40" t="inlineStr">
        <is>
          <t>900.02.02.0033</t>
        </is>
      </c>
      <c r="B2687" s="40" t="inlineStr">
        <is>
          <t>0624Mw003545/10.06.2022 Vad.61.750 Eur-Tem.Mek/Eximbank.6,7864</t>
        </is>
      </c>
      <c r="C2687" s="40" t="inlineStr">
        <is>
          <t>TRY</t>
        </is>
      </c>
      <c r="D2687" s="40" t="inlineStr">
        <is>
          <t>SERTAŞ MERKEZ</t>
        </is>
      </c>
      <c r="E2687" s="38" t="n">
        <v>0</v>
      </c>
      <c r="F2687" s="38" t="n">
        <v>419060.2</v>
      </c>
      <c r="G2687" s="38" t="n">
        <v>-419060.2</v>
      </c>
      <c r="H2687" s="40" t="inlineStr">
        <is>
          <t>Alacak</t>
        </is>
      </c>
      <c r="I2687" s="38" t="n">
        <v>0</v>
      </c>
      <c r="J2687" s="38" t="n">
        <v>419060.2</v>
      </c>
      <c r="K2687" s="38" t="n">
        <v>-419060.2</v>
      </c>
      <c r="L2687" s="40" t="inlineStr">
        <is>
          <t>Alacak</t>
        </is>
      </c>
    </row>
    <row r="2688" s="34">
      <c r="A2688" s="40" t="inlineStr">
        <is>
          <t>900.02.02.0034</t>
        </is>
      </c>
      <c r="B2688" s="40" t="inlineStr">
        <is>
          <t>0624Mw003201/09.08.2022 Vad.8 Mly Eur-Tem.Mek/Eximbank.6,3998</t>
        </is>
      </c>
      <c r="C2688" s="40" t="inlineStr">
        <is>
          <t>TRY</t>
        </is>
      </c>
      <c r="D2688" s="40" t="inlineStr">
        <is>
          <t>SERTAŞ MERKEZ</t>
        </is>
      </c>
      <c r="E2688" s="38" t="n">
        <v>0</v>
      </c>
      <c r="F2688" s="38" t="n">
        <v>51198400</v>
      </c>
      <c r="G2688" s="38" t="n">
        <v>-51198400</v>
      </c>
      <c r="H2688" s="40" t="inlineStr">
        <is>
          <t>Alacak</t>
        </is>
      </c>
      <c r="I2688" s="38" t="n">
        <v>0</v>
      </c>
      <c r="J2688" s="38" t="n">
        <v>51198400</v>
      </c>
      <c r="K2688" s="38" t="n">
        <v>-51198400</v>
      </c>
      <c r="L2688" s="40" t="inlineStr">
        <is>
          <t>Alacak</t>
        </is>
      </c>
    </row>
    <row r="2689" s="34">
      <c r="A2689" s="40" t="inlineStr">
        <is>
          <t>900.02.02.0035</t>
        </is>
      </c>
      <c r="B2689" s="40" t="inlineStr">
        <is>
          <t>2084Krtm21000140/09.08.2022 Vad.8 Mly Eur-Tem.Mek/Eximbank.6,3998</t>
        </is>
      </c>
      <c r="C2689" s="40" t="inlineStr">
        <is>
          <t>TRY</t>
        </is>
      </c>
      <c r="D2689" s="40" t="inlineStr">
        <is>
          <t>SERTAŞ MERKEZ</t>
        </is>
      </c>
      <c r="E2689" s="38" t="n">
        <v>0</v>
      </c>
      <c r="F2689" s="38" t="n">
        <v>51198400</v>
      </c>
      <c r="G2689" s="38" t="n">
        <v>-51198400</v>
      </c>
      <c r="H2689" s="40" t="inlineStr">
        <is>
          <t>Alacak</t>
        </is>
      </c>
      <c r="I2689" s="38" t="n">
        <v>0</v>
      </c>
      <c r="J2689" s="38" t="n">
        <v>51198400</v>
      </c>
      <c r="K2689" s="38" t="n">
        <v>-51198400</v>
      </c>
      <c r="L2689" s="40" t="inlineStr">
        <is>
          <t>Alacak</t>
        </is>
      </c>
    </row>
    <row r="2690" s="34">
      <c r="A2690" s="40" t="inlineStr">
        <is>
          <t>900.02.02.0036</t>
        </is>
      </c>
      <c r="B2690" s="40" t="inlineStr">
        <is>
          <t>0624Mw003625/09.05.2022 Vad.520.000 Eur-Tem.Mek/Eximbank.6,3998</t>
        </is>
      </c>
      <c r="C2690" s="40" t="inlineStr">
        <is>
          <t>TRY</t>
        </is>
      </c>
      <c r="D2690" s="40" t="inlineStr">
        <is>
          <t>SERTAŞ MERKEZ</t>
        </is>
      </c>
      <c r="E2690" s="38" t="n">
        <v>0</v>
      </c>
      <c r="F2690" s="38" t="n">
        <v>3327896</v>
      </c>
      <c r="G2690" s="38" t="n">
        <v>-3327896</v>
      </c>
      <c r="H2690" s="40" t="inlineStr">
        <is>
          <t>Alacak</t>
        </is>
      </c>
      <c r="I2690" s="38" t="n">
        <v>0</v>
      </c>
      <c r="J2690" s="38" t="n">
        <v>3327896</v>
      </c>
      <c r="K2690" s="38" t="n">
        <v>-3327896</v>
      </c>
      <c r="L2690" s="40" t="inlineStr">
        <is>
          <t>Alacak</t>
        </is>
      </c>
    </row>
    <row r="2691" s="34">
      <c r="A2691" s="40" t="inlineStr">
        <is>
          <t>900.02.02.0037</t>
        </is>
      </c>
      <c r="B2691" s="40" t="inlineStr">
        <is>
          <t>0624Mw003626/09.05.2022 Vad.520.000 Eur-Tem.Mek/Eximbank.6,3998</t>
        </is>
      </c>
      <c r="C2691" s="40" t="inlineStr">
        <is>
          <t>TRY</t>
        </is>
      </c>
      <c r="D2691" s="40" t="inlineStr">
        <is>
          <t>SERTAŞ MERKEZ</t>
        </is>
      </c>
      <c r="E2691" s="38" t="n">
        <v>0</v>
      </c>
      <c r="F2691" s="38" t="n">
        <v>3327896</v>
      </c>
      <c r="G2691" s="38" t="n">
        <v>-3327896</v>
      </c>
      <c r="H2691" s="40" t="inlineStr">
        <is>
          <t>Alacak</t>
        </is>
      </c>
      <c r="I2691" s="38" t="n">
        <v>0</v>
      </c>
      <c r="J2691" s="38" t="n">
        <v>3327896</v>
      </c>
      <c r="K2691" s="38" t="n">
        <v>-3327896</v>
      </c>
      <c r="L2691" s="40" t="inlineStr">
        <is>
          <t>Alacak</t>
        </is>
      </c>
    </row>
    <row r="2692" s="34">
      <c r="A2692" s="40" t="inlineStr">
        <is>
          <t>900.02.02.0041</t>
        </is>
      </c>
      <c r="B2692" s="40" t="inlineStr">
        <is>
          <t>S012404619001183/10.10.2022 Vad.440.000 Eur-Tem.Mek/Eximbank.6,4969</t>
        </is>
      </c>
      <c r="C2692" s="40" t="inlineStr">
        <is>
          <t>TRY</t>
        </is>
      </c>
      <c r="D2692" s="40" t="inlineStr">
        <is>
          <t>SERTAŞ MERKEZ</t>
        </is>
      </c>
      <c r="E2692" s="38" t="n">
        <v>0</v>
      </c>
      <c r="F2692" s="38" t="n">
        <v>2858636</v>
      </c>
      <c r="G2692" s="38" t="n">
        <v>-2858636</v>
      </c>
      <c r="H2692" s="40" t="inlineStr">
        <is>
          <t>Alacak</t>
        </is>
      </c>
      <c r="I2692" s="38" t="n">
        <v>0</v>
      </c>
      <c r="J2692" s="38" t="n">
        <v>2858636</v>
      </c>
      <c r="K2692" s="38" t="n">
        <v>-2858636</v>
      </c>
      <c r="L2692" s="40" t="inlineStr">
        <is>
          <t>Alacak</t>
        </is>
      </c>
    </row>
    <row r="2693" s="34">
      <c r="A2693" s="40" t="inlineStr">
        <is>
          <t>900.02.02.0042</t>
        </is>
      </c>
      <c r="B2693" s="40" t="inlineStr">
        <is>
          <t>121004818/31.08.2022 Vad.76.000 Eur-Tem.Mek/Eximbank 7,5735</t>
        </is>
      </c>
      <c r="C2693" s="40" t="inlineStr">
        <is>
          <t>TRY</t>
        </is>
      </c>
      <c r="D2693" s="40" t="inlineStr">
        <is>
          <t>SERTAŞ MERKEZ</t>
        </is>
      </c>
      <c r="E2693" s="38" t="n">
        <v>0</v>
      </c>
      <c r="F2693" s="38" t="n">
        <v>575586</v>
      </c>
      <c r="G2693" s="38" t="n">
        <v>-575586</v>
      </c>
      <c r="H2693" s="40" t="inlineStr">
        <is>
          <t>Alacak</t>
        </is>
      </c>
      <c r="I2693" s="38" t="n">
        <v>0</v>
      </c>
      <c r="J2693" s="38" t="n">
        <v>575586</v>
      </c>
      <c r="K2693" s="38" t="n">
        <v>-575586</v>
      </c>
      <c r="L2693" s="40" t="inlineStr">
        <is>
          <t>Alacak</t>
        </is>
      </c>
    </row>
    <row r="2694" s="34">
      <c r="A2694" s="40" t="inlineStr">
        <is>
          <t>900.02.02.0043</t>
        </is>
      </c>
      <c r="B2694" s="40" t="inlineStr">
        <is>
          <t>121005601/11.10.2022 Vad.640.000 Eur-Tem.Mek/Eximbank 7,7097</t>
        </is>
      </c>
      <c r="C2694" s="40" t="inlineStr">
        <is>
          <t>TRY</t>
        </is>
      </c>
      <c r="D2694" s="40" t="inlineStr">
        <is>
          <t>SERTAŞ MERKEZ</t>
        </is>
      </c>
      <c r="E2694" s="38" t="n">
        <v>0</v>
      </c>
      <c r="F2694" s="38" t="n">
        <v>4934208</v>
      </c>
      <c r="G2694" s="38" t="n">
        <v>-4934208</v>
      </c>
      <c r="H2694" s="40" t="inlineStr">
        <is>
          <t>Alacak</t>
        </is>
      </c>
      <c r="I2694" s="38" t="n">
        <v>0</v>
      </c>
      <c r="J2694" s="38" t="n">
        <v>4934208</v>
      </c>
      <c r="K2694" s="38" t="n">
        <v>-4934208</v>
      </c>
      <c r="L2694" s="40" t="inlineStr">
        <is>
          <t>Alacak</t>
        </is>
      </c>
    </row>
    <row r="2695" s="34">
      <c r="A2695" s="40" t="inlineStr">
        <is>
          <t>900.02.02.0044</t>
        </is>
      </c>
      <c r="B2695" s="40" t="inlineStr">
        <is>
          <t>121005602/11.10.2022 Vad.640.000 Eur-Tem.Mek/Eximbank 7,7097</t>
        </is>
      </c>
      <c r="C2695" s="40" t="inlineStr">
        <is>
          <t>TRY</t>
        </is>
      </c>
      <c r="D2695" s="40" t="inlineStr">
        <is>
          <t>SERTAŞ MERKEZ</t>
        </is>
      </c>
      <c r="E2695" s="38" t="n">
        <v>0</v>
      </c>
      <c r="F2695" s="38" t="n">
        <v>4934208</v>
      </c>
      <c r="G2695" s="38" t="n">
        <v>-4934208</v>
      </c>
      <c r="H2695" s="40" t="inlineStr">
        <is>
          <t>Alacak</t>
        </is>
      </c>
      <c r="I2695" s="38" t="n">
        <v>0</v>
      </c>
      <c r="J2695" s="38" t="n">
        <v>4934208</v>
      </c>
      <c r="K2695" s="38" t="n">
        <v>-4934208</v>
      </c>
      <c r="L2695" s="40" t="inlineStr">
        <is>
          <t>Alacak</t>
        </is>
      </c>
    </row>
    <row r="2696" s="34">
      <c r="A2696" s="40" t="inlineStr">
        <is>
          <t>900.02.02.0045</t>
        </is>
      </c>
      <c r="B2696" s="40" t="inlineStr">
        <is>
          <t>121004924/17.06.2022 Vad.700.000 Eur-Tem.Mek/Eximbank 7,4624</t>
        </is>
      </c>
      <c r="C2696" s="40" t="inlineStr">
        <is>
          <t>TRY</t>
        </is>
      </c>
      <c r="D2696" s="40" t="inlineStr">
        <is>
          <t>SERTAŞ MERKEZ</t>
        </is>
      </c>
      <c r="E2696" s="38" t="n">
        <v>0</v>
      </c>
      <c r="F2696" s="38" t="n">
        <v>5223680</v>
      </c>
      <c r="G2696" s="38" t="n">
        <v>-5223680</v>
      </c>
      <c r="H2696" s="40" t="inlineStr">
        <is>
          <t>Alacak</t>
        </is>
      </c>
      <c r="I2696" s="38" t="n">
        <v>0</v>
      </c>
      <c r="J2696" s="38" t="n">
        <v>5223680</v>
      </c>
      <c r="K2696" s="38" t="n">
        <v>-5223680</v>
      </c>
      <c r="L2696" s="40" t="inlineStr">
        <is>
          <t>Alacak</t>
        </is>
      </c>
    </row>
    <row r="2697" s="34">
      <c r="A2697" s="40" t="inlineStr">
        <is>
          <t>900.02.02.0046</t>
        </is>
      </c>
      <c r="B2697" s="40" t="inlineStr">
        <is>
          <t>121004927/16.08.2022 Vad.56.000 Eur-Tem.Mek/Eximbank 7,4624</t>
        </is>
      </c>
      <c r="C2697" s="40" t="inlineStr">
        <is>
          <t>TRY</t>
        </is>
      </c>
      <c r="D2697" s="40" t="inlineStr">
        <is>
          <t>SERTAŞ MERKEZ</t>
        </is>
      </c>
      <c r="E2697" s="38" t="n">
        <v>0</v>
      </c>
      <c r="F2697" s="38" t="n">
        <v>417894.4</v>
      </c>
      <c r="G2697" s="38" t="n">
        <v>-417894.4</v>
      </c>
      <c r="H2697" s="40" t="inlineStr">
        <is>
          <t>Alacak</t>
        </is>
      </c>
      <c r="I2697" s="38" t="n">
        <v>0</v>
      </c>
      <c r="J2697" s="38" t="n">
        <v>417894.4</v>
      </c>
      <c r="K2697" s="38" t="n">
        <v>-417894.4</v>
      </c>
      <c r="L2697" s="40" t="inlineStr">
        <is>
          <t>Alacak</t>
        </is>
      </c>
    </row>
    <row r="2698" s="34">
      <c r="A2698" s="40" t="inlineStr">
        <is>
          <t>900.02.02.0047</t>
        </is>
      </c>
      <c r="B2698" s="40" t="inlineStr">
        <is>
          <t>121004819/31.08.2022 Vad.80.000 Eur-Tem.Mek/Eximbank 7,5735</t>
        </is>
      </c>
      <c r="C2698" s="40" t="inlineStr">
        <is>
          <t>TRY</t>
        </is>
      </c>
      <c r="D2698" s="40" t="inlineStr">
        <is>
          <t>SERTAŞ MERKEZ</t>
        </is>
      </c>
      <c r="E2698" s="38" t="n">
        <v>0</v>
      </c>
      <c r="F2698" s="38" t="n">
        <v>605880</v>
      </c>
      <c r="G2698" s="38" t="n">
        <v>-605880</v>
      </c>
      <c r="H2698" s="40" t="inlineStr">
        <is>
          <t>Alacak</t>
        </is>
      </c>
      <c r="I2698" s="38" t="n">
        <v>0</v>
      </c>
      <c r="J2698" s="38" t="n">
        <v>605880</v>
      </c>
      <c r="K2698" s="38" t="n">
        <v>-605880</v>
      </c>
      <c r="L2698" s="40" t="inlineStr">
        <is>
          <t>Alacak</t>
        </is>
      </c>
    </row>
    <row r="2699" s="34">
      <c r="A2699" s="40" t="inlineStr">
        <is>
          <t>900.02.02.0048</t>
        </is>
      </c>
      <c r="B2699" s="40" t="inlineStr">
        <is>
          <t>2084Krtm274/04.04.2022 Vad.320.000 Eur-Tem.Mek/Eximbank 9,4913</t>
        </is>
      </c>
      <c r="C2699" s="40" t="inlineStr">
        <is>
          <t>TRY</t>
        </is>
      </c>
      <c r="D2699" s="40" t="inlineStr">
        <is>
          <t>SERTAŞ MERKEZ</t>
        </is>
      </c>
      <c r="E2699" s="38" t="n">
        <v>0</v>
      </c>
      <c r="F2699" s="38" t="n">
        <v>3037216</v>
      </c>
      <c r="G2699" s="38" t="n">
        <v>-3037216</v>
      </c>
      <c r="H2699" s="40" t="inlineStr">
        <is>
          <t>Alacak</t>
        </is>
      </c>
      <c r="I2699" s="38" t="n">
        <v>0</v>
      </c>
      <c r="J2699" s="38" t="n">
        <v>3037216</v>
      </c>
      <c r="K2699" s="38" t="n">
        <v>-3037216</v>
      </c>
      <c r="L2699" s="40" t="inlineStr">
        <is>
          <t>Alacak</t>
        </is>
      </c>
    </row>
    <row r="2700" s="34">
      <c r="A2700" s="40" t="inlineStr">
        <is>
          <t>900.02.02.0049</t>
        </is>
      </c>
      <c r="B2700" s="40" t="inlineStr">
        <is>
          <t>2084Krtm94/17.03.2023 Vad.975.000 Eur-Tem.Mek/Eximbank 6.5864</t>
        </is>
      </c>
      <c r="C2700" s="40" t="inlineStr">
        <is>
          <t>TRY</t>
        </is>
      </c>
      <c r="D2700" s="40" t="inlineStr">
        <is>
          <t>SERTAŞ MERKEZ</t>
        </is>
      </c>
      <c r="E2700" s="38" t="n">
        <v>0</v>
      </c>
      <c r="F2700" s="38" t="n">
        <v>6421740</v>
      </c>
      <c r="G2700" s="38" t="n">
        <v>-6421740</v>
      </c>
      <c r="H2700" s="40" t="inlineStr">
        <is>
          <t>Alacak</t>
        </is>
      </c>
      <c r="I2700" s="38" t="n">
        <v>0</v>
      </c>
      <c r="J2700" s="38" t="n">
        <v>6421740</v>
      </c>
      <c r="K2700" s="38" t="n">
        <v>-6421740</v>
      </c>
      <c r="L2700" s="40" t="inlineStr">
        <is>
          <t>Alacak</t>
        </is>
      </c>
    </row>
    <row r="2701" s="34">
      <c r="A2701" s="40" t="inlineStr">
        <is>
          <t>900.02.02.0050</t>
        </is>
      </c>
      <c r="B2701" s="40" t="inlineStr">
        <is>
          <t>2084Krtm95/17.03.2023 Vad.975.000 Eur-Tem.Mek/Eximbank 6.5864</t>
        </is>
      </c>
      <c r="C2701" s="40" t="inlineStr">
        <is>
          <t>TRY</t>
        </is>
      </c>
      <c r="D2701" s="40" t="inlineStr">
        <is>
          <t>SERTAŞ MERKEZ</t>
        </is>
      </c>
      <c r="E2701" s="38" t="n">
        <v>0</v>
      </c>
      <c r="F2701" s="38" t="n">
        <v>6421740</v>
      </c>
      <c r="G2701" s="38" t="n">
        <v>-6421740</v>
      </c>
      <c r="H2701" s="40" t="inlineStr">
        <is>
          <t>Alacak</t>
        </is>
      </c>
      <c r="I2701" s="38" t="n">
        <v>0</v>
      </c>
      <c r="J2701" s="38" t="n">
        <v>6421740</v>
      </c>
      <c r="K2701" s="38" t="n">
        <v>-6421740</v>
      </c>
      <c r="L2701" s="40" t="inlineStr">
        <is>
          <t>Alacak</t>
        </is>
      </c>
    </row>
    <row r="2702" s="34">
      <c r="A2702" s="40" t="inlineStr">
        <is>
          <t>900.02.02.0051</t>
        </is>
      </c>
      <c r="B2702" s="40" t="inlineStr">
        <is>
          <t>2084Krtm9/28.02.2022 Vad.7.500.000 Eur-Tem.Mek/Eximbank 9.0044</t>
        </is>
      </c>
      <c r="C2702" s="40" t="inlineStr">
        <is>
          <t>TRY</t>
        </is>
      </c>
      <c r="D2702" s="40" t="inlineStr">
        <is>
          <t>SERTAŞ MERKEZ</t>
        </is>
      </c>
      <c r="E2702" s="38" t="n">
        <v>0</v>
      </c>
      <c r="F2702" s="38" t="n">
        <v>67533000</v>
      </c>
      <c r="G2702" s="38" t="n">
        <v>-67533000</v>
      </c>
      <c r="H2702" s="40" t="inlineStr">
        <is>
          <t>Alacak</t>
        </is>
      </c>
      <c r="I2702" s="38" t="n">
        <v>0</v>
      </c>
      <c r="J2702" s="38" t="n">
        <v>67533000</v>
      </c>
      <c r="K2702" s="38" t="n">
        <v>-67533000</v>
      </c>
      <c r="L2702" s="40" t="inlineStr">
        <is>
          <t>Alacak</t>
        </is>
      </c>
    </row>
    <row r="2703" s="34">
      <c r="A2703" s="40" t="inlineStr">
        <is>
          <t>900.02.02.0052</t>
        </is>
      </c>
      <c r="B2703" s="40" t="inlineStr">
        <is>
          <t>2084Krtm10/27.05.2022 Vad.300.000 Eur-Tem.Mek/Eximbank 9.0044</t>
        </is>
      </c>
      <c r="C2703" s="40" t="inlineStr">
        <is>
          <t>TRY</t>
        </is>
      </c>
      <c r="D2703" s="40" t="inlineStr">
        <is>
          <t>SERTAŞ MERKEZ</t>
        </is>
      </c>
      <c r="E2703" s="38" t="n">
        <v>0</v>
      </c>
      <c r="F2703" s="38" t="n">
        <v>2701320</v>
      </c>
      <c r="G2703" s="38" t="n">
        <v>-2701320</v>
      </c>
      <c r="H2703" s="40" t="inlineStr">
        <is>
          <t>Alacak</t>
        </is>
      </c>
      <c r="I2703" s="38" t="n">
        <v>0</v>
      </c>
      <c r="J2703" s="38" t="n">
        <v>2701320</v>
      </c>
      <c r="K2703" s="38" t="n">
        <v>-2701320</v>
      </c>
      <c r="L2703" s="40" t="inlineStr">
        <is>
          <t>Alacak</t>
        </is>
      </c>
    </row>
    <row r="2704" s="34">
      <c r="A2704" s="40" t="inlineStr">
        <is>
          <t>900.02.02.0053</t>
        </is>
      </c>
      <c r="B2704" s="40" t="inlineStr">
        <is>
          <t>2084Krtm18/22.03.2022 Vad.5.000.000 Eur-Tem.Mek/Eximbank 8.5374</t>
        </is>
      </c>
      <c r="C2704" s="40" t="inlineStr">
        <is>
          <t>TRY</t>
        </is>
      </c>
      <c r="D2704" s="40" t="inlineStr">
        <is>
          <t>SERTAŞ MERKEZ</t>
        </is>
      </c>
      <c r="E2704" s="38" t="n">
        <v>0</v>
      </c>
      <c r="F2704" s="38" t="n">
        <v>42687000</v>
      </c>
      <c r="G2704" s="38" t="n">
        <v>-42687000</v>
      </c>
      <c r="H2704" s="40" t="inlineStr">
        <is>
          <t>Alacak</t>
        </is>
      </c>
      <c r="I2704" s="38" t="n">
        <v>0</v>
      </c>
      <c r="J2704" s="38" t="n">
        <v>42687000</v>
      </c>
      <c r="K2704" s="38" t="n">
        <v>-42687000</v>
      </c>
      <c r="L2704" s="40" t="inlineStr">
        <is>
          <t>Alacak</t>
        </is>
      </c>
    </row>
    <row r="2705" s="34">
      <c r="A2705" s="40" t="inlineStr">
        <is>
          <t>900.02.02.0054</t>
        </is>
      </c>
      <c r="B2705" s="40" t="inlineStr">
        <is>
          <t>2084Krtm20/17.06.2022 Vad.200.000 Eur-Tem.Mek/Eximbank 8.5374</t>
        </is>
      </c>
      <c r="C2705" s="40" t="inlineStr">
        <is>
          <t>TRY</t>
        </is>
      </c>
      <c r="D2705" s="40" t="inlineStr">
        <is>
          <t>SERTAŞ MERKEZ</t>
        </is>
      </c>
      <c r="E2705" s="38" t="n">
        <v>0</v>
      </c>
      <c r="F2705" s="38" t="n">
        <v>1707480</v>
      </c>
      <c r="G2705" s="38" t="n">
        <v>-1707480</v>
      </c>
      <c r="H2705" s="40" t="inlineStr">
        <is>
          <t>Alacak</t>
        </is>
      </c>
      <c r="I2705" s="38" t="n">
        <v>0</v>
      </c>
      <c r="J2705" s="38" t="n">
        <v>1707480</v>
      </c>
      <c r="K2705" s="38" t="n">
        <v>-1707480</v>
      </c>
      <c r="L2705" s="40" t="inlineStr">
        <is>
          <t>Alacak</t>
        </is>
      </c>
    </row>
    <row r="2706" s="34">
      <c r="A2706" s="40" t="inlineStr">
        <is>
          <t>900.02.02.0055</t>
        </is>
      </c>
      <c r="B2706" s="40" t="inlineStr">
        <is>
          <t>2084Krtm22/14.03.2022 Vad.5.000.000 Eur-Tem.Mek/Eximbank 8.5374</t>
        </is>
      </c>
      <c r="C2706" s="40" t="inlineStr">
        <is>
          <t>TRY</t>
        </is>
      </c>
      <c r="D2706" s="40" t="inlineStr">
        <is>
          <t>SERTAŞ MERKEZ</t>
        </is>
      </c>
      <c r="E2706" s="38" t="n">
        <v>0</v>
      </c>
      <c r="F2706" s="38" t="n">
        <v>42687000</v>
      </c>
      <c r="G2706" s="38" t="n">
        <v>-42687000</v>
      </c>
      <c r="H2706" s="40" t="inlineStr">
        <is>
          <t>Alacak</t>
        </is>
      </c>
      <c r="I2706" s="38" t="n">
        <v>0</v>
      </c>
      <c r="J2706" s="38" t="n">
        <v>42687000</v>
      </c>
      <c r="K2706" s="38" t="n">
        <v>-42687000</v>
      </c>
      <c r="L2706" s="40" t="inlineStr">
        <is>
          <t>Alacak</t>
        </is>
      </c>
    </row>
    <row r="2707" s="34">
      <c r="A2707" s="40" t="inlineStr">
        <is>
          <t>900.02.02.0056</t>
        </is>
      </c>
      <c r="B2707" s="40" t="inlineStr">
        <is>
          <t>2084Krtm23/14.06.2022 Vad.200.000 Eur-Tem.Mek/Eximbank 8.5374</t>
        </is>
      </c>
      <c r="C2707" s="40" t="inlineStr">
        <is>
          <t>TRY</t>
        </is>
      </c>
      <c r="D2707" s="40" t="inlineStr">
        <is>
          <t>SERTAŞ MERKEZ</t>
        </is>
      </c>
      <c r="E2707" s="38" t="n">
        <v>0</v>
      </c>
      <c r="F2707" s="38" t="n">
        <v>1707480</v>
      </c>
      <c r="G2707" s="38" t="n">
        <v>-1707480</v>
      </c>
      <c r="H2707" s="40" t="inlineStr">
        <is>
          <t>Alacak</t>
        </is>
      </c>
      <c r="I2707" s="38" t="n">
        <v>0</v>
      </c>
      <c r="J2707" s="38" t="n">
        <v>1707480</v>
      </c>
      <c r="K2707" s="38" t="n">
        <v>-1707480</v>
      </c>
      <c r="L2707" s="40" t="inlineStr">
        <is>
          <t>Alacak</t>
        </is>
      </c>
    </row>
    <row r="2708" s="34">
      <c r="A2708" s="40" t="inlineStr">
        <is>
          <t>900.02.02.0057</t>
        </is>
      </c>
      <c r="B2708" s="40" t="inlineStr">
        <is>
          <t>S012404621000219/07.06.2022 Vad.200.000 Eur-Tem.Mek/Eximbank.8,5036</t>
        </is>
      </c>
      <c r="C2708" s="40" t="inlineStr">
        <is>
          <t>TRY</t>
        </is>
      </c>
      <c r="D2708" s="40" t="inlineStr">
        <is>
          <t>SERTAŞ MERKEZ</t>
        </is>
      </c>
      <c r="E2708" s="38" t="n">
        <v>0</v>
      </c>
      <c r="F2708" s="38" t="n">
        <v>1700720</v>
      </c>
      <c r="G2708" s="38" t="n">
        <v>-1700720</v>
      </c>
      <c r="H2708" s="40" t="inlineStr">
        <is>
          <t>Alacak</t>
        </is>
      </c>
      <c r="I2708" s="38" t="n">
        <v>0</v>
      </c>
      <c r="J2708" s="38" t="n">
        <v>1700720</v>
      </c>
      <c r="K2708" s="38" t="n">
        <v>-1700720</v>
      </c>
      <c r="L2708" s="40" t="inlineStr">
        <is>
          <t>Alacak</t>
        </is>
      </c>
    </row>
    <row r="2709" s="34">
      <c r="A2709" s="40" t="inlineStr">
        <is>
          <t>900.02.02.0058</t>
        </is>
      </c>
      <c r="B2709" s="40" t="inlineStr">
        <is>
          <t>S012404621000221/09.03.2022 Vad.5.000.000 Eur-Tem.Mek/Eximbank.8,5036</t>
        </is>
      </c>
      <c r="C2709" s="40" t="inlineStr">
        <is>
          <t>TRY</t>
        </is>
      </c>
      <c r="D2709" s="40" t="inlineStr">
        <is>
          <t>SERTAŞ MERKEZ</t>
        </is>
      </c>
      <c r="E2709" s="38" t="n">
        <v>0</v>
      </c>
      <c r="F2709" s="38" t="n">
        <v>42518000</v>
      </c>
      <c r="G2709" s="38" t="n">
        <v>-42518000</v>
      </c>
      <c r="H2709" s="40" t="inlineStr">
        <is>
          <t>Alacak</t>
        </is>
      </c>
      <c r="I2709" s="38" t="n">
        <v>0</v>
      </c>
      <c r="J2709" s="38" t="n">
        <v>42518000</v>
      </c>
      <c r="K2709" s="38" t="n">
        <v>-42518000</v>
      </c>
      <c r="L2709" s="40" t="inlineStr">
        <is>
          <t>Alacak</t>
        </is>
      </c>
    </row>
    <row r="2710" s="34">
      <c r="A2710" s="40" t="inlineStr">
        <is>
          <t>900.02.02.0060</t>
        </is>
      </c>
      <c r="B2710" s="40" t="inlineStr">
        <is>
          <t>7100519549 Nolu 04.02.2022 Enerya</t>
        </is>
      </c>
      <c r="C2710" s="40" t="inlineStr">
        <is>
          <t>TRY</t>
        </is>
      </c>
      <c r="D2710" s="40" t="inlineStr">
        <is>
          <t>SERTAŞ MERKEZ</t>
        </is>
      </c>
      <c r="E2710" s="38" t="n">
        <v>0</v>
      </c>
      <c r="F2710" s="38" t="n">
        <v>447562</v>
      </c>
      <c r="G2710" s="38" t="n">
        <v>-447562</v>
      </c>
      <c r="H2710" s="40" t="inlineStr">
        <is>
          <t>Alacak</t>
        </is>
      </c>
      <c r="I2710" s="38" t="n">
        <v>0</v>
      </c>
      <c r="J2710" s="38" t="n">
        <v>447562</v>
      </c>
      <c r="K2710" s="38" t="n">
        <v>-447562</v>
      </c>
      <c r="L2710" s="40" t="inlineStr">
        <is>
          <t>Alacak</t>
        </is>
      </c>
    </row>
    <row r="2711" s="34">
      <c r="A2711" s="40" t="inlineStr">
        <is>
          <t>900.02.02.0061</t>
        </is>
      </c>
      <c r="B2711" s="40" t="inlineStr">
        <is>
          <t>7100519550 Nolu 04.02.2022 Enerya</t>
        </is>
      </c>
      <c r="C2711" s="40" t="inlineStr">
        <is>
          <t>TRY</t>
        </is>
      </c>
      <c r="D2711" s="40" t="inlineStr">
        <is>
          <t>SERTAŞ MERKEZ</t>
        </is>
      </c>
      <c r="E2711" s="38" t="n">
        <v>0</v>
      </c>
      <c r="F2711" s="38" t="n">
        <v>183140</v>
      </c>
      <c r="G2711" s="38" t="n">
        <v>-183140</v>
      </c>
      <c r="H2711" s="40" t="inlineStr">
        <is>
          <t>Alacak</t>
        </is>
      </c>
      <c r="I2711" s="38" t="n">
        <v>0</v>
      </c>
      <c r="J2711" s="38" t="n">
        <v>183140</v>
      </c>
      <c r="K2711" s="38" t="n">
        <v>-183140</v>
      </c>
      <c r="L2711" s="40" t="inlineStr">
        <is>
          <t>Alacak</t>
        </is>
      </c>
    </row>
    <row r="2712" s="34">
      <c r="A2712" s="40" t="inlineStr">
        <is>
          <t>900.02.02.0063</t>
        </is>
      </c>
      <c r="B2712" s="40" t="inlineStr">
        <is>
          <t>7100639014 Nolu 13.03.2023 Enerya</t>
        </is>
      </c>
      <c r="C2712" s="40" t="inlineStr">
        <is>
          <t>TRY</t>
        </is>
      </c>
      <c r="D2712" s="40" t="inlineStr">
        <is>
          <t>SERTAŞ MERKEZ</t>
        </is>
      </c>
      <c r="E2712" s="38" t="n">
        <v>0</v>
      </c>
      <c r="F2712" s="38" t="n">
        <v>2749013</v>
      </c>
      <c r="G2712" s="38" t="n">
        <v>-2749013</v>
      </c>
      <c r="H2712" s="40" t="inlineStr">
        <is>
          <t>Alacak</t>
        </is>
      </c>
      <c r="I2712" s="38" t="n">
        <v>0</v>
      </c>
      <c r="J2712" s="38" t="n">
        <v>2749013</v>
      </c>
      <c r="K2712" s="38" t="n">
        <v>-2749013</v>
      </c>
      <c r="L2712" s="40" t="inlineStr">
        <is>
          <t>Alacak</t>
        </is>
      </c>
    </row>
    <row r="2713" s="34">
      <c r="A2713" s="40" t="inlineStr">
        <is>
          <t>900.02.02.0070</t>
        </is>
      </c>
      <c r="B2713" s="40" t="inlineStr">
        <is>
          <t>2265Tm138 Nl/28.03.2025 Vad.6.540.000 TL-Tem.Mek/Sesasu Ltd.Şti.</t>
        </is>
      </c>
      <c r="C2713" s="40" t="inlineStr">
        <is>
          <t>TRY</t>
        </is>
      </c>
      <c r="D2713" s="40" t="inlineStr">
        <is>
          <t>SERTAŞ MERKEZ</t>
        </is>
      </c>
      <c r="E2713" s="38" t="n">
        <v>0</v>
      </c>
      <c r="F2713" s="38" t="n">
        <v>6540000</v>
      </c>
      <c r="G2713" s="38" t="n">
        <v>-6540000</v>
      </c>
      <c r="H2713" s="40" t="inlineStr">
        <is>
          <t>Alacak</t>
        </is>
      </c>
      <c r="I2713" s="38" t="n">
        <v>0</v>
      </c>
      <c r="J2713" s="38" t="n">
        <v>6540000</v>
      </c>
      <c r="K2713" s="38" t="n">
        <v>-6540000</v>
      </c>
      <c r="L2713" s="40" t="inlineStr">
        <is>
          <t>Alacak</t>
        </is>
      </c>
    </row>
    <row r="2714" s="34">
      <c r="A2714" s="40" t="inlineStr">
        <is>
          <t>900.02.02.0071</t>
        </is>
      </c>
      <c r="B2714" s="40" t="inlineStr">
        <is>
          <t>2265Tm139 Nl/28.03.2025 Vad.4.770.000 TL-Tem.Mek/Sesasu Ltd.Şti.</t>
        </is>
      </c>
      <c r="C2714" s="40" t="inlineStr">
        <is>
          <t>TRY</t>
        </is>
      </c>
      <c r="D2714" s="40" t="inlineStr">
        <is>
          <t>SERTAŞ MERKEZ</t>
        </is>
      </c>
      <c r="E2714" s="38" t="n">
        <v>0</v>
      </c>
      <c r="F2714" s="38" t="n">
        <v>4770000</v>
      </c>
      <c r="G2714" s="38" t="n">
        <v>-4770000</v>
      </c>
      <c r="H2714" s="40" t="inlineStr">
        <is>
          <t>Alacak</t>
        </is>
      </c>
      <c r="I2714" s="38" t="n">
        <v>0</v>
      </c>
      <c r="J2714" s="38" t="n">
        <v>4770000</v>
      </c>
      <c r="K2714" s="38" t="n">
        <v>-4770000</v>
      </c>
      <c r="L2714" s="40" t="inlineStr">
        <is>
          <t>Alacak</t>
        </is>
      </c>
    </row>
    <row r="2715" s="34">
      <c r="A2715" s="40" t="inlineStr">
        <is>
          <t>900.02.02.0081</t>
        </is>
      </c>
      <c r="B2715" s="40" t="inlineStr">
        <is>
          <t>100.800 _ Teminat Senedi/Dam Aliminyum San.ve Tic.Aş.</t>
        </is>
      </c>
      <c r="C2715" s="40" t="inlineStr">
        <is>
          <t>TRY</t>
        </is>
      </c>
      <c r="D2715" s="40" t="inlineStr">
        <is>
          <t>SERTAŞ MERKEZ</t>
        </is>
      </c>
      <c r="E2715" s="38" t="n">
        <v>0</v>
      </c>
      <c r="F2715" s="38" t="n">
        <v>100800</v>
      </c>
      <c r="G2715" s="38" t="n">
        <v>-100800</v>
      </c>
      <c r="H2715" s="40" t="inlineStr">
        <is>
          <t>Alacak</t>
        </is>
      </c>
      <c r="I2715" s="38" t="n">
        <v>0</v>
      </c>
      <c r="J2715" s="38" t="n">
        <v>100800</v>
      </c>
      <c r="K2715" s="38" t="n">
        <v>-100800</v>
      </c>
      <c r="L2715" s="40" t="inlineStr">
        <is>
          <t>Alacak</t>
        </is>
      </c>
    </row>
    <row r="2716" s="34">
      <c r="A2716" s="40" t="inlineStr">
        <is>
          <t>900.02.02.0082</t>
        </is>
      </c>
      <c r="B2716" s="40" t="inlineStr">
        <is>
          <t>Ziraat 100.000.000 Euro 1.Derece</t>
        </is>
      </c>
      <c r="C2716" s="40" t="inlineStr">
        <is>
          <t>TRY</t>
        </is>
      </c>
      <c r="D2716" s="40" t="inlineStr">
        <is>
          <t>ROYAL ADAM EVE</t>
        </is>
      </c>
      <c r="E2716" s="38" t="n">
        <v>0</v>
      </c>
      <c r="F2716" s="38" t="n">
        <v>604220000</v>
      </c>
      <c r="G2716" s="38" t="n">
        <v>-604220000</v>
      </c>
      <c r="H2716" s="40" t="inlineStr">
        <is>
          <t>Alacak</t>
        </is>
      </c>
      <c r="I2716" s="38" t="n">
        <v>0</v>
      </c>
      <c r="J2716" s="38" t="n">
        <v>604220000</v>
      </c>
      <c r="K2716" s="38" t="n">
        <v>-604220000</v>
      </c>
      <c r="L2716" s="40" t="inlineStr">
        <is>
          <t>Alacak</t>
        </is>
      </c>
    </row>
    <row r="2717" s="34">
      <c r="A2717" s="40" t="inlineStr">
        <is>
          <t>900.02.02.0083</t>
        </is>
      </c>
      <c r="B2717" s="40" t="inlineStr">
        <is>
          <t>Halkbank 1.750.000 Euro 1.Derece</t>
        </is>
      </c>
      <c r="C2717" s="40" t="inlineStr">
        <is>
          <t>TRY</t>
        </is>
      </c>
      <c r="D2717" s="40" t="inlineStr">
        <is>
          <t>ROYAL ADAM EVE</t>
        </is>
      </c>
      <c r="E2717" s="38" t="n">
        <v>0</v>
      </c>
      <c r="F2717" s="38" t="n">
        <v>10573850</v>
      </c>
      <c r="G2717" s="38" t="n">
        <v>-10573850</v>
      </c>
      <c r="H2717" s="40" t="inlineStr">
        <is>
          <t>Alacak</t>
        </is>
      </c>
      <c r="I2717" s="38" t="n">
        <v>0</v>
      </c>
      <c r="J2717" s="38" t="n">
        <v>10573850</v>
      </c>
      <c r="K2717" s="38" t="n">
        <v>-10573850</v>
      </c>
      <c r="L2717" s="40" t="inlineStr">
        <is>
          <t>Alacak</t>
        </is>
      </c>
    </row>
    <row r="2718" s="34">
      <c r="A2718" s="40" t="inlineStr">
        <is>
          <t>900.02.02.0084</t>
        </is>
      </c>
      <c r="B2718" s="40" t="inlineStr">
        <is>
          <t>2084KRTM2026000187 TC Enerji Piyasası Düzenleme Kurumu</t>
        </is>
      </c>
      <c r="C2718" s="40" t="inlineStr">
        <is>
          <t>TRY</t>
        </is>
      </c>
      <c r="D2718" s="40" t="inlineStr">
        <is>
          <t>SERTAŞ MERKEZ</t>
        </is>
      </c>
      <c r="E2718" s="38" t="n">
        <v>33857943</v>
      </c>
      <c r="F2718" s="38" t="n">
        <v>0</v>
      </c>
      <c r="G2718" s="38" t="n">
        <v>33857943</v>
      </c>
      <c r="H2718" s="40" t="inlineStr">
        <is>
          <t>Borç</t>
        </is>
      </c>
      <c r="I2718" s="38" t="n">
        <v>33857943</v>
      </c>
      <c r="J2718" s="38" t="n">
        <v>0</v>
      </c>
      <c r="K2718" s="38" t="n">
        <v>33857943</v>
      </c>
      <c r="L2718" s="40" t="inlineStr">
        <is>
          <t>Borç</t>
        </is>
      </c>
    </row>
    <row r="2719" s="34">
      <c r="A2719" s="40" t="inlineStr">
        <is>
          <t>900.03</t>
        </is>
      </c>
      <c r="B2719" s="40" t="inlineStr">
        <is>
          <t>KIYMETLERİMİZİ İPOTEK ALANLAR</t>
        </is>
      </c>
      <c r="C2719" s="40" t="inlineStr">
        <is>
          <t>TRY</t>
        </is>
      </c>
      <c r="E2719" s="38" t="n">
        <v>0</v>
      </c>
      <c r="F2719" s="38" t="n">
        <v>1828470000</v>
      </c>
      <c r="G2719" s="38" t="n">
        <v>-1828470000</v>
      </c>
      <c r="I2719" s="38" t="n">
        <v>0</v>
      </c>
      <c r="J2719" s="38" t="n">
        <v>1828470000</v>
      </c>
      <c r="K2719" s="38" t="n">
        <v>-1828470000</v>
      </c>
    </row>
    <row r="2720" s="34">
      <c r="A2720" s="40" t="inlineStr">
        <is>
          <t>900.03.03.0001</t>
        </is>
      </c>
      <c r="B2720" s="40" t="inlineStr">
        <is>
          <t>Ingbank 50.000.000 Euro 1.Derece</t>
        </is>
      </c>
      <c r="C2720" s="40" t="inlineStr">
        <is>
          <t>TRY</t>
        </is>
      </c>
      <c r="D2720" s="40" t="inlineStr">
        <is>
          <t>SERTAŞ MERKEZ</t>
        </is>
      </c>
      <c r="E2720" s="38" t="n">
        <v>0</v>
      </c>
      <c r="F2720" s="38" t="n">
        <v>301400000</v>
      </c>
      <c r="G2720" s="38" t="n">
        <v>-301400000</v>
      </c>
      <c r="H2720" s="40" t="inlineStr">
        <is>
          <t>Alacak</t>
        </is>
      </c>
      <c r="I2720" s="38" t="n">
        <v>0</v>
      </c>
      <c r="J2720" s="38" t="n">
        <v>301400000</v>
      </c>
      <c r="K2720" s="38" t="n">
        <v>-301400000</v>
      </c>
      <c r="L2720" s="40" t="inlineStr">
        <is>
          <t>Alacak</t>
        </is>
      </c>
    </row>
    <row r="2721" s="34">
      <c r="A2721" s="40" t="inlineStr">
        <is>
          <t>900.03.03.0002</t>
        </is>
      </c>
      <c r="B2721" s="40" t="inlineStr">
        <is>
          <t>Garanti 45.000.000 Euro 1.Derece</t>
        </is>
      </c>
      <c r="C2721" s="40" t="inlineStr">
        <is>
          <t>TRY</t>
        </is>
      </c>
      <c r="D2721" s="40" t="inlineStr">
        <is>
          <t>SERTAŞ MERKEZ</t>
        </is>
      </c>
      <c r="E2721" s="38" t="n">
        <v>0</v>
      </c>
      <c r="F2721" s="38" t="n">
        <v>271260000</v>
      </c>
      <c r="G2721" s="38" t="n">
        <v>-271260000</v>
      </c>
      <c r="H2721" s="40" t="inlineStr">
        <is>
          <t>Alacak</t>
        </is>
      </c>
      <c r="I2721" s="38" t="n">
        <v>0</v>
      </c>
      <c r="J2721" s="38" t="n">
        <v>271260000</v>
      </c>
      <c r="K2721" s="38" t="n">
        <v>-271260000</v>
      </c>
      <c r="L2721" s="40" t="inlineStr">
        <is>
          <t>Alacak</t>
        </is>
      </c>
    </row>
    <row r="2722" s="34">
      <c r="A2722" s="40" t="inlineStr">
        <is>
          <t>900.03.03.0003</t>
        </is>
      </c>
      <c r="B2722" s="40" t="inlineStr">
        <is>
          <t>Garanti 5.000.000 TL 2.Derece</t>
        </is>
      </c>
      <c r="C2722" s="40" t="inlineStr">
        <is>
          <t>TRY</t>
        </is>
      </c>
      <c r="D2722" s="40" t="inlineStr">
        <is>
          <t>SERTAŞ MERKEZ</t>
        </is>
      </c>
      <c r="E2722" s="38" t="n">
        <v>0</v>
      </c>
      <c r="F2722" s="38" t="n">
        <v>5000000</v>
      </c>
      <c r="G2722" s="38" t="n">
        <v>-5000000</v>
      </c>
      <c r="H2722" s="40" t="inlineStr">
        <is>
          <t>Alacak</t>
        </is>
      </c>
      <c r="I2722" s="38" t="n">
        <v>0</v>
      </c>
      <c r="J2722" s="38" t="n">
        <v>5000000</v>
      </c>
      <c r="K2722" s="38" t="n">
        <v>-5000000</v>
      </c>
      <c r="L2722" s="40" t="inlineStr">
        <is>
          <t>Alacak</t>
        </is>
      </c>
    </row>
    <row r="2723" s="34">
      <c r="A2723" s="40" t="inlineStr">
        <is>
          <t>900.03.03.0004</t>
        </is>
      </c>
      <c r="B2723" s="40" t="inlineStr">
        <is>
          <t>Garanti 21.500.000 Euro 3.Derece</t>
        </is>
      </c>
      <c r="C2723" s="40" t="inlineStr">
        <is>
          <t>TRY</t>
        </is>
      </c>
      <c r="D2723" s="40" t="inlineStr">
        <is>
          <t>SERTAŞ MERKEZ</t>
        </is>
      </c>
      <c r="E2723" s="38" t="n">
        <v>0</v>
      </c>
      <c r="F2723" s="38" t="n">
        <v>129602000</v>
      </c>
      <c r="G2723" s="38" t="n">
        <v>-129602000</v>
      </c>
      <c r="H2723" s="40" t="inlineStr">
        <is>
          <t>Alacak</t>
        </is>
      </c>
      <c r="I2723" s="38" t="n">
        <v>0</v>
      </c>
      <c r="J2723" s="38" t="n">
        <v>129602000</v>
      </c>
      <c r="K2723" s="38" t="n">
        <v>-129602000</v>
      </c>
      <c r="L2723" s="40" t="inlineStr">
        <is>
          <t>Alacak</t>
        </is>
      </c>
    </row>
    <row r="2724" s="34">
      <c r="A2724" s="40" t="inlineStr">
        <is>
          <t>900.03.03.0005</t>
        </is>
      </c>
      <c r="B2724" s="40" t="inlineStr">
        <is>
          <t>Vakıfbank 58.500.000 Euro 1.Derece</t>
        </is>
      </c>
      <c r="C2724" s="40" t="inlineStr">
        <is>
          <t>TRY</t>
        </is>
      </c>
      <c r="D2724" s="40" t="inlineStr">
        <is>
          <t>SERTAŞ MERKEZ</t>
        </is>
      </c>
      <c r="E2724" s="38" t="n">
        <v>0</v>
      </c>
      <c r="F2724" s="38" t="n">
        <v>352638000</v>
      </c>
      <c r="G2724" s="38" t="n">
        <v>-352638000</v>
      </c>
      <c r="H2724" s="40" t="inlineStr">
        <is>
          <t>Alacak</t>
        </is>
      </c>
      <c r="I2724" s="38" t="n">
        <v>0</v>
      </c>
      <c r="J2724" s="38" t="n">
        <v>352638000</v>
      </c>
      <c r="K2724" s="38" t="n">
        <v>-352638000</v>
      </c>
      <c r="L2724" s="40" t="inlineStr">
        <is>
          <t>Alacak</t>
        </is>
      </c>
    </row>
    <row r="2725" s="34">
      <c r="A2725" s="40" t="inlineStr">
        <is>
          <t>900.03.03.0006</t>
        </is>
      </c>
      <c r="B2725" s="40" t="inlineStr">
        <is>
          <t>Vakıfbank 117.000.000 Euro 1.Derece</t>
        </is>
      </c>
      <c r="C2725" s="40" t="inlineStr">
        <is>
          <t>TRY</t>
        </is>
      </c>
      <c r="D2725" s="40" t="inlineStr">
        <is>
          <t>SERTAŞ MERKEZ</t>
        </is>
      </c>
      <c r="E2725" s="38" t="n">
        <v>0</v>
      </c>
      <c r="F2725" s="38" t="n">
        <v>705276000</v>
      </c>
      <c r="G2725" s="38" t="n">
        <v>-705276000</v>
      </c>
      <c r="H2725" s="40" t="inlineStr">
        <is>
          <t>Alacak</t>
        </is>
      </c>
      <c r="I2725" s="38" t="n">
        <v>0</v>
      </c>
      <c r="J2725" s="38" t="n">
        <v>705276000</v>
      </c>
      <c r="K2725" s="38" t="n">
        <v>-705276000</v>
      </c>
      <c r="L2725" s="40" t="inlineStr">
        <is>
          <t>Alacak</t>
        </is>
      </c>
    </row>
    <row r="2726" s="34">
      <c r="A2726" s="40" t="inlineStr">
        <is>
          <t>900.03.03.0007</t>
        </is>
      </c>
      <c r="B2726" s="40" t="inlineStr">
        <is>
          <t>Halkbank 10.500.000 Euro 1.Derece</t>
        </is>
      </c>
      <c r="C2726" s="40" t="inlineStr">
        <is>
          <t>TRY</t>
        </is>
      </c>
      <c r="D2726" s="40" t="inlineStr">
        <is>
          <t>SERTAŞ MERKEZ</t>
        </is>
      </c>
      <c r="E2726" s="38" t="n">
        <v>0</v>
      </c>
      <c r="F2726" s="38" t="n">
        <v>63294000</v>
      </c>
      <c r="G2726" s="38" t="n">
        <v>-63294000</v>
      </c>
      <c r="H2726" s="40" t="inlineStr">
        <is>
          <t>Alacak</t>
        </is>
      </c>
      <c r="I2726" s="38" t="n">
        <v>0</v>
      </c>
      <c r="J2726" s="38" t="n">
        <v>63294000</v>
      </c>
      <c r="K2726" s="38" t="n">
        <v>-63294000</v>
      </c>
      <c r="L2726" s="40" t="inlineStr">
        <is>
          <t>Alacak</t>
        </is>
      </c>
    </row>
    <row r="2727" s="34">
      <c r="A2727" s="40" t="inlineStr">
        <is>
          <t>900.04</t>
        </is>
      </c>
      <c r="B2727" s="40" t="inlineStr">
        <is>
          <t>TEMİNAT SENETLERİNDEN ALACAKLARIMIZ</t>
        </is>
      </c>
      <c r="C2727" s="40" t="inlineStr">
        <is>
          <t>TRY</t>
        </is>
      </c>
      <c r="E2727" s="38" t="n">
        <v>0</v>
      </c>
      <c r="F2727" s="38" t="n">
        <v>7073635.23</v>
      </c>
      <c r="G2727" s="38" t="n">
        <v>-7073635.23</v>
      </c>
      <c r="I2727" s="38" t="n">
        <v>0</v>
      </c>
      <c r="J2727" s="38" t="n">
        <v>7073635.23</v>
      </c>
      <c r="K2727" s="38" t="n">
        <v>-7073635.23</v>
      </c>
    </row>
    <row r="2728" s="34">
      <c r="A2728" s="40" t="inlineStr">
        <is>
          <t>900.04.04.0001</t>
        </is>
      </c>
      <c r="B2728" s="40" t="inlineStr">
        <is>
          <t>31.12.2023 Vade Tarihli Teminat Senedi/Dinamo Kozmetik A.Ş.</t>
        </is>
      </c>
      <c r="C2728" s="40" t="inlineStr">
        <is>
          <t>TRY</t>
        </is>
      </c>
      <c r="D2728" s="40" t="inlineStr">
        <is>
          <t>GİTAŞ MERKEZ</t>
        </is>
      </c>
      <c r="E2728" s="38" t="n">
        <v>0</v>
      </c>
      <c r="F2728" s="38" t="n">
        <v>2357878.41</v>
      </c>
      <c r="G2728" s="38" t="n">
        <v>-2357878.41</v>
      </c>
      <c r="H2728" s="40" t="inlineStr">
        <is>
          <t>Alacak</t>
        </is>
      </c>
      <c r="I2728" s="38" t="n">
        <v>0</v>
      </c>
      <c r="J2728" s="38" t="n">
        <v>2357878.41</v>
      </c>
      <c r="K2728" s="38" t="n">
        <v>-2357878.41</v>
      </c>
      <c r="L2728" s="40" t="inlineStr">
        <is>
          <t>Alacak</t>
        </is>
      </c>
    </row>
    <row r="2729" s="34">
      <c r="A2729" s="40" t="inlineStr">
        <is>
          <t>900.04.04.0001</t>
        </is>
      </c>
      <c r="B2729" s="40" t="inlineStr">
        <is>
          <t>31.12.2023 Vade Tarihli Teminat Senedi/Dinamo Kozmetik A.Ş.</t>
        </is>
      </c>
      <c r="C2729" s="40" t="inlineStr">
        <is>
          <t>TRY</t>
        </is>
      </c>
      <c r="D2729" s="40" t="inlineStr">
        <is>
          <t>ROYAL ADAM EVE</t>
        </is>
      </c>
      <c r="E2729" s="38" t="n">
        <v>0</v>
      </c>
      <c r="F2729" s="38" t="n">
        <v>2357878.41</v>
      </c>
      <c r="G2729" s="38" t="n">
        <v>-2357878.41</v>
      </c>
      <c r="H2729" s="40" t="inlineStr">
        <is>
          <t>Alacak</t>
        </is>
      </c>
      <c r="I2729" s="38" t="n">
        <v>0</v>
      </c>
      <c r="J2729" s="38" t="n">
        <v>2357878.41</v>
      </c>
      <c r="K2729" s="38" t="n">
        <v>-2357878.41</v>
      </c>
      <c r="L2729" s="40" t="inlineStr">
        <is>
          <t>Alacak</t>
        </is>
      </c>
    </row>
    <row r="2730" s="34">
      <c r="A2730" s="40" t="inlineStr">
        <is>
          <t>900.04.04.0001</t>
        </is>
      </c>
      <c r="B2730" s="40" t="inlineStr">
        <is>
          <t>31.12.2023 Vade Tarihli Teminat Senedi/Dinamo Kozmetik A.Ş.</t>
        </is>
      </c>
      <c r="C2730" s="40" t="inlineStr">
        <is>
          <t>TRY</t>
        </is>
      </c>
      <c r="D2730" s="40" t="inlineStr">
        <is>
          <t>SERTAŞ MERKEZ</t>
        </is>
      </c>
      <c r="E2730" s="38" t="n">
        <v>0</v>
      </c>
      <c r="F2730" s="38" t="n">
        <v>2357878.41</v>
      </c>
      <c r="G2730" s="38" t="n">
        <v>-2357878.41</v>
      </c>
      <c r="H2730" s="40" t="inlineStr">
        <is>
          <t>Alacak</t>
        </is>
      </c>
      <c r="I2730" s="38" t="n">
        <v>0</v>
      </c>
      <c r="J2730" s="38" t="n">
        <v>2357878.41</v>
      </c>
      <c r="K2730" s="38" t="n">
        <v>-2357878.41</v>
      </c>
      <c r="L2730" s="40" t="inlineStr">
        <is>
          <t>Alacak</t>
        </is>
      </c>
    </row>
    <row r="2731" s="34">
      <c r="A2731" s="40" t="inlineStr">
        <is>
          <t>900.05</t>
        </is>
      </c>
      <c r="B2731" s="40" t="inlineStr">
        <is>
          <t>TEMİNAT ÇEKLERİNDEN ALACAKLARIMIZ</t>
        </is>
      </c>
      <c r="C2731" s="40" t="inlineStr">
        <is>
          <t>TRY</t>
        </is>
      </c>
      <c r="E2731" s="38" t="n">
        <v>0</v>
      </c>
      <c r="F2731" s="38" t="n">
        <v>9853841.66</v>
      </c>
      <c r="G2731" s="38" t="n">
        <v>-9853841.66</v>
      </c>
      <c r="I2731" s="38" t="n">
        <v>0</v>
      </c>
      <c r="J2731" s="38" t="n">
        <v>9853841.66</v>
      </c>
      <c r="K2731" s="38" t="n">
        <v>-9853841.66</v>
      </c>
    </row>
    <row r="2732" s="34">
      <c r="A2732" s="40" t="inlineStr">
        <is>
          <t>900.05.05.0001</t>
        </is>
      </c>
      <c r="B2732" s="40" t="inlineStr">
        <is>
          <t>12.03.2026 Vade Tarihli 0007179 Nl.75.000,00 Eur Tem.Çeki/Arkon Org.Lt</t>
        </is>
      </c>
      <c r="C2732" s="40" t="inlineStr">
        <is>
          <t>TRY</t>
        </is>
      </c>
      <c r="D2732" s="40" t="inlineStr">
        <is>
          <t>SERTAŞ MERKEZ</t>
        </is>
      </c>
      <c r="E2732" s="38" t="n">
        <v>0</v>
      </c>
      <c r="F2732" s="38" t="n">
        <v>3588652.5</v>
      </c>
      <c r="G2732" s="38" t="n">
        <v>-3588652.5</v>
      </c>
      <c r="H2732" s="40" t="inlineStr">
        <is>
          <t>Alacak</t>
        </is>
      </c>
      <c r="I2732" s="38" t="n">
        <v>0</v>
      </c>
      <c r="J2732" s="38" t="n">
        <v>3588652.5</v>
      </c>
      <c r="K2732" s="38" t="n">
        <v>-3588652.5</v>
      </c>
      <c r="L2732" s="40" t="inlineStr">
        <is>
          <t>Alacak</t>
        </is>
      </c>
    </row>
    <row r="2733" s="34">
      <c r="A2733" s="40" t="inlineStr">
        <is>
          <t>900.05.05.0002</t>
        </is>
      </c>
      <c r="B2733" s="40" t="inlineStr">
        <is>
          <t>30.03.2026 Vade Tarihli 0007180 Nl.50.937,50 Eur Tem.Çeki/Arkon Org.Lt</t>
        </is>
      </c>
      <c r="C2733" s="40" t="inlineStr">
        <is>
          <t>TRY</t>
        </is>
      </c>
      <c r="D2733" s="40" t="inlineStr">
        <is>
          <t>SERTAŞ MERKEZ</t>
        </is>
      </c>
      <c r="E2733" s="38" t="n">
        <v>0</v>
      </c>
      <c r="F2733" s="38" t="n">
        <v>2437293.16</v>
      </c>
      <c r="G2733" s="38" t="n">
        <v>-2437293.16</v>
      </c>
      <c r="H2733" s="40" t="inlineStr">
        <is>
          <t>Alacak</t>
        </is>
      </c>
      <c r="I2733" s="38" t="n">
        <v>0</v>
      </c>
      <c r="J2733" s="38" t="n">
        <v>2437293.16</v>
      </c>
      <c r="K2733" s="38" t="n">
        <v>-2437293.16</v>
      </c>
      <c r="L2733" s="40" t="inlineStr">
        <is>
          <t>Alacak</t>
        </is>
      </c>
    </row>
    <row r="2734" s="34">
      <c r="A2734" s="40" t="inlineStr">
        <is>
          <t>900.05.05.0003</t>
        </is>
      </c>
      <c r="B2734" s="40" t="inlineStr">
        <is>
          <t>30.01.2026 Vade Tarihli 0007177 Nl.30.000,00 Eur Tem.Çeki/Arkon Org.Lt</t>
        </is>
      </c>
      <c r="C2734" s="40" t="inlineStr">
        <is>
          <t>TRY</t>
        </is>
      </c>
      <c r="D2734" s="40" t="inlineStr">
        <is>
          <t>SERTAŞ MERKEZ</t>
        </is>
      </c>
      <c r="E2734" s="38" t="n">
        <v>0</v>
      </c>
      <c r="F2734" s="38" t="n">
        <v>1435461</v>
      </c>
      <c r="G2734" s="38" t="n">
        <v>-1435461</v>
      </c>
      <c r="H2734" s="40" t="inlineStr">
        <is>
          <t>Alacak</t>
        </is>
      </c>
      <c r="I2734" s="38" t="n">
        <v>0</v>
      </c>
      <c r="J2734" s="38" t="n">
        <v>1435461</v>
      </c>
      <c r="K2734" s="38" t="n">
        <v>-1435461</v>
      </c>
      <c r="L2734" s="40" t="inlineStr">
        <is>
          <t>Alacak</t>
        </is>
      </c>
    </row>
    <row r="2735" s="34">
      <c r="A2735" s="40" t="inlineStr">
        <is>
          <t>900.05.05.0004</t>
        </is>
      </c>
      <c r="B2735" s="40" t="inlineStr">
        <is>
          <t>16.02.2026 Vade Tarihli 0007178 Nl.50.000,00 Eur Tem.Çeki/Arkon Org.Lt</t>
        </is>
      </c>
      <c r="C2735" s="40" t="inlineStr">
        <is>
          <t>TRY</t>
        </is>
      </c>
      <c r="D2735" s="40" t="inlineStr">
        <is>
          <t>SERTAŞ MERKEZ</t>
        </is>
      </c>
      <c r="E2735" s="38" t="n">
        <v>0</v>
      </c>
      <c r="F2735" s="38" t="n">
        <v>2392435</v>
      </c>
      <c r="G2735" s="38" t="n">
        <v>-2392435</v>
      </c>
      <c r="H2735" s="40" t="inlineStr">
        <is>
          <t>Alacak</t>
        </is>
      </c>
      <c r="I2735" s="38" t="n">
        <v>0</v>
      </c>
      <c r="J2735" s="38" t="n">
        <v>2392435</v>
      </c>
      <c r="K2735" s="38" t="n">
        <v>-2392435</v>
      </c>
      <c r="L2735" s="40" t="inlineStr">
        <is>
          <t>Alacak</t>
        </is>
      </c>
    </row>
    <row r="2736" s="34">
      <c r="A2736" s="40" t="inlineStr">
        <is>
          <t>900.06</t>
        </is>
      </c>
      <c r="B2736" s="40" t="inlineStr">
        <is>
          <t>ALINAN TEMİNAT MEKTUBU ENERJİ</t>
        </is>
      </c>
      <c r="C2736" s="40" t="inlineStr">
        <is>
          <t>TRY</t>
        </is>
      </c>
      <c r="E2736" s="38" t="n">
        <v>1082368900</v>
      </c>
      <c r="F2736" s="38" t="n">
        <v>0</v>
      </c>
      <c r="G2736" s="38" t="n">
        <v>1082368900</v>
      </c>
      <c r="I2736" s="38" t="n">
        <v>20375000</v>
      </c>
      <c r="J2736" s="38" t="n">
        <v>0</v>
      </c>
      <c r="K2736" s="38" t="n">
        <v>20375000</v>
      </c>
    </row>
    <row r="2737" s="34">
      <c r="A2737" s="40" t="inlineStr">
        <is>
          <t>900.06.06.0002</t>
        </is>
      </c>
      <c r="B2737" s="40" t="inlineStr">
        <is>
          <t>30.12.2025 Seri:12467246-56548341-102-30 6.375.000 Euro Ges Enerji Akbank</t>
        </is>
      </c>
      <c r="C2737" s="40" t="inlineStr">
        <is>
          <t>TRY</t>
        </is>
      </c>
      <c r="D2737" s="40" t="inlineStr">
        <is>
          <t>SERTAŞ MERKEZ</t>
        </is>
      </c>
      <c r="E2737" s="38" t="n">
        <v>338655300</v>
      </c>
      <c r="F2737" s="38" t="n">
        <v>0</v>
      </c>
      <c r="G2737" s="38" t="n">
        <v>338655300</v>
      </c>
      <c r="H2737" s="40" t="inlineStr">
        <is>
          <t>Borç</t>
        </is>
      </c>
      <c r="I2737" s="38" t="n">
        <v>6375000</v>
      </c>
      <c r="J2737" s="38" t="n">
        <v>0</v>
      </c>
      <c r="K2737" s="38" t="n">
        <v>6375000</v>
      </c>
      <c r="L2737" s="40" t="inlineStr">
        <is>
          <t>Borç</t>
        </is>
      </c>
    </row>
    <row r="2738" s="34">
      <c r="A2738" s="40" t="inlineStr">
        <is>
          <t>900.06.06.0003</t>
        </is>
      </c>
      <c r="B2738" s="40" t="inlineStr">
        <is>
          <t>2084krtm260002 Enerji ve Tabi Kaynaklar Bakanlığı 14.000.000 Euro Ges Enerji Ziraat</t>
        </is>
      </c>
      <c r="C2738" s="40" t="inlineStr">
        <is>
          <t>TRY</t>
        </is>
      </c>
      <c r="D2738" s="40" t="inlineStr">
        <is>
          <t>SERTAŞ MERKEZ</t>
        </is>
      </c>
      <c r="E2738" s="38" t="n">
        <v>743713600</v>
      </c>
      <c r="F2738" s="38" t="n">
        <v>0</v>
      </c>
      <c r="G2738" s="38" t="n">
        <v>743713600</v>
      </c>
      <c r="H2738" s="40" t="inlineStr">
        <is>
          <t>Borç</t>
        </is>
      </c>
      <c r="I2738" s="38" t="n">
        <v>14000000</v>
      </c>
      <c r="J2738" s="38" t="n">
        <v>0</v>
      </c>
      <c r="K2738" s="38" t="n">
        <v>14000000</v>
      </c>
      <c r="L2738" s="40" t="inlineStr">
        <is>
          <t>Borç</t>
        </is>
      </c>
    </row>
    <row r="2739" s="34">
      <c r="A2739" s="40" t="inlineStr">
        <is>
          <t>900.07</t>
        </is>
      </c>
      <c r="B2739" s="40" t="inlineStr">
        <is>
          <t>İCRA DAİRESİ TEMINAT MEKTUBU</t>
        </is>
      </c>
      <c r="C2739" s="40" t="inlineStr">
        <is>
          <t>TRY</t>
        </is>
      </c>
      <c r="E2739" s="38" t="n">
        <v>870000</v>
      </c>
      <c r="F2739" s="38" t="n">
        <v>0</v>
      </c>
      <c r="G2739" s="38" t="n">
        <v>870000</v>
      </c>
      <c r="I2739" s="38" t="n">
        <v>870000</v>
      </c>
      <c r="J2739" s="38" t="n">
        <v>0</v>
      </c>
      <c r="K2739" s="38" t="n">
        <v>870000</v>
      </c>
    </row>
    <row r="2740" s="34">
      <c r="A2740" s="40" t="inlineStr">
        <is>
          <t>900.07.01.0003</t>
        </is>
      </c>
      <c r="B2740" s="40" t="inlineStr">
        <is>
          <t>2084KRTM26000380 2026/4863 E.Sayılı Dosyası Ahmet Kökdil</t>
        </is>
      </c>
      <c r="C2740" s="40" t="inlineStr">
        <is>
          <t>TRY</t>
        </is>
      </c>
      <c r="D2740" s="40" t="inlineStr">
        <is>
          <t>SERTAŞ MERKEZ</t>
        </is>
      </c>
      <c r="E2740" s="38" t="n">
        <v>870000</v>
      </c>
      <c r="F2740" s="38" t="n">
        <v>0</v>
      </c>
      <c r="G2740" s="38" t="n">
        <v>870000</v>
      </c>
      <c r="H2740" s="40" t="inlineStr">
        <is>
          <t>Borç</t>
        </is>
      </c>
      <c r="I2740" s="38" t="n">
        <v>870000</v>
      </c>
      <c r="J2740" s="38" t="n">
        <v>0</v>
      </c>
      <c r="K2740" s="38" t="n">
        <v>870000</v>
      </c>
      <c r="L2740" s="40" t="inlineStr">
        <is>
          <t>Borç</t>
        </is>
      </c>
    </row>
    <row r="2741" s="34">
      <c r="A2741" s="40" t="inlineStr">
        <is>
          <t>901</t>
        </is>
      </c>
      <c r="B2741" s="40" t="inlineStr">
        <is>
          <t>ALINAN TEMINATLAR ALACAKLI HESABI</t>
        </is>
      </c>
      <c r="C2741" s="40" t="inlineStr">
        <is>
          <t>TRY</t>
        </is>
      </c>
      <c r="E2741" s="38" t="n">
        <v>3108180361.04</v>
      </c>
      <c r="F2741" s="38" t="n">
        <v>1124720832.67</v>
      </c>
      <c r="G2741" s="38" t="n">
        <v>1983459528.37</v>
      </c>
      <c r="I2741" s="38" t="n">
        <v>3108180361.04</v>
      </c>
      <c r="J2741" s="38" t="n">
        <v>62726932.67</v>
      </c>
      <c r="K2741" s="38" t="n">
        <v>3045453428.37</v>
      </c>
    </row>
    <row r="2742" s="34">
      <c r="A2742" s="40" t="inlineStr">
        <is>
          <t>901.01</t>
        </is>
      </c>
      <c r="B2742" s="40" t="inlineStr">
        <is>
          <t>ALINAN TEMINAT MEKTUBU</t>
        </is>
      </c>
      <c r="C2742" s="40" t="inlineStr">
        <is>
          <t>TRY</t>
        </is>
      </c>
      <c r="E2742" s="38" t="n">
        <v>191638512.5</v>
      </c>
      <c r="F2742" s="38" t="n">
        <v>7623989.67</v>
      </c>
      <c r="G2742" s="38" t="n">
        <v>184014522.83</v>
      </c>
      <c r="I2742" s="38" t="n">
        <v>191638512.5</v>
      </c>
      <c r="J2742" s="38" t="n">
        <v>7623989.67</v>
      </c>
      <c r="K2742" s="38" t="n">
        <v>184014522.83</v>
      </c>
    </row>
    <row r="2743" s="34">
      <c r="A2743" s="40" t="inlineStr">
        <is>
          <t>901.01.01.0005</t>
        </is>
      </c>
      <c r="B2743" s="40" t="inlineStr">
        <is>
          <t>2084Krtm26000053 Nl.2025/395 Karar Saylı Ziraat Bankası Teminat Mektubu 821.000,00 TL</t>
        </is>
      </c>
      <c r="C2743" s="40" t="inlineStr">
        <is>
          <t>TRY</t>
        </is>
      </c>
      <c r="D2743" s="40" t="inlineStr">
        <is>
          <t>SERTAŞ MERKEZ</t>
        </is>
      </c>
      <c r="E2743" s="38" t="n">
        <v>821000</v>
      </c>
      <c r="F2743" s="38" t="n">
        <v>0</v>
      </c>
      <c r="G2743" s="38" t="n">
        <v>821000</v>
      </c>
      <c r="H2743" s="40" t="inlineStr">
        <is>
          <t>Borç</t>
        </is>
      </c>
      <c r="I2743" s="38" t="n">
        <v>821000</v>
      </c>
      <c r="J2743" s="38" t="n">
        <v>0</v>
      </c>
      <c r="K2743" s="38" t="n">
        <v>821000</v>
      </c>
      <c r="L2743" s="40" t="inlineStr">
        <is>
          <t>Borç</t>
        </is>
      </c>
    </row>
    <row r="2744" s="34">
      <c r="A2744" s="40" t="inlineStr">
        <is>
          <t>901.01.01.0015</t>
        </is>
      </c>
      <c r="B2744" s="40" t="inlineStr">
        <is>
          <t>Manavgat Mal Mud.180Ada1Prsl(Süresiz)</t>
        </is>
      </c>
      <c r="C2744" s="40" t="inlineStr">
        <is>
          <t>TRY</t>
        </is>
      </c>
      <c r="D2744" s="40" t="inlineStr">
        <is>
          <t>GİTAŞ MERKEZ</t>
        </is>
      </c>
      <c r="E2744" s="38" t="n">
        <v>261000</v>
      </c>
      <c r="F2744" s="38" t="n">
        <v>0</v>
      </c>
      <c r="G2744" s="38" t="n">
        <v>261000</v>
      </c>
      <c r="H2744" s="40" t="inlineStr">
        <is>
          <t>Borç</t>
        </is>
      </c>
      <c r="I2744" s="38" t="n">
        <v>261000</v>
      </c>
      <c r="J2744" s="38" t="n">
        <v>0</v>
      </c>
      <c r="K2744" s="38" t="n">
        <v>261000</v>
      </c>
      <c r="L2744" s="40" t="inlineStr">
        <is>
          <t>Borç</t>
        </is>
      </c>
    </row>
    <row r="2745" s="34">
      <c r="A2745" s="40" t="inlineStr">
        <is>
          <t>901.01.01.0016</t>
        </is>
      </c>
      <c r="B2745" s="40" t="inlineStr">
        <is>
          <t>Manavgat Beld.12687Ada6Prsl(Süresiz)</t>
        </is>
      </c>
      <c r="C2745" s="40" t="inlineStr">
        <is>
          <t>TRY</t>
        </is>
      </c>
      <c r="D2745" s="40" t="inlineStr">
        <is>
          <t>GİTAŞ MERKEZ</t>
        </is>
      </c>
      <c r="E2745" s="38" t="n">
        <v>53550</v>
      </c>
      <c r="F2745" s="38" t="n">
        <v>0</v>
      </c>
      <c r="G2745" s="38" t="n">
        <v>53550</v>
      </c>
      <c r="H2745" s="40" t="inlineStr">
        <is>
          <t>Borç</t>
        </is>
      </c>
      <c r="I2745" s="38" t="n">
        <v>53550</v>
      </c>
      <c r="J2745" s="38" t="n">
        <v>0</v>
      </c>
      <c r="K2745" s="38" t="n">
        <v>53550</v>
      </c>
      <c r="L2745" s="40" t="inlineStr">
        <is>
          <t>Borç</t>
        </is>
      </c>
    </row>
    <row r="2746" s="34">
      <c r="A2746" s="40" t="inlineStr">
        <is>
          <t>901.01.01.0017</t>
        </is>
      </c>
      <c r="B2746" s="40" t="inlineStr">
        <is>
          <t>2084KRTM19000059/27/05/2022 Vdl.812.500,00 Eur Tem.Mek/Türkiye İhracat</t>
        </is>
      </c>
      <c r="C2746" s="40" t="inlineStr">
        <is>
          <t>TRY</t>
        </is>
      </c>
      <c r="D2746" s="40" t="inlineStr">
        <is>
          <t>GİTAŞ MERKEZ</t>
        </is>
      </c>
      <c r="E2746" s="38" t="n">
        <v>4900837.5</v>
      </c>
      <c r="F2746" s="38" t="n">
        <v>0</v>
      </c>
      <c r="G2746" s="38" t="n">
        <v>4900837.5</v>
      </c>
      <c r="H2746" s="40" t="inlineStr">
        <is>
          <t>Borç</t>
        </is>
      </c>
      <c r="I2746" s="38" t="n">
        <v>4900837.5</v>
      </c>
      <c r="J2746" s="38" t="n">
        <v>0</v>
      </c>
      <c r="K2746" s="38" t="n">
        <v>4900837.5</v>
      </c>
      <c r="L2746" s="40" t="inlineStr">
        <is>
          <t>Borç</t>
        </is>
      </c>
    </row>
    <row r="2747" s="34">
      <c r="A2747" s="40" t="inlineStr">
        <is>
          <t>901.01.01.0018</t>
        </is>
      </c>
      <c r="B2747" s="40" t="inlineStr">
        <is>
          <t>2020061800121005724/19/07/2022 Vdl.2.000.000,00 Eur KesinTem.Mek/Türkiye Halkbankası A.ş.7.6884</t>
        </is>
      </c>
      <c r="C2747" s="40" t="inlineStr">
        <is>
          <t>TRY</t>
        </is>
      </c>
      <c r="D2747" s="40" t="inlineStr">
        <is>
          <t>GİTAŞ MERKEZ</t>
        </is>
      </c>
      <c r="E2747" s="38" t="n">
        <v>15376800</v>
      </c>
      <c r="F2747" s="38" t="n">
        <v>0</v>
      </c>
      <c r="G2747" s="38" t="n">
        <v>15376800</v>
      </c>
      <c r="H2747" s="40" t="inlineStr">
        <is>
          <t>Borç</t>
        </is>
      </c>
      <c r="I2747" s="38" t="n">
        <v>15376800</v>
      </c>
      <c r="J2747" s="38" t="n">
        <v>0</v>
      </c>
      <c r="K2747" s="38" t="n">
        <v>15376800</v>
      </c>
      <c r="L2747" s="40" t="inlineStr">
        <is>
          <t>Borç</t>
        </is>
      </c>
    </row>
    <row r="2748" s="34">
      <c r="A2748" s="40" t="inlineStr">
        <is>
          <t>901.01.01.0019</t>
        </is>
      </c>
      <c r="B2748" s="40" t="inlineStr">
        <is>
          <t>2020063000121006006/25/07/2022 Vdl.3.000.000,00 Eur KesinTem.Mek/Türkiye Halkbankası A.ş.7.7082</t>
        </is>
      </c>
      <c r="C2748" s="40" t="inlineStr">
        <is>
          <t>TRY</t>
        </is>
      </c>
      <c r="D2748" s="40" t="inlineStr">
        <is>
          <t>GİTAŞ MERKEZ</t>
        </is>
      </c>
      <c r="E2748" s="38" t="n">
        <v>23124600</v>
      </c>
      <c r="F2748" s="38" t="n">
        <v>0</v>
      </c>
      <c r="G2748" s="38" t="n">
        <v>23124600</v>
      </c>
      <c r="H2748" s="40" t="inlineStr">
        <is>
          <t>Borç</t>
        </is>
      </c>
      <c r="I2748" s="38" t="n">
        <v>23124600</v>
      </c>
      <c r="J2748" s="38" t="n">
        <v>0</v>
      </c>
      <c r="K2748" s="38" t="n">
        <v>23124600</v>
      </c>
      <c r="L2748" s="40" t="inlineStr">
        <is>
          <t>Borç</t>
        </is>
      </c>
    </row>
    <row r="2749" s="34">
      <c r="A2749" s="40" t="inlineStr">
        <is>
          <t>901.01.01.0020</t>
        </is>
      </c>
      <c r="B2749" s="40" t="inlineStr">
        <is>
          <t>2020062300121005842/25/07/2022 Vdl.3.000.000,00 Eur KesinTem.Mek/Türkiye Halkbanksı .A.ş.7.6713</t>
        </is>
      </c>
      <c r="C2749" s="40" t="inlineStr">
        <is>
          <t>TRY</t>
        </is>
      </c>
      <c r="D2749" s="40" t="inlineStr">
        <is>
          <t>GİTAŞ MERKEZ</t>
        </is>
      </c>
      <c r="E2749" s="38" t="n">
        <v>23013900</v>
      </c>
      <c r="F2749" s="38" t="n">
        <v>0</v>
      </c>
      <c r="G2749" s="38" t="n">
        <v>23013900</v>
      </c>
      <c r="H2749" s="40" t="inlineStr">
        <is>
          <t>Borç</t>
        </is>
      </c>
      <c r="I2749" s="38" t="n">
        <v>23013900</v>
      </c>
      <c r="J2749" s="38" t="n">
        <v>0</v>
      </c>
      <c r="K2749" s="38" t="n">
        <v>23013900</v>
      </c>
      <c r="L2749" s="40" t="inlineStr">
        <is>
          <t>Borç</t>
        </is>
      </c>
    </row>
    <row r="2750" s="34">
      <c r="A2750" s="40" t="inlineStr">
        <is>
          <t>901.01.01.0021</t>
        </is>
      </c>
      <c r="B2750" s="40" t="inlineStr">
        <is>
          <t>2020061800121005731/13/09/2022 Vdl.160.000.00 Eur KesinTem.Mek/Türkiye Halkbankası A.ş.7.6884</t>
        </is>
      </c>
      <c r="C2750" s="40" t="inlineStr">
        <is>
          <t>TRY</t>
        </is>
      </c>
      <c r="D2750" s="40" t="inlineStr">
        <is>
          <t>GİTAŞ MERKEZ</t>
        </is>
      </c>
      <c r="E2750" s="38" t="n">
        <v>1230144</v>
      </c>
      <c r="F2750" s="38" t="n">
        <v>0</v>
      </c>
      <c r="G2750" s="38" t="n">
        <v>1230144</v>
      </c>
      <c r="H2750" s="40" t="inlineStr">
        <is>
          <t>Borç</t>
        </is>
      </c>
      <c r="I2750" s="38" t="n">
        <v>1230144</v>
      </c>
      <c r="J2750" s="38" t="n">
        <v>0</v>
      </c>
      <c r="K2750" s="38" t="n">
        <v>1230144</v>
      </c>
      <c r="L2750" s="40" t="inlineStr">
        <is>
          <t>Borç</t>
        </is>
      </c>
    </row>
    <row r="2751" s="34">
      <c r="A2751" s="40" t="inlineStr">
        <is>
          <t>901.01.01.0022</t>
        </is>
      </c>
      <c r="B2751" s="40" t="inlineStr">
        <is>
          <t>2020062300121005839/25/07/2022 Vdl.240.000.00 Eur KesinTem.Mek/Türkiye Halkbankası  A.ş.7.6713</t>
        </is>
      </c>
      <c r="C2751" s="40" t="inlineStr">
        <is>
          <t>TRY</t>
        </is>
      </c>
      <c r="D2751" s="40" t="inlineStr">
        <is>
          <t>GİTAŞ MERKEZ</t>
        </is>
      </c>
      <c r="E2751" s="38" t="n">
        <v>1841112</v>
      </c>
      <c r="F2751" s="38" t="n">
        <v>0</v>
      </c>
      <c r="G2751" s="38" t="n">
        <v>1841112</v>
      </c>
      <c r="H2751" s="40" t="inlineStr">
        <is>
          <t>Borç</t>
        </is>
      </c>
      <c r="I2751" s="38" t="n">
        <v>1841112</v>
      </c>
      <c r="J2751" s="38" t="n">
        <v>0</v>
      </c>
      <c r="K2751" s="38" t="n">
        <v>1841112</v>
      </c>
      <c r="L2751" s="40" t="inlineStr">
        <is>
          <t>Borç</t>
        </is>
      </c>
    </row>
    <row r="2752" s="34">
      <c r="A2752" s="40" t="inlineStr">
        <is>
          <t>901.01.01.0023</t>
        </is>
      </c>
      <c r="B2752" s="40" t="inlineStr">
        <is>
          <t>2020063000121006007/25/07/2022 Vdl.240.000.00 Eur KesinTem.Mek/Türkiye Halkbankası A.ş.7.7082</t>
        </is>
      </c>
      <c r="C2752" s="40" t="inlineStr">
        <is>
          <t>TRY</t>
        </is>
      </c>
      <c r="D2752" s="40" t="inlineStr">
        <is>
          <t>GİTAŞ MERKEZ</t>
        </is>
      </c>
      <c r="E2752" s="38" t="n">
        <v>1849968</v>
      </c>
      <c r="F2752" s="38" t="n">
        <v>0</v>
      </c>
      <c r="G2752" s="38" t="n">
        <v>1849968</v>
      </c>
      <c r="H2752" s="40" t="inlineStr">
        <is>
          <t>Borç</t>
        </is>
      </c>
      <c r="I2752" s="38" t="n">
        <v>1849968</v>
      </c>
      <c r="J2752" s="38" t="n">
        <v>0</v>
      </c>
      <c r="K2752" s="38" t="n">
        <v>1849968</v>
      </c>
      <c r="L2752" s="40" t="inlineStr">
        <is>
          <t>Borç</t>
        </is>
      </c>
    </row>
    <row r="2753" s="34">
      <c r="A2753" s="40" t="inlineStr">
        <is>
          <t>901.01.01.0024</t>
        </is>
      </c>
      <c r="B2753" s="40" t="inlineStr">
        <is>
          <t>2084KRTM21000017/22/03/2022 Vdl.850.000.00 Eur KesinTem.Mek/Ziraat Bankası 8.5374</t>
        </is>
      </c>
      <c r="C2753" s="40" t="inlineStr">
        <is>
          <t>TRY</t>
        </is>
      </c>
      <c r="D2753" s="40" t="inlineStr">
        <is>
          <t>GİTAŞ MERKEZ</t>
        </is>
      </c>
      <c r="E2753" s="38" t="n">
        <v>7256790</v>
      </c>
      <c r="F2753" s="38" t="n">
        <v>0</v>
      </c>
      <c r="G2753" s="38" t="n">
        <v>7256790</v>
      </c>
      <c r="H2753" s="40" t="inlineStr">
        <is>
          <t>Borç</t>
        </is>
      </c>
      <c r="I2753" s="38" t="n">
        <v>7256790</v>
      </c>
      <c r="J2753" s="38" t="n">
        <v>0</v>
      </c>
      <c r="K2753" s="38" t="n">
        <v>7256790</v>
      </c>
      <c r="L2753" s="40" t="inlineStr">
        <is>
          <t>Borç</t>
        </is>
      </c>
    </row>
    <row r="2754" s="34">
      <c r="A2754" s="40" t="inlineStr">
        <is>
          <t>901.01.01.0025</t>
        </is>
      </c>
      <c r="B2754" s="40" t="inlineStr">
        <is>
          <t>2084KRTM21000019/16/06/2022 Vdl.34.000.00 Eur KesinTem.Mek/Ziraat Bankası 8.5374</t>
        </is>
      </c>
      <c r="C2754" s="40" t="inlineStr">
        <is>
          <t>TRY</t>
        </is>
      </c>
      <c r="D2754" s="40" t="inlineStr">
        <is>
          <t>GİTAŞ MERKEZ</t>
        </is>
      </c>
      <c r="E2754" s="38" t="n">
        <v>290271.6</v>
      </c>
      <c r="F2754" s="38" t="n">
        <v>0</v>
      </c>
      <c r="G2754" s="38" t="n">
        <v>290271.6</v>
      </c>
      <c r="H2754" s="40" t="inlineStr">
        <is>
          <t>Borç</t>
        </is>
      </c>
      <c r="I2754" s="38" t="n">
        <v>290271.6</v>
      </c>
      <c r="J2754" s="38" t="n">
        <v>0</v>
      </c>
      <c r="K2754" s="38" t="n">
        <v>290271.6</v>
      </c>
      <c r="L2754" s="40" t="inlineStr">
        <is>
          <t>Borç</t>
        </is>
      </c>
    </row>
    <row r="2755" s="34">
      <c r="A2755" s="40" t="inlineStr">
        <is>
          <t>901.01.01.0026</t>
        </is>
      </c>
      <c r="B2755" s="40" t="inlineStr">
        <is>
          <t>2021093000641043753/25/07/2022 Vdl.3.000.000.00 Eur KesinTem.Mek/İş Bankası 10.3135</t>
        </is>
      </c>
      <c r="C2755" s="40" t="inlineStr">
        <is>
          <t>TRY</t>
        </is>
      </c>
      <c r="D2755" s="40" t="inlineStr">
        <is>
          <t>GİTAŞ MERKEZ</t>
        </is>
      </c>
      <c r="E2755" s="38" t="n">
        <v>30940500</v>
      </c>
      <c r="F2755" s="38" t="n">
        <v>0</v>
      </c>
      <c r="G2755" s="38" t="n">
        <v>30940500</v>
      </c>
      <c r="H2755" s="40" t="inlineStr">
        <is>
          <t>Borç</t>
        </is>
      </c>
      <c r="I2755" s="38" t="n">
        <v>30940500</v>
      </c>
      <c r="J2755" s="38" t="n">
        <v>0</v>
      </c>
      <c r="K2755" s="38" t="n">
        <v>30940500</v>
      </c>
      <c r="L2755" s="40" t="inlineStr">
        <is>
          <t>Borç</t>
        </is>
      </c>
    </row>
    <row r="2756" s="34">
      <c r="A2756" s="40" t="inlineStr">
        <is>
          <t>901.01.01.0027</t>
        </is>
      </c>
      <c r="B2756" s="40" t="inlineStr">
        <is>
          <t>2021093000641043754/25/07/2022 Vdl.3.000.000.00 Eur KesinTem.Mek/İş Bankası 10.3135</t>
        </is>
      </c>
      <c r="C2756" s="40" t="inlineStr">
        <is>
          <t>TRY</t>
        </is>
      </c>
      <c r="D2756" s="40" t="inlineStr">
        <is>
          <t>GİTAŞ MERKEZ</t>
        </is>
      </c>
      <c r="E2756" s="38" t="n">
        <v>30940500</v>
      </c>
      <c r="F2756" s="38" t="n">
        <v>0</v>
      </c>
      <c r="G2756" s="38" t="n">
        <v>30940500</v>
      </c>
      <c r="H2756" s="40" t="inlineStr">
        <is>
          <t>Borç</t>
        </is>
      </c>
      <c r="I2756" s="38" t="n">
        <v>30940500</v>
      </c>
      <c r="J2756" s="38" t="n">
        <v>0</v>
      </c>
      <c r="K2756" s="38" t="n">
        <v>30940500</v>
      </c>
      <c r="L2756" s="40" t="inlineStr">
        <is>
          <t>Borç</t>
        </is>
      </c>
    </row>
    <row r="2757" s="34">
      <c r="A2757" s="40" t="inlineStr">
        <is>
          <t>901.01.01.0028</t>
        </is>
      </c>
      <c r="B2757" s="40" t="inlineStr">
        <is>
          <t>2021093000641043755/25/07/2022 Vdl.240.000.00 Eur KesinTem.Mek/İş Bankası 10.3135</t>
        </is>
      </c>
      <c r="C2757" s="40" t="inlineStr">
        <is>
          <t>TRY</t>
        </is>
      </c>
      <c r="D2757" s="40" t="inlineStr">
        <is>
          <t>GİTAŞ MERKEZ</t>
        </is>
      </c>
      <c r="E2757" s="38" t="n">
        <v>2475240</v>
      </c>
      <c r="F2757" s="38" t="n">
        <v>0</v>
      </c>
      <c r="G2757" s="38" t="n">
        <v>2475240</v>
      </c>
      <c r="H2757" s="40" t="inlineStr">
        <is>
          <t>Borç</t>
        </is>
      </c>
      <c r="I2757" s="38" t="n">
        <v>2475240</v>
      </c>
      <c r="J2757" s="38" t="n">
        <v>0</v>
      </c>
      <c r="K2757" s="38" t="n">
        <v>2475240</v>
      </c>
      <c r="L2757" s="40" t="inlineStr">
        <is>
          <t>Borç</t>
        </is>
      </c>
    </row>
    <row r="2758" s="34">
      <c r="A2758" s="40" t="inlineStr">
        <is>
          <t>901.01.01.0029</t>
        </is>
      </c>
      <c r="B2758" s="40" t="inlineStr">
        <is>
          <t>2021093000641043757/25/07/2022 Vdl.240.000.00 Eur KesinTem.Mek/İş Bankası 10.3135</t>
        </is>
      </c>
      <c r="C2758" s="40" t="inlineStr">
        <is>
          <t>TRY</t>
        </is>
      </c>
      <c r="D2758" s="40" t="inlineStr">
        <is>
          <t>GİTAŞ MERKEZ</t>
        </is>
      </c>
      <c r="E2758" s="38" t="n">
        <v>2475240</v>
      </c>
      <c r="F2758" s="38" t="n">
        <v>0</v>
      </c>
      <c r="G2758" s="38" t="n">
        <v>2475240</v>
      </c>
      <c r="H2758" s="40" t="inlineStr">
        <is>
          <t>Borç</t>
        </is>
      </c>
      <c r="I2758" s="38" t="n">
        <v>2475240</v>
      </c>
      <c r="J2758" s="38" t="n">
        <v>0</v>
      </c>
      <c r="K2758" s="38" t="n">
        <v>2475240</v>
      </c>
      <c r="L2758" s="40" t="inlineStr">
        <is>
          <t>Borç</t>
        </is>
      </c>
    </row>
    <row r="2759" s="34">
      <c r="A2759" s="40" t="inlineStr">
        <is>
          <t>901.01.01.0030</t>
        </is>
      </c>
      <c r="B2759" s="40" t="inlineStr">
        <is>
          <t>2021110800641046845/19/07/2022 Vdl.2.000.000,00 Eur KesinTem.Mek/İş Bankası Kur:11.2013</t>
        </is>
      </c>
      <c r="C2759" s="40" t="inlineStr">
        <is>
          <t>TRY</t>
        </is>
      </c>
      <c r="D2759" s="40" t="inlineStr">
        <is>
          <t>GİTAŞ MERKEZ</t>
        </is>
      </c>
      <c r="E2759" s="38" t="n">
        <v>22402600</v>
      </c>
      <c r="F2759" s="38" t="n">
        <v>0</v>
      </c>
      <c r="G2759" s="38" t="n">
        <v>22402600</v>
      </c>
      <c r="H2759" s="40" t="inlineStr">
        <is>
          <t>Borç</t>
        </is>
      </c>
      <c r="I2759" s="38" t="n">
        <v>22402600</v>
      </c>
      <c r="J2759" s="38" t="n">
        <v>0</v>
      </c>
      <c r="K2759" s="38" t="n">
        <v>22402600</v>
      </c>
      <c r="L2759" s="40" t="inlineStr">
        <is>
          <t>Borç</t>
        </is>
      </c>
    </row>
    <row r="2760" s="34">
      <c r="A2760" s="40" t="inlineStr">
        <is>
          <t>901.01.01.0031</t>
        </is>
      </c>
      <c r="B2760" s="40" t="inlineStr">
        <is>
          <t>2021110800641046817/13/09/2022 Vdl.160.000,00 Eur KesinTem.Mek/İş Bankası Kur:11,2013</t>
        </is>
      </c>
      <c r="C2760" s="40" t="inlineStr">
        <is>
          <t>TRY</t>
        </is>
      </c>
      <c r="D2760" s="40" t="inlineStr">
        <is>
          <t>GİTAŞ MERKEZ</t>
        </is>
      </c>
      <c r="E2760" s="38" t="n">
        <v>1792208</v>
      </c>
      <c r="F2760" s="38" t="n">
        <v>0</v>
      </c>
      <c r="G2760" s="38" t="n">
        <v>1792208</v>
      </c>
      <c r="H2760" s="40" t="inlineStr">
        <is>
          <t>Borç</t>
        </is>
      </c>
      <c r="I2760" s="38" t="n">
        <v>1792208</v>
      </c>
      <c r="J2760" s="38" t="n">
        <v>0</v>
      </c>
      <c r="K2760" s="38" t="n">
        <v>1792208</v>
      </c>
      <c r="L2760" s="40" t="inlineStr">
        <is>
          <t>Borç</t>
        </is>
      </c>
    </row>
    <row r="2761" s="34">
      <c r="A2761" s="40" t="inlineStr">
        <is>
          <t>901.01.01.0032</t>
        </is>
      </c>
      <c r="B2761" s="40" t="inlineStr">
        <is>
          <t>7100519547 Nolu 04.02.2022 CK Akdeniz Elektrik A.ş.Süresiz Teminat Mektubu Vakıfbank</t>
        </is>
      </c>
      <c r="C2761" s="40" t="inlineStr">
        <is>
          <t>TRY</t>
        </is>
      </c>
      <c r="D2761" s="40" t="inlineStr">
        <is>
          <t>GİTAŞ MERKEZ</t>
        </is>
      </c>
      <c r="E2761" s="38" t="n">
        <v>1661737.24</v>
      </c>
      <c r="F2761" s="38" t="n">
        <v>0</v>
      </c>
      <c r="G2761" s="38" t="n">
        <v>1661737.24</v>
      </c>
      <c r="H2761" s="40" t="inlineStr">
        <is>
          <t>Borç</t>
        </is>
      </c>
      <c r="I2761" s="38" t="n">
        <v>1661737.24</v>
      </c>
      <c r="J2761" s="38" t="n">
        <v>0</v>
      </c>
      <c r="K2761" s="38" t="n">
        <v>1661737.24</v>
      </c>
      <c r="L2761" s="40" t="inlineStr">
        <is>
          <t>Borç</t>
        </is>
      </c>
    </row>
    <row r="2762" s="34">
      <c r="A2762" s="40" t="inlineStr">
        <is>
          <t>901.01.01.0033</t>
        </is>
      </c>
      <c r="B2762" s="40" t="inlineStr">
        <is>
          <t>7100519540 Nolu 04.02.2022 CK Akdeniz Elektrik A.ş.Süresiz Teminat Mektubu Vakıfbank</t>
        </is>
      </c>
      <c r="C2762" s="40" t="inlineStr">
        <is>
          <t>TRY</t>
        </is>
      </c>
      <c r="D2762" s="40" t="inlineStr">
        <is>
          <t>GİTAŞ MERKEZ</t>
        </is>
      </c>
      <c r="E2762" s="38" t="n">
        <v>1265456.13</v>
      </c>
      <c r="F2762" s="38" t="n">
        <v>0</v>
      </c>
      <c r="G2762" s="38" t="n">
        <v>1265456.13</v>
      </c>
      <c r="H2762" s="40" t="inlineStr">
        <is>
          <t>Borç</t>
        </is>
      </c>
      <c r="I2762" s="38" t="n">
        <v>1265456.13</v>
      </c>
      <c r="J2762" s="38" t="n">
        <v>0</v>
      </c>
      <c r="K2762" s="38" t="n">
        <v>1265456.13</v>
      </c>
      <c r="L2762" s="40" t="inlineStr">
        <is>
          <t>Borç</t>
        </is>
      </c>
    </row>
    <row r="2763" s="34">
      <c r="A2763" s="40" t="inlineStr">
        <is>
          <t>901.01.01.0035</t>
        </is>
      </c>
      <c r="B2763" s="40" t="inlineStr">
        <is>
          <t>Manavgat 2.İş Mahkemesi 2024/420 Esas 2025/313 Karar Sayılı Vakıfbank 7100985987 NL.(Süresiz)</t>
        </is>
      </c>
      <c r="C2763" s="40" t="inlineStr">
        <is>
          <t>TRY</t>
        </is>
      </c>
      <c r="D2763" s="40" t="inlineStr">
        <is>
          <t>GİTAŞ MERKEZ</t>
        </is>
      </c>
      <c r="E2763" s="38" t="n">
        <v>284000</v>
      </c>
      <c r="F2763" s="38" t="n">
        <v>0</v>
      </c>
      <c r="G2763" s="38" t="n">
        <v>284000</v>
      </c>
      <c r="H2763" s="40" t="inlineStr">
        <is>
          <t>Borç</t>
        </is>
      </c>
      <c r="I2763" s="38" t="n">
        <v>284000</v>
      </c>
      <c r="J2763" s="38" t="n">
        <v>0</v>
      </c>
      <c r="K2763" s="38" t="n">
        <v>284000</v>
      </c>
      <c r="L2763" s="40" t="inlineStr">
        <is>
          <t>Borç</t>
        </is>
      </c>
    </row>
    <row r="2764" s="34">
      <c r="A2764" s="40" t="inlineStr">
        <is>
          <t>901.01.01.0036</t>
        </is>
      </c>
      <c r="B2764" s="40" t="inlineStr">
        <is>
          <t>19000053-23.05.2022 Tarihli Tem.Mekt./Türkiye İhr.Bank.</t>
        </is>
      </c>
      <c r="C2764" s="40" t="inlineStr">
        <is>
          <t>TRY</t>
        </is>
      </c>
      <c r="D2764" s="40" t="inlineStr">
        <is>
          <t>ROYAL ADAM EVE</t>
        </is>
      </c>
      <c r="E2764" s="38" t="n">
        <v>3278258.75</v>
      </c>
      <c r="F2764" s="38" t="n">
        <v>0</v>
      </c>
      <c r="G2764" s="38" t="n">
        <v>3278258.75</v>
      </c>
      <c r="H2764" s="40" t="inlineStr">
        <is>
          <t>Borç</t>
        </is>
      </c>
      <c r="I2764" s="38" t="n">
        <v>3278258.75</v>
      </c>
      <c r="J2764" s="38" t="n">
        <v>0</v>
      </c>
      <c r="K2764" s="38" t="n">
        <v>3278258.75</v>
      </c>
      <c r="L2764" s="40" t="inlineStr">
        <is>
          <t>Borç</t>
        </is>
      </c>
    </row>
    <row r="2765" s="34">
      <c r="A2765" s="40" t="inlineStr">
        <is>
          <t>901.01.01.0037</t>
        </is>
      </c>
      <c r="B2765" s="40" t="inlineStr">
        <is>
          <t>641012434-25.07.2022 Tarihli Tem.Mekt./Türkiye İhr.Bank.</t>
        </is>
      </c>
      <c r="C2765" s="40" t="inlineStr">
        <is>
          <t>TRY</t>
        </is>
      </c>
      <c r="D2765" s="40" t="inlineStr">
        <is>
          <t>ROYAL ADAM EVE</t>
        </is>
      </c>
      <c r="E2765" s="38" t="n">
        <v>613760</v>
      </c>
      <c r="F2765" s="38" t="n">
        <v>0</v>
      </c>
      <c r="G2765" s="38" t="n">
        <v>613760</v>
      </c>
      <c r="H2765" s="40" t="inlineStr">
        <is>
          <t>Borç</t>
        </is>
      </c>
      <c r="I2765" s="38" t="n">
        <v>613760</v>
      </c>
      <c r="J2765" s="38" t="n">
        <v>0</v>
      </c>
      <c r="K2765" s="38" t="n">
        <v>613760</v>
      </c>
      <c r="L2765" s="40" t="inlineStr">
        <is>
          <t>Borç</t>
        </is>
      </c>
    </row>
    <row r="2766" s="34">
      <c r="A2766" s="40" t="inlineStr">
        <is>
          <t>901.01.01.0038</t>
        </is>
      </c>
      <c r="B2766" s="40" t="inlineStr">
        <is>
          <t>641012435-25.07.2022 Tarihli Tem.Mekt./Türkiye İhr.Bank.</t>
        </is>
      </c>
      <c r="C2766" s="40" t="inlineStr">
        <is>
          <t>TRY</t>
        </is>
      </c>
      <c r="D2766" s="40" t="inlineStr">
        <is>
          <t>ROYAL ADAM EVE</t>
        </is>
      </c>
      <c r="E2766" s="38" t="n">
        <v>7672000</v>
      </c>
      <c r="F2766" s="38" t="n">
        <v>0</v>
      </c>
      <c r="G2766" s="38" t="n">
        <v>7672000</v>
      </c>
      <c r="H2766" s="40" t="inlineStr">
        <is>
          <t>Borç</t>
        </is>
      </c>
      <c r="I2766" s="38" t="n">
        <v>7672000</v>
      </c>
      <c r="J2766" s="38" t="n">
        <v>0</v>
      </c>
      <c r="K2766" s="38" t="n">
        <v>7672000</v>
      </c>
      <c r="L2766" s="40" t="inlineStr">
        <is>
          <t>Borç</t>
        </is>
      </c>
    </row>
    <row r="2767" s="34">
      <c r="A2767" s="40" t="inlineStr">
        <is>
          <t>901.01.01.0042</t>
        </is>
      </c>
      <c r="B2767" s="40" t="inlineStr">
        <is>
          <t>7100519543-Süresiz Tem.Mekt./Ck Akdeniz Elkt.</t>
        </is>
      </c>
      <c r="C2767" s="40" t="inlineStr">
        <is>
          <t>TRY</t>
        </is>
      </c>
      <c r="D2767" s="40" t="inlineStr">
        <is>
          <t>ROYAL ADAM EVE</t>
        </is>
      </c>
      <c r="E2767" s="38" t="n">
        <v>50937.13</v>
      </c>
      <c r="F2767" s="38" t="n">
        <v>0</v>
      </c>
      <c r="G2767" s="38" t="n">
        <v>50937.13</v>
      </c>
      <c r="H2767" s="40" t="inlineStr">
        <is>
          <t>Borç</t>
        </is>
      </c>
      <c r="I2767" s="38" t="n">
        <v>50937.13</v>
      </c>
      <c r="J2767" s="38" t="n">
        <v>0</v>
      </c>
      <c r="K2767" s="38" t="n">
        <v>50937.13</v>
      </c>
      <c r="L2767" s="40" t="inlineStr">
        <is>
          <t>Borç</t>
        </is>
      </c>
    </row>
    <row r="2768" s="34">
      <c r="A2768" s="40" t="inlineStr">
        <is>
          <t>901.01.01.0043</t>
        </is>
      </c>
      <c r="B2768" s="40" t="inlineStr">
        <is>
          <t>7100591798-Süresiz Tem.Mekt./CK Akdeniz Elkt.</t>
        </is>
      </c>
      <c r="C2768" s="40" t="inlineStr">
        <is>
          <t>TRY</t>
        </is>
      </c>
      <c r="D2768" s="40" t="inlineStr">
        <is>
          <t>ROYAL ADAM EVE</t>
        </is>
      </c>
      <c r="E2768" s="38" t="n">
        <v>196102.15</v>
      </c>
      <c r="F2768" s="38" t="n">
        <v>0</v>
      </c>
      <c r="G2768" s="38" t="n">
        <v>196102.15</v>
      </c>
      <c r="H2768" s="40" t="inlineStr">
        <is>
          <t>Borç</t>
        </is>
      </c>
      <c r="I2768" s="38" t="n">
        <v>196102.15</v>
      </c>
      <c r="J2768" s="38" t="n">
        <v>0</v>
      </c>
      <c r="K2768" s="38" t="n">
        <v>196102.15</v>
      </c>
      <c r="L2768" s="40" t="inlineStr">
        <is>
          <t>Borç</t>
        </is>
      </c>
    </row>
    <row r="2769" s="34">
      <c r="A2769" s="40" t="inlineStr">
        <is>
          <t>901.01.01.0045</t>
        </is>
      </c>
      <c r="B2769" s="40" t="inlineStr">
        <is>
          <t>798986 NL/31.12.2024 Vad.5.360.000 TL-Tem.Mek/Sesasu Ltd.Şti.</t>
        </is>
      </c>
      <c r="C2769" s="40" t="inlineStr">
        <is>
          <t>TRY</t>
        </is>
      </c>
      <c r="D2769" s="40" t="inlineStr">
        <is>
          <t>ROYAL ADAM EVE</t>
        </is>
      </c>
      <c r="E2769" s="38" t="n">
        <v>5360000</v>
      </c>
      <c r="F2769" s="38" t="n">
        <v>0</v>
      </c>
      <c r="G2769" s="38" t="n">
        <v>5360000</v>
      </c>
      <c r="H2769" s="40" t="inlineStr">
        <is>
          <t>Borç</t>
        </is>
      </c>
      <c r="I2769" s="38" t="n">
        <v>5360000</v>
      </c>
      <c r="J2769" s="38" t="n">
        <v>0</v>
      </c>
      <c r="K2769" s="38" t="n">
        <v>5360000</v>
      </c>
      <c r="L2769" s="40" t="inlineStr">
        <is>
          <t>Borç</t>
        </is>
      </c>
    </row>
    <row r="2770" s="34">
      <c r="A2770" s="40" t="inlineStr">
        <is>
          <t>901.01.01.0057</t>
        </is>
      </c>
      <c r="B2770" s="40" t="inlineStr">
        <is>
          <t>2084KRTM25000253 Nl.2025/125 Karar Saylı Ziraat Bankası Teminat Mektubu 210.000,00 TL</t>
        </is>
      </c>
      <c r="C2770" s="40" t="inlineStr">
        <is>
          <t>TRY</t>
        </is>
      </c>
      <c r="D2770" s="40" t="inlineStr">
        <is>
          <t>GİTAŞ MERKEZ</t>
        </is>
      </c>
      <c r="E2770" s="38" t="n">
        <v>210000</v>
      </c>
      <c r="F2770" s="38" t="n">
        <v>210000</v>
      </c>
      <c r="G2770" s="38" t="n">
        <v>0</v>
      </c>
      <c r="I2770" s="38" t="n">
        <v>210000</v>
      </c>
      <c r="J2770" s="38" t="n">
        <v>210000</v>
      </c>
      <c r="K2770" s="38" t="n">
        <v>0</v>
      </c>
    </row>
    <row r="2771" s="34">
      <c r="A2771" s="40" t="inlineStr">
        <is>
          <t>901.01.01.0058</t>
        </is>
      </c>
      <c r="B2771" s="40" t="inlineStr">
        <is>
          <t>2084KRTM26000371 Nl.2026/203 Karar Saylı Ziraat Bankası Teminat Mektubu 225.000,00 TL</t>
        </is>
      </c>
      <c r="C2771" s="40" t="inlineStr">
        <is>
          <t>TRY</t>
        </is>
      </c>
      <c r="D2771" s="40" t="inlineStr">
        <is>
          <t>ROYAL ADAM EVE</t>
        </is>
      </c>
      <c r="E2771" s="38" t="n">
        <v>0</v>
      </c>
      <c r="F2771" s="38" t="n">
        <v>225000</v>
      </c>
      <c r="G2771" s="38" t="n">
        <v>-225000</v>
      </c>
      <c r="H2771" s="40" t="inlineStr">
        <is>
          <t>Alacak</t>
        </is>
      </c>
      <c r="I2771" s="38" t="n">
        <v>0</v>
      </c>
      <c r="J2771" s="38" t="n">
        <v>225000</v>
      </c>
      <c r="K2771" s="38" t="n">
        <v>-225000</v>
      </c>
      <c r="L2771" s="40" t="inlineStr">
        <is>
          <t>Alacak</t>
        </is>
      </c>
    </row>
    <row r="2772" s="34">
      <c r="A2772" s="40" t="inlineStr">
        <is>
          <t>901.01.01.0060</t>
        </is>
      </c>
      <c r="B2772" s="40" t="inlineStr">
        <is>
          <t>2084KRTM26000380 Nl.2026/283 Karar Saylı Ziraat Bankası Teminat Mektubu 870.000,00 TL</t>
        </is>
      </c>
      <c r="C2772" s="40" t="inlineStr">
        <is>
          <t>TRY</t>
        </is>
      </c>
      <c r="D2772" s="40" t="inlineStr">
        <is>
          <t>GİTAŞ MERKEZ</t>
        </is>
      </c>
      <c r="E2772" s="38" t="n">
        <v>0</v>
      </c>
      <c r="F2772" s="38" t="n">
        <v>870000</v>
      </c>
      <c r="G2772" s="38" t="n">
        <v>-870000</v>
      </c>
      <c r="H2772" s="40" t="inlineStr">
        <is>
          <t>Alacak</t>
        </is>
      </c>
      <c r="I2772" s="38" t="n">
        <v>0</v>
      </c>
      <c r="J2772" s="38" t="n">
        <v>870000</v>
      </c>
      <c r="K2772" s="38" t="n">
        <v>-870000</v>
      </c>
      <c r="L2772" s="40" t="inlineStr">
        <is>
          <t>Alacak</t>
        </is>
      </c>
    </row>
    <row r="2773" s="34">
      <c r="A2773" s="40" t="inlineStr">
        <is>
          <t>901.01.01.0062</t>
        </is>
      </c>
      <c r="B2773" s="40" t="inlineStr">
        <is>
          <t>2084KRTM26000398 Nl.2026/150 Karar Saylı Ziraat Bankası Teminat Mektubu 670.000,00 TL</t>
        </is>
      </c>
      <c r="C2773" s="40" t="inlineStr">
        <is>
          <t>TRY</t>
        </is>
      </c>
      <c r="D2773" s="40" t="inlineStr">
        <is>
          <t>GİTAŞ MERKEZ</t>
        </is>
      </c>
      <c r="E2773" s="38" t="n">
        <v>0</v>
      </c>
      <c r="F2773" s="38" t="n">
        <v>670000</v>
      </c>
      <c r="G2773" s="38" t="n">
        <v>-670000</v>
      </c>
      <c r="H2773" s="40" t="inlineStr">
        <is>
          <t>Alacak</t>
        </is>
      </c>
      <c r="I2773" s="38" t="n">
        <v>0</v>
      </c>
      <c r="J2773" s="38" t="n">
        <v>670000</v>
      </c>
      <c r="K2773" s="38" t="n">
        <v>-670000</v>
      </c>
      <c r="L2773" s="40" t="inlineStr">
        <is>
          <t>Alacak</t>
        </is>
      </c>
    </row>
    <row r="2774" s="34">
      <c r="A2774" s="40" t="inlineStr">
        <is>
          <t>901.01.01.0063</t>
        </is>
      </c>
      <c r="B2774" s="40" t="inlineStr">
        <is>
          <t>202500212375Nl.2025/179 Karar Saylı Yapıkredi Bankası Teminat Mektubu 1.100.000,00 TL</t>
        </is>
      </c>
      <c r="C2774" s="40" t="inlineStr">
        <is>
          <t>TRY</t>
        </is>
      </c>
      <c r="D2774" s="40" t="inlineStr">
        <is>
          <t>GİTAŞ MERKEZ</t>
        </is>
      </c>
      <c r="E2774" s="38" t="n">
        <v>0</v>
      </c>
      <c r="F2774" s="38" t="n">
        <v>1100000</v>
      </c>
      <c r="G2774" s="38" t="n">
        <v>-1100000</v>
      </c>
      <c r="H2774" s="40" t="inlineStr">
        <is>
          <t>Alacak</t>
        </is>
      </c>
      <c r="I2774" s="38" t="n">
        <v>0</v>
      </c>
      <c r="J2774" s="38" t="n">
        <v>1100000</v>
      </c>
      <c r="K2774" s="38" t="n">
        <v>-1100000</v>
      </c>
      <c r="L2774" s="40" t="inlineStr">
        <is>
          <t>Alacak</t>
        </is>
      </c>
    </row>
    <row r="2775" s="34">
      <c r="A2775" s="40" t="inlineStr">
        <is>
          <t>901.01.01.0064</t>
        </is>
      </c>
      <c r="B2775" s="40" t="inlineStr">
        <is>
          <t>7101004647Nl.2025/302 Karar Saylı Vakıfbank  Teminat Mektubu 350.000,00 TL</t>
        </is>
      </c>
      <c r="C2775" s="40" t="inlineStr">
        <is>
          <t>TRY</t>
        </is>
      </c>
      <c r="D2775" s="40" t="inlineStr">
        <is>
          <t>GİTAŞ MERKEZ</t>
        </is>
      </c>
      <c r="E2775" s="38" t="n">
        <v>0</v>
      </c>
      <c r="F2775" s="38" t="n">
        <v>350000</v>
      </c>
      <c r="G2775" s="38" t="n">
        <v>-350000</v>
      </c>
      <c r="H2775" s="40" t="inlineStr">
        <is>
          <t>Alacak</t>
        </is>
      </c>
      <c r="I2775" s="38" t="n">
        <v>0</v>
      </c>
      <c r="J2775" s="38" t="n">
        <v>350000</v>
      </c>
      <c r="K2775" s="38" t="n">
        <v>-350000</v>
      </c>
      <c r="L2775" s="40" t="inlineStr">
        <is>
          <t>Alacak</t>
        </is>
      </c>
    </row>
    <row r="2776" s="34">
      <c r="A2776" s="40" t="inlineStr">
        <is>
          <t>901.01.01.0065</t>
        </is>
      </c>
      <c r="B2776" s="40" t="inlineStr">
        <is>
          <t>Ck Akdeniz Seri No 822243 21.10.2022 Trh 1.449.976,67 TL Vakıflar Bankası</t>
        </is>
      </c>
      <c r="C2776" s="40" t="inlineStr">
        <is>
          <t>TRY</t>
        </is>
      </c>
      <c r="D2776" s="40" t="inlineStr">
        <is>
          <t>SERTAŞ MERKEZ</t>
        </is>
      </c>
      <c r="E2776" s="38" t="n">
        <v>0</v>
      </c>
      <c r="F2776" s="38" t="n">
        <v>1449976.67</v>
      </c>
      <c r="G2776" s="38" t="n">
        <v>-1449976.67</v>
      </c>
      <c r="H2776" s="40" t="inlineStr">
        <is>
          <t>Alacak</t>
        </is>
      </c>
      <c r="I2776" s="38" t="n">
        <v>0</v>
      </c>
      <c r="J2776" s="38" t="n">
        <v>1449976.67</v>
      </c>
      <c r="K2776" s="38" t="n">
        <v>-1449976.67</v>
      </c>
      <c r="L2776" s="40" t="inlineStr">
        <is>
          <t>Alacak</t>
        </is>
      </c>
    </row>
    <row r="2777" s="34">
      <c r="A2777" s="40" t="inlineStr">
        <is>
          <t>901.01.01.0066</t>
        </is>
      </c>
      <c r="B2777" s="40" t="inlineStr">
        <is>
          <t>13.03.2023 Seri No:822264 Epdk 2.749.013 TL  Vakıflar Bankası</t>
        </is>
      </c>
      <c r="C2777" s="40" t="inlineStr">
        <is>
          <t>TRY</t>
        </is>
      </c>
      <c r="D2777" s="40" t="inlineStr">
        <is>
          <t>SERTAŞ MERKEZ</t>
        </is>
      </c>
      <c r="E2777" s="38" t="n">
        <v>0</v>
      </c>
      <c r="F2777" s="38" t="n">
        <v>2749013</v>
      </c>
      <c r="G2777" s="38" t="n">
        <v>-2749013</v>
      </c>
      <c r="H2777" s="40" t="inlineStr">
        <is>
          <t>Alacak</t>
        </is>
      </c>
      <c r="I2777" s="38" t="n">
        <v>0</v>
      </c>
      <c r="J2777" s="38" t="n">
        <v>2749013</v>
      </c>
      <c r="K2777" s="38" t="n">
        <v>-2749013</v>
      </c>
      <c r="L2777" s="40" t="inlineStr">
        <is>
          <t>Alacak</t>
        </is>
      </c>
    </row>
    <row r="2778" s="34">
      <c r="A2778" s="40" t="inlineStr">
        <is>
          <t>901.02</t>
        </is>
      </c>
      <c r="B2778" s="40" t="inlineStr">
        <is>
          <t>TEMINAT MEKTUBU VERENLER</t>
        </is>
      </c>
      <c r="C2778" s="40" t="inlineStr">
        <is>
          <t>TRY</t>
        </is>
      </c>
      <c r="E2778" s="38" t="n">
        <v>1071144371.65</v>
      </c>
      <c r="F2778" s="38" t="n">
        <v>33857943</v>
      </c>
      <c r="G2778" s="38" t="n">
        <v>1037286428.65</v>
      </c>
      <c r="I2778" s="38" t="n">
        <v>1071144371.65</v>
      </c>
      <c r="J2778" s="38" t="n">
        <v>33857943</v>
      </c>
      <c r="K2778" s="38" t="n">
        <v>1037286428.65</v>
      </c>
    </row>
    <row r="2779" s="34">
      <c r="A2779" s="40" t="inlineStr">
        <is>
          <t>901.02.02.0005</t>
        </is>
      </c>
      <c r="B2779" s="40" t="inlineStr">
        <is>
          <t>Ipragaz Teminat Senedi 15,000 Euro</t>
        </is>
      </c>
      <c r="C2779" s="40" t="inlineStr">
        <is>
          <t>TRY</t>
        </is>
      </c>
      <c r="D2779" s="40" t="inlineStr">
        <is>
          <t>SERTAŞ MERKEZ</t>
        </is>
      </c>
      <c r="E2779" s="38" t="n">
        <v>15000</v>
      </c>
      <c r="F2779" s="38" t="n">
        <v>0</v>
      </c>
      <c r="G2779" s="38" t="n">
        <v>15000</v>
      </c>
      <c r="H2779" s="40" t="inlineStr">
        <is>
          <t>Borç</t>
        </is>
      </c>
      <c r="I2779" s="38" t="n">
        <v>15000</v>
      </c>
      <c r="J2779" s="38" t="n">
        <v>0</v>
      </c>
      <c r="K2779" s="38" t="n">
        <v>15000</v>
      </c>
      <c r="L2779" s="40" t="inlineStr">
        <is>
          <t>Borç</t>
        </is>
      </c>
    </row>
    <row r="2780" s="34">
      <c r="A2780" s="40" t="inlineStr">
        <is>
          <t>901.02.02.0011</t>
        </is>
      </c>
      <c r="B2780" s="40" t="inlineStr">
        <is>
          <t>2084Krtm14/08.02.2021 Vd.2Mly Eur-Tem.Mek/Ziraatbank.6,6355</t>
        </is>
      </c>
      <c r="C2780" s="40" t="inlineStr">
        <is>
          <t>TRY</t>
        </is>
      </c>
      <c r="D2780" s="40" t="inlineStr">
        <is>
          <t>SERTAŞ MERKEZ</t>
        </is>
      </c>
      <c r="E2780" s="38" t="n">
        <v>13271000</v>
      </c>
      <c r="F2780" s="38" t="n">
        <v>0</v>
      </c>
      <c r="G2780" s="38" t="n">
        <v>13271000</v>
      </c>
      <c r="H2780" s="40" t="inlineStr">
        <is>
          <t>Borç</t>
        </is>
      </c>
      <c r="I2780" s="38" t="n">
        <v>13271000</v>
      </c>
      <c r="J2780" s="38" t="n">
        <v>0</v>
      </c>
      <c r="K2780" s="38" t="n">
        <v>13271000</v>
      </c>
      <c r="L2780" s="40" t="inlineStr">
        <is>
          <t>Borç</t>
        </is>
      </c>
    </row>
    <row r="2781" s="34">
      <c r="A2781" s="40" t="inlineStr">
        <is>
          <t>901.02.02.0012</t>
        </is>
      </c>
      <c r="B2781" s="40" t="inlineStr">
        <is>
          <t>2084Krtm16/06.05.2022 Vd.130.000 Eur-Tem.Mek/Ziraatbank.6,6355</t>
        </is>
      </c>
      <c r="C2781" s="40" t="inlineStr">
        <is>
          <t>TRY</t>
        </is>
      </c>
      <c r="D2781" s="40" t="inlineStr">
        <is>
          <t>SERTAŞ MERKEZ</t>
        </is>
      </c>
      <c r="E2781" s="38" t="n">
        <v>862615</v>
      </c>
      <c r="F2781" s="38" t="n">
        <v>0</v>
      </c>
      <c r="G2781" s="38" t="n">
        <v>862615</v>
      </c>
      <c r="H2781" s="40" t="inlineStr">
        <is>
          <t>Borç</t>
        </is>
      </c>
      <c r="I2781" s="38" t="n">
        <v>862615</v>
      </c>
      <c r="J2781" s="38" t="n">
        <v>0</v>
      </c>
      <c r="K2781" s="38" t="n">
        <v>862615</v>
      </c>
      <c r="L2781" s="40" t="inlineStr">
        <is>
          <t>Borç</t>
        </is>
      </c>
    </row>
    <row r="2782" s="34">
      <c r="A2782" s="40" t="inlineStr">
        <is>
          <t>901.02.02.0013</t>
        </is>
      </c>
      <c r="B2782" s="40" t="inlineStr">
        <is>
          <t>2084Krtm17/06.05.2022 Vd.520.000 Eur-Tem.Mek/Ziraatbank.6,6355</t>
        </is>
      </c>
      <c r="C2782" s="40" t="inlineStr">
        <is>
          <t>TRY</t>
        </is>
      </c>
      <c r="D2782" s="40" t="inlineStr">
        <is>
          <t>SERTAŞ MERKEZ</t>
        </is>
      </c>
      <c r="E2782" s="38" t="n">
        <v>3450460</v>
      </c>
      <c r="F2782" s="38" t="n">
        <v>0</v>
      </c>
      <c r="G2782" s="38" t="n">
        <v>3450460</v>
      </c>
      <c r="H2782" s="40" t="inlineStr">
        <is>
          <t>Borç</t>
        </is>
      </c>
      <c r="I2782" s="38" t="n">
        <v>3450460</v>
      </c>
      <c r="J2782" s="38" t="n">
        <v>0</v>
      </c>
      <c r="K2782" s="38" t="n">
        <v>3450460</v>
      </c>
      <c r="L2782" s="40" t="inlineStr">
        <is>
          <t>Borç</t>
        </is>
      </c>
    </row>
    <row r="2783" s="34">
      <c r="A2783" s="40" t="inlineStr">
        <is>
          <t>901.02.02.0014</t>
        </is>
      </c>
      <c r="B2783" s="40" t="inlineStr">
        <is>
          <t>2084Krtm18/06.05.2022 Vd.195.000 Eur-Tem.Mek/Ziraatbank.6,6355</t>
        </is>
      </c>
      <c r="C2783" s="40" t="inlineStr">
        <is>
          <t>TRY</t>
        </is>
      </c>
      <c r="D2783" s="40" t="inlineStr">
        <is>
          <t>SERTAŞ MERKEZ</t>
        </is>
      </c>
      <c r="E2783" s="38" t="n">
        <v>1293922.5</v>
      </c>
      <c r="F2783" s="38" t="n">
        <v>0</v>
      </c>
      <c r="G2783" s="38" t="n">
        <v>1293922.5</v>
      </c>
      <c r="H2783" s="40" t="inlineStr">
        <is>
          <t>Borç</t>
        </is>
      </c>
      <c r="I2783" s="38" t="n">
        <v>1293922.5</v>
      </c>
      <c r="J2783" s="38" t="n">
        <v>0</v>
      </c>
      <c r="K2783" s="38" t="n">
        <v>1293922.5</v>
      </c>
      <c r="L2783" s="40" t="inlineStr">
        <is>
          <t>Borç</t>
        </is>
      </c>
    </row>
    <row r="2784" s="34">
      <c r="A2784" s="40" t="inlineStr">
        <is>
          <t>901.02.02.0016</t>
        </is>
      </c>
      <c r="B2784" s="40" t="inlineStr">
        <is>
          <t>1319751/04.07.2022 Vad.950.000 Eur-Tem.Mek/Halkbank.5,4274</t>
        </is>
      </c>
      <c r="C2784" s="40" t="inlineStr">
        <is>
          <t>TRY</t>
        </is>
      </c>
      <c r="D2784" s="40" t="inlineStr">
        <is>
          <t>SERTAŞ MERKEZ</t>
        </is>
      </c>
      <c r="E2784" s="38" t="n">
        <v>5156030</v>
      </c>
      <c r="F2784" s="38" t="n">
        <v>0</v>
      </c>
      <c r="G2784" s="38" t="n">
        <v>5156030</v>
      </c>
      <c r="H2784" s="40" t="inlineStr">
        <is>
          <t>Borç</t>
        </is>
      </c>
      <c r="I2784" s="38" t="n">
        <v>5156030</v>
      </c>
      <c r="J2784" s="38" t="n">
        <v>0</v>
      </c>
      <c r="K2784" s="38" t="n">
        <v>5156030</v>
      </c>
      <c r="L2784" s="40" t="inlineStr">
        <is>
          <t>Borç</t>
        </is>
      </c>
    </row>
    <row r="2785" s="34">
      <c r="A2785" s="40" t="inlineStr">
        <is>
          <t>901.02.02.0024</t>
        </is>
      </c>
      <c r="B2785" s="40" t="inlineStr">
        <is>
          <t>19000044/04.01.2022 Vad.8.Mly Eur-Tem.Mek/Ziraat 5,9591</t>
        </is>
      </c>
      <c r="C2785" s="40" t="inlineStr">
        <is>
          <t>TRY</t>
        </is>
      </c>
      <c r="D2785" s="40" t="inlineStr">
        <is>
          <t>SERTAŞ MERKEZ</t>
        </is>
      </c>
      <c r="E2785" s="38" t="n">
        <v>47672800</v>
      </c>
      <c r="F2785" s="38" t="n">
        <v>0</v>
      </c>
      <c r="G2785" s="38" t="n">
        <v>47672800</v>
      </c>
      <c r="H2785" s="40" t="inlineStr">
        <is>
          <t>Borç</t>
        </is>
      </c>
      <c r="I2785" s="38" t="n">
        <v>47672800</v>
      </c>
      <c r="J2785" s="38" t="n">
        <v>0</v>
      </c>
      <c r="K2785" s="38" t="n">
        <v>47672800</v>
      </c>
      <c r="L2785" s="40" t="inlineStr">
        <is>
          <t>Borç</t>
        </is>
      </c>
    </row>
    <row r="2786" s="34">
      <c r="A2786" s="40" t="inlineStr">
        <is>
          <t>901.02.02.0025</t>
        </is>
      </c>
      <c r="B2786" s="40" t="inlineStr">
        <is>
          <t>19000045/15.02.2022 Vad.520.000 Eur-Tem.Mek/Ziraat 5,9591</t>
        </is>
      </c>
      <c r="C2786" s="40" t="inlineStr">
        <is>
          <t>TRY</t>
        </is>
      </c>
      <c r="D2786" s="40" t="inlineStr">
        <is>
          <t>SERTAŞ MERKEZ</t>
        </is>
      </c>
      <c r="E2786" s="38" t="n">
        <v>3098732</v>
      </c>
      <c r="F2786" s="38" t="n">
        <v>0</v>
      </c>
      <c r="G2786" s="38" t="n">
        <v>3098732</v>
      </c>
      <c r="H2786" s="40" t="inlineStr">
        <is>
          <t>Borç</t>
        </is>
      </c>
      <c r="I2786" s="38" t="n">
        <v>3098732</v>
      </c>
      <c r="J2786" s="38" t="n">
        <v>0</v>
      </c>
      <c r="K2786" s="38" t="n">
        <v>3098732</v>
      </c>
      <c r="L2786" s="40" t="inlineStr">
        <is>
          <t>Borç</t>
        </is>
      </c>
    </row>
    <row r="2787" s="34">
      <c r="A2787" s="40" t="inlineStr">
        <is>
          <t>901.02.02.0028</t>
        </is>
      </c>
      <c r="B2787" s="40" t="inlineStr">
        <is>
          <t>19000054/15.2.2022 Vad.195.000 Eur-Tem.Mek/Ziraat 5,9958</t>
        </is>
      </c>
      <c r="C2787" s="40" t="inlineStr">
        <is>
          <t>TRY</t>
        </is>
      </c>
      <c r="D2787" s="40" t="inlineStr">
        <is>
          <t>SERTAŞ MERKEZ</t>
        </is>
      </c>
      <c r="E2787" s="38" t="n">
        <v>1169181</v>
      </c>
      <c r="F2787" s="38" t="n">
        <v>0</v>
      </c>
      <c r="G2787" s="38" t="n">
        <v>1169181</v>
      </c>
      <c r="H2787" s="40" t="inlineStr">
        <is>
          <t>Borç</t>
        </is>
      </c>
      <c r="I2787" s="38" t="n">
        <v>1169181</v>
      </c>
      <c r="J2787" s="38" t="n">
        <v>0</v>
      </c>
      <c r="K2787" s="38" t="n">
        <v>1169181</v>
      </c>
      <c r="L2787" s="40" t="inlineStr">
        <is>
          <t>Borç</t>
        </is>
      </c>
    </row>
    <row r="2788" s="34">
      <c r="A2788" s="40" t="inlineStr">
        <is>
          <t>901.02.02.0029</t>
        </is>
      </c>
      <c r="B2788" s="40" t="inlineStr">
        <is>
          <t>19000055/08.02.2021 Vad.3 Mly Eur-Tem.Mek/Ziraat 5,9958</t>
        </is>
      </c>
      <c r="C2788" s="40" t="inlineStr">
        <is>
          <t>TRY</t>
        </is>
      </c>
      <c r="D2788" s="40" t="inlineStr">
        <is>
          <t>SERTAŞ MERKEZ</t>
        </is>
      </c>
      <c r="E2788" s="38" t="n">
        <v>16679400</v>
      </c>
      <c r="F2788" s="38" t="n">
        <v>0</v>
      </c>
      <c r="G2788" s="38" t="n">
        <v>16679400</v>
      </c>
      <c r="H2788" s="40" t="inlineStr">
        <is>
          <t>Borç</t>
        </is>
      </c>
      <c r="I2788" s="38" t="n">
        <v>16679400</v>
      </c>
      <c r="J2788" s="38" t="n">
        <v>0</v>
      </c>
      <c r="K2788" s="38" t="n">
        <v>16679400</v>
      </c>
      <c r="L2788" s="40" t="inlineStr">
        <is>
          <t>Borç</t>
        </is>
      </c>
    </row>
    <row r="2789" s="34">
      <c r="A2789" s="40" t="inlineStr">
        <is>
          <t>901.02.02.0030</t>
        </is>
      </c>
      <c r="B2789" s="40" t="inlineStr">
        <is>
          <t>19000106/27.06.2022 Vad.45.500 Eur-Tem.Mek/Eximbank.6,7101</t>
        </is>
      </c>
      <c r="C2789" s="40" t="inlineStr">
        <is>
          <t>TRY</t>
        </is>
      </c>
      <c r="D2789" s="40" t="inlineStr">
        <is>
          <t>SERTAŞ MERKEZ</t>
        </is>
      </c>
      <c r="E2789" s="38" t="n">
        <v>305309.55</v>
      </c>
      <c r="F2789" s="38" t="n">
        <v>0</v>
      </c>
      <c r="G2789" s="38" t="n">
        <v>305309.55</v>
      </c>
      <c r="H2789" s="40" t="inlineStr">
        <is>
          <t>Borç</t>
        </is>
      </c>
      <c r="I2789" s="38" t="n">
        <v>305309.55</v>
      </c>
      <c r="J2789" s="38" t="n">
        <v>0</v>
      </c>
      <c r="K2789" s="38" t="n">
        <v>305309.55</v>
      </c>
      <c r="L2789" s="40" t="inlineStr">
        <is>
          <t>Borç</t>
        </is>
      </c>
    </row>
    <row r="2790" s="34">
      <c r="A2790" s="40" t="inlineStr">
        <is>
          <t>901.02.02.0032</t>
        </is>
      </c>
      <c r="B2790" s="40" t="inlineStr">
        <is>
          <t>0624Mw003544/06.10.2020 Vad.65.000 Eur-Tem.Mek/Eximbank.6,7864</t>
        </is>
      </c>
      <c r="C2790" s="40" t="inlineStr">
        <is>
          <t>TRY</t>
        </is>
      </c>
      <c r="D2790" s="40" t="inlineStr">
        <is>
          <t>SERTAŞ MERKEZ</t>
        </is>
      </c>
      <c r="E2790" s="38" t="n">
        <v>441116</v>
      </c>
      <c r="F2790" s="38" t="n">
        <v>0</v>
      </c>
      <c r="G2790" s="38" t="n">
        <v>441116</v>
      </c>
      <c r="H2790" s="40" t="inlineStr">
        <is>
          <t>Borç</t>
        </is>
      </c>
      <c r="I2790" s="38" t="n">
        <v>441116</v>
      </c>
      <c r="J2790" s="38" t="n">
        <v>0</v>
      </c>
      <c r="K2790" s="38" t="n">
        <v>441116</v>
      </c>
      <c r="L2790" s="40" t="inlineStr">
        <is>
          <t>Borç</t>
        </is>
      </c>
    </row>
    <row r="2791" s="34">
      <c r="A2791" s="40" t="inlineStr">
        <is>
          <t>901.02.02.0033</t>
        </is>
      </c>
      <c r="B2791" s="40" t="inlineStr">
        <is>
          <t>0624Mw003545/10.06.2022 Vad.61.750 Eur-Tem.Mek/Eximbank.6,7864</t>
        </is>
      </c>
      <c r="C2791" s="40" t="inlineStr">
        <is>
          <t>TRY</t>
        </is>
      </c>
      <c r="D2791" s="40" t="inlineStr">
        <is>
          <t>SERTAŞ MERKEZ</t>
        </is>
      </c>
      <c r="E2791" s="38" t="n">
        <v>419060.2</v>
      </c>
      <c r="F2791" s="38" t="n">
        <v>0</v>
      </c>
      <c r="G2791" s="38" t="n">
        <v>419060.2</v>
      </c>
      <c r="H2791" s="40" t="inlineStr">
        <is>
          <t>Borç</t>
        </is>
      </c>
      <c r="I2791" s="38" t="n">
        <v>419060.2</v>
      </c>
      <c r="J2791" s="38" t="n">
        <v>0</v>
      </c>
      <c r="K2791" s="38" t="n">
        <v>419060.2</v>
      </c>
      <c r="L2791" s="40" t="inlineStr">
        <is>
          <t>Borç</t>
        </is>
      </c>
    </row>
    <row r="2792" s="34">
      <c r="A2792" s="40" t="inlineStr">
        <is>
          <t>901.02.02.0034</t>
        </is>
      </c>
      <c r="B2792" s="40" t="inlineStr">
        <is>
          <t>0624Mw003201/09.08.2022 Vad.8 Mly Eur-Tem.Mek/Halkbank.6,3998</t>
        </is>
      </c>
      <c r="C2792" s="40" t="inlineStr">
        <is>
          <t>TRY</t>
        </is>
      </c>
      <c r="D2792" s="40" t="inlineStr">
        <is>
          <t>SERTAŞ MERKEZ</t>
        </is>
      </c>
      <c r="E2792" s="38" t="n">
        <v>51198400</v>
      </c>
      <c r="F2792" s="38" t="n">
        <v>0</v>
      </c>
      <c r="G2792" s="38" t="n">
        <v>51198400</v>
      </c>
      <c r="H2792" s="40" t="inlineStr">
        <is>
          <t>Borç</t>
        </is>
      </c>
      <c r="I2792" s="38" t="n">
        <v>51198400</v>
      </c>
      <c r="J2792" s="38" t="n">
        <v>0</v>
      </c>
      <c r="K2792" s="38" t="n">
        <v>51198400</v>
      </c>
      <c r="L2792" s="40" t="inlineStr">
        <is>
          <t>Borç</t>
        </is>
      </c>
    </row>
    <row r="2793" s="34">
      <c r="A2793" s="40" t="inlineStr">
        <is>
          <t>901.02.02.0035</t>
        </is>
      </c>
      <c r="B2793" s="40" t="inlineStr">
        <is>
          <t>2084Krtm21000140/09.08.2022 Vad.8 Mly Eur-Tem.Mek/Eximbank.6,3998</t>
        </is>
      </c>
      <c r="C2793" s="40" t="inlineStr">
        <is>
          <t>TRY</t>
        </is>
      </c>
      <c r="D2793" s="40" t="inlineStr">
        <is>
          <t>SERTAŞ MERKEZ</t>
        </is>
      </c>
      <c r="E2793" s="38" t="n">
        <v>51198400</v>
      </c>
      <c r="F2793" s="38" t="n">
        <v>0</v>
      </c>
      <c r="G2793" s="38" t="n">
        <v>51198400</v>
      </c>
      <c r="H2793" s="40" t="inlineStr">
        <is>
          <t>Borç</t>
        </is>
      </c>
      <c r="I2793" s="38" t="n">
        <v>51198400</v>
      </c>
      <c r="J2793" s="38" t="n">
        <v>0</v>
      </c>
      <c r="K2793" s="38" t="n">
        <v>51198400</v>
      </c>
      <c r="L2793" s="40" t="inlineStr">
        <is>
          <t>Borç</t>
        </is>
      </c>
    </row>
    <row r="2794" s="34">
      <c r="A2794" s="40" t="inlineStr">
        <is>
          <t>901.02.02.0036</t>
        </is>
      </c>
      <c r="B2794" s="40" t="inlineStr">
        <is>
          <t>0624Mw003625/09.05.2022 Vad.520.000 Eur-Tem.Mek/Halkbank.6,3998</t>
        </is>
      </c>
      <c r="C2794" s="40" t="inlineStr">
        <is>
          <t>TRY</t>
        </is>
      </c>
      <c r="D2794" s="40" t="inlineStr">
        <is>
          <t>SERTAŞ MERKEZ</t>
        </is>
      </c>
      <c r="E2794" s="38" t="n">
        <v>3327896</v>
      </c>
      <c r="F2794" s="38" t="n">
        <v>0</v>
      </c>
      <c r="G2794" s="38" t="n">
        <v>3327896</v>
      </c>
      <c r="H2794" s="40" t="inlineStr">
        <is>
          <t>Borç</t>
        </is>
      </c>
      <c r="I2794" s="38" t="n">
        <v>3327896</v>
      </c>
      <c r="J2794" s="38" t="n">
        <v>0</v>
      </c>
      <c r="K2794" s="38" t="n">
        <v>3327896</v>
      </c>
      <c r="L2794" s="40" t="inlineStr">
        <is>
          <t>Borç</t>
        </is>
      </c>
    </row>
    <row r="2795" s="34">
      <c r="A2795" s="40" t="inlineStr">
        <is>
          <t>901.02.02.0037</t>
        </is>
      </c>
      <c r="B2795" s="40" t="inlineStr">
        <is>
          <t>0624Mw003626/09.05.2022 Vad.520.000 Eur-Tem.Mek/Halkbank.6,3998</t>
        </is>
      </c>
      <c r="C2795" s="40" t="inlineStr">
        <is>
          <t>TRY</t>
        </is>
      </c>
      <c r="D2795" s="40" t="inlineStr">
        <is>
          <t>SERTAŞ MERKEZ</t>
        </is>
      </c>
      <c r="E2795" s="38" t="n">
        <v>3327896</v>
      </c>
      <c r="F2795" s="38" t="n">
        <v>0</v>
      </c>
      <c r="G2795" s="38" t="n">
        <v>3327896</v>
      </c>
      <c r="H2795" s="40" t="inlineStr">
        <is>
          <t>Borç</t>
        </is>
      </c>
      <c r="I2795" s="38" t="n">
        <v>3327896</v>
      </c>
      <c r="J2795" s="38" t="n">
        <v>0</v>
      </c>
      <c r="K2795" s="38" t="n">
        <v>3327896</v>
      </c>
      <c r="L2795" s="40" t="inlineStr">
        <is>
          <t>Borç</t>
        </is>
      </c>
    </row>
    <row r="2796" s="34">
      <c r="A2796" s="40" t="inlineStr">
        <is>
          <t>901.02.02.0041</t>
        </is>
      </c>
      <c r="B2796" s="40" t="inlineStr">
        <is>
          <t>S012404619001183/10.10.2022 Vad.440.000 Eur-Tem.Mek/Vakıfbank.6,4969</t>
        </is>
      </c>
      <c r="C2796" s="40" t="inlineStr">
        <is>
          <t>TRY</t>
        </is>
      </c>
      <c r="D2796" s="40" t="inlineStr">
        <is>
          <t>SERTAŞ MERKEZ</t>
        </is>
      </c>
      <c r="E2796" s="38" t="n">
        <v>2858636</v>
      </c>
      <c r="F2796" s="38" t="n">
        <v>0</v>
      </c>
      <c r="G2796" s="38" t="n">
        <v>2858636</v>
      </c>
      <c r="H2796" s="40" t="inlineStr">
        <is>
          <t>Borç</t>
        </is>
      </c>
      <c r="I2796" s="38" t="n">
        <v>2858636</v>
      </c>
      <c r="J2796" s="38" t="n">
        <v>0</v>
      </c>
      <c r="K2796" s="38" t="n">
        <v>2858636</v>
      </c>
      <c r="L2796" s="40" t="inlineStr">
        <is>
          <t>Borç</t>
        </is>
      </c>
    </row>
    <row r="2797" s="34">
      <c r="A2797" s="40" t="inlineStr">
        <is>
          <t>901.02.02.0042</t>
        </is>
      </c>
      <c r="B2797" s="40" t="inlineStr">
        <is>
          <t>121004818/31.08.2022 Vad.76.000 Eur-Tem.Mek/Halkbank 7,5735</t>
        </is>
      </c>
      <c r="C2797" s="40" t="inlineStr">
        <is>
          <t>TRY</t>
        </is>
      </c>
      <c r="D2797" s="40" t="inlineStr">
        <is>
          <t>SERTAŞ MERKEZ</t>
        </is>
      </c>
      <c r="E2797" s="38" t="n">
        <v>575586</v>
      </c>
      <c r="F2797" s="38" t="n">
        <v>0</v>
      </c>
      <c r="G2797" s="38" t="n">
        <v>575586</v>
      </c>
      <c r="H2797" s="40" t="inlineStr">
        <is>
          <t>Borç</t>
        </is>
      </c>
      <c r="I2797" s="38" t="n">
        <v>575586</v>
      </c>
      <c r="J2797" s="38" t="n">
        <v>0</v>
      </c>
      <c r="K2797" s="38" t="n">
        <v>575586</v>
      </c>
      <c r="L2797" s="40" t="inlineStr">
        <is>
          <t>Borç</t>
        </is>
      </c>
    </row>
    <row r="2798" s="34">
      <c r="A2798" s="40" t="inlineStr">
        <is>
          <t>901.02.02.0043</t>
        </is>
      </c>
      <c r="B2798" s="40" t="inlineStr">
        <is>
          <t>121005601/11.10.2022 Vad.640.000 Eur-Tem.Mek/Halkbank 7,7097</t>
        </is>
      </c>
      <c r="C2798" s="40" t="inlineStr">
        <is>
          <t>TRY</t>
        </is>
      </c>
      <c r="D2798" s="40" t="inlineStr">
        <is>
          <t>SERTAŞ MERKEZ</t>
        </is>
      </c>
      <c r="E2798" s="38" t="n">
        <v>4934208</v>
      </c>
      <c r="F2798" s="38" t="n">
        <v>0</v>
      </c>
      <c r="G2798" s="38" t="n">
        <v>4934208</v>
      </c>
      <c r="H2798" s="40" t="inlineStr">
        <is>
          <t>Borç</t>
        </is>
      </c>
      <c r="I2798" s="38" t="n">
        <v>4934208</v>
      </c>
      <c r="J2798" s="38" t="n">
        <v>0</v>
      </c>
      <c r="K2798" s="38" t="n">
        <v>4934208</v>
      </c>
      <c r="L2798" s="40" t="inlineStr">
        <is>
          <t>Borç</t>
        </is>
      </c>
    </row>
    <row r="2799" s="34">
      <c r="A2799" s="40" t="inlineStr">
        <is>
          <t>901.02.02.0044</t>
        </is>
      </c>
      <c r="B2799" s="40" t="inlineStr">
        <is>
          <t>121005602/11.10.2022 Vad.640.000 Eur-Tem.Mek/Halkbank 7,7097</t>
        </is>
      </c>
      <c r="C2799" s="40" t="inlineStr">
        <is>
          <t>TRY</t>
        </is>
      </c>
      <c r="D2799" s="40" t="inlineStr">
        <is>
          <t>SERTAŞ MERKEZ</t>
        </is>
      </c>
      <c r="E2799" s="38" t="n">
        <v>4934208</v>
      </c>
      <c r="F2799" s="38" t="n">
        <v>0</v>
      </c>
      <c r="G2799" s="38" t="n">
        <v>4934208</v>
      </c>
      <c r="H2799" s="40" t="inlineStr">
        <is>
          <t>Borç</t>
        </is>
      </c>
      <c r="I2799" s="38" t="n">
        <v>4934208</v>
      </c>
      <c r="J2799" s="38" t="n">
        <v>0</v>
      </c>
      <c r="K2799" s="38" t="n">
        <v>4934208</v>
      </c>
      <c r="L2799" s="40" t="inlineStr">
        <is>
          <t>Borç</t>
        </is>
      </c>
    </row>
    <row r="2800" s="34">
      <c r="A2800" s="40" t="inlineStr">
        <is>
          <t>901.02.02.0045</t>
        </is>
      </c>
      <c r="B2800" s="40" t="inlineStr">
        <is>
          <t>121004924/17.06.2022 Vad.700.000 Eur-Tem.Mek/Halkbank 7,4624</t>
        </is>
      </c>
      <c r="C2800" s="40" t="inlineStr">
        <is>
          <t>TRY</t>
        </is>
      </c>
      <c r="D2800" s="40" t="inlineStr">
        <is>
          <t>SERTAŞ MERKEZ</t>
        </is>
      </c>
      <c r="E2800" s="38" t="n">
        <v>5223680</v>
      </c>
      <c r="F2800" s="38" t="n">
        <v>0</v>
      </c>
      <c r="G2800" s="38" t="n">
        <v>5223680</v>
      </c>
      <c r="H2800" s="40" t="inlineStr">
        <is>
          <t>Borç</t>
        </is>
      </c>
      <c r="I2800" s="38" t="n">
        <v>5223680</v>
      </c>
      <c r="J2800" s="38" t="n">
        <v>0</v>
      </c>
      <c r="K2800" s="38" t="n">
        <v>5223680</v>
      </c>
      <c r="L2800" s="40" t="inlineStr">
        <is>
          <t>Borç</t>
        </is>
      </c>
    </row>
    <row r="2801" s="34">
      <c r="A2801" s="40" t="inlineStr">
        <is>
          <t>901.02.02.0046</t>
        </is>
      </c>
      <c r="B2801" s="40" t="inlineStr">
        <is>
          <t>121004927/16.08.2022 Vad.56.000 Eur-Tem.Mek/Halkbank 7,4624</t>
        </is>
      </c>
      <c r="C2801" s="40" t="inlineStr">
        <is>
          <t>TRY</t>
        </is>
      </c>
      <c r="D2801" s="40" t="inlineStr">
        <is>
          <t>SERTAŞ MERKEZ</t>
        </is>
      </c>
      <c r="E2801" s="38" t="n">
        <v>417894.4</v>
      </c>
      <c r="F2801" s="38" t="n">
        <v>0</v>
      </c>
      <c r="G2801" s="38" t="n">
        <v>417894.4</v>
      </c>
      <c r="H2801" s="40" t="inlineStr">
        <is>
          <t>Borç</t>
        </is>
      </c>
      <c r="I2801" s="38" t="n">
        <v>417894.4</v>
      </c>
      <c r="J2801" s="38" t="n">
        <v>0</v>
      </c>
      <c r="K2801" s="38" t="n">
        <v>417894.4</v>
      </c>
      <c r="L2801" s="40" t="inlineStr">
        <is>
          <t>Borç</t>
        </is>
      </c>
    </row>
    <row r="2802" s="34">
      <c r="A2802" s="40" t="inlineStr">
        <is>
          <t>901.02.02.0047</t>
        </is>
      </c>
      <c r="B2802" s="40" t="inlineStr">
        <is>
          <t>121004819/31.08.2022 Vad.80.000 Eur-Tem.Mek/Halkbank 7,5735</t>
        </is>
      </c>
      <c r="C2802" s="40" t="inlineStr">
        <is>
          <t>TRY</t>
        </is>
      </c>
      <c r="D2802" s="40" t="inlineStr">
        <is>
          <t>SERTAŞ MERKEZ</t>
        </is>
      </c>
      <c r="E2802" s="38" t="n">
        <v>605880</v>
      </c>
      <c r="F2802" s="38" t="n">
        <v>0</v>
      </c>
      <c r="G2802" s="38" t="n">
        <v>605880</v>
      </c>
      <c r="H2802" s="40" t="inlineStr">
        <is>
          <t>Borç</t>
        </is>
      </c>
      <c r="I2802" s="38" t="n">
        <v>605880</v>
      </c>
      <c r="J2802" s="38" t="n">
        <v>0</v>
      </c>
      <c r="K2802" s="38" t="n">
        <v>605880</v>
      </c>
      <c r="L2802" s="40" t="inlineStr">
        <is>
          <t>Borç</t>
        </is>
      </c>
    </row>
    <row r="2803" s="34">
      <c r="A2803" s="40" t="inlineStr">
        <is>
          <t>901.02.02.0048</t>
        </is>
      </c>
      <c r="B2803" s="40" t="inlineStr">
        <is>
          <t>2084Krtm274/04.04.2022 Vad.320.000 Eur-Tem.Mek/Ziraat 9,4913</t>
        </is>
      </c>
      <c r="C2803" s="40" t="inlineStr">
        <is>
          <t>TRY</t>
        </is>
      </c>
      <c r="D2803" s="40" t="inlineStr">
        <is>
          <t>SERTAŞ MERKEZ</t>
        </is>
      </c>
      <c r="E2803" s="38" t="n">
        <v>3037216</v>
      </c>
      <c r="F2803" s="38" t="n">
        <v>0</v>
      </c>
      <c r="G2803" s="38" t="n">
        <v>3037216</v>
      </c>
      <c r="H2803" s="40" t="inlineStr">
        <is>
          <t>Borç</t>
        </is>
      </c>
      <c r="I2803" s="38" t="n">
        <v>3037216</v>
      </c>
      <c r="J2803" s="38" t="n">
        <v>0</v>
      </c>
      <c r="K2803" s="38" t="n">
        <v>3037216</v>
      </c>
      <c r="L2803" s="40" t="inlineStr">
        <is>
          <t>Borç</t>
        </is>
      </c>
    </row>
    <row r="2804" s="34">
      <c r="A2804" s="40" t="inlineStr">
        <is>
          <t>901.02.02.0049</t>
        </is>
      </c>
      <c r="B2804" s="40" t="inlineStr">
        <is>
          <t>2084Krtm94/17.03.2023 Vad.975.000 Eur-Tem.Mek/Ziraatbank 6.5864</t>
        </is>
      </c>
      <c r="C2804" s="40" t="inlineStr">
        <is>
          <t>TRY</t>
        </is>
      </c>
      <c r="D2804" s="40" t="inlineStr">
        <is>
          <t>SERTAŞ MERKEZ</t>
        </is>
      </c>
      <c r="E2804" s="38" t="n">
        <v>6421740</v>
      </c>
      <c r="F2804" s="38" t="n">
        <v>0</v>
      </c>
      <c r="G2804" s="38" t="n">
        <v>6421740</v>
      </c>
      <c r="H2804" s="40" t="inlineStr">
        <is>
          <t>Borç</t>
        </is>
      </c>
      <c r="I2804" s="38" t="n">
        <v>6421740</v>
      </c>
      <c r="J2804" s="38" t="n">
        <v>0</v>
      </c>
      <c r="K2804" s="38" t="n">
        <v>6421740</v>
      </c>
      <c r="L2804" s="40" t="inlineStr">
        <is>
          <t>Borç</t>
        </is>
      </c>
    </row>
    <row r="2805" s="34">
      <c r="A2805" s="40" t="inlineStr">
        <is>
          <t>901.02.02.0050</t>
        </is>
      </c>
      <c r="B2805" s="40" t="inlineStr">
        <is>
          <t>2084Krtm95/17.03.2023 Vad.975.000 Eur-Tem.Mek/Ziraatbank 6.5864</t>
        </is>
      </c>
      <c r="C2805" s="40" t="inlineStr">
        <is>
          <t>TRY</t>
        </is>
      </c>
      <c r="D2805" s="40" t="inlineStr">
        <is>
          <t>SERTAŞ MERKEZ</t>
        </is>
      </c>
      <c r="E2805" s="38" t="n">
        <v>6421740</v>
      </c>
      <c r="F2805" s="38" t="n">
        <v>0</v>
      </c>
      <c r="G2805" s="38" t="n">
        <v>6421740</v>
      </c>
      <c r="H2805" s="40" t="inlineStr">
        <is>
          <t>Borç</t>
        </is>
      </c>
      <c r="I2805" s="38" t="n">
        <v>6421740</v>
      </c>
      <c r="J2805" s="38" t="n">
        <v>0</v>
      </c>
      <c r="K2805" s="38" t="n">
        <v>6421740</v>
      </c>
      <c r="L2805" s="40" t="inlineStr">
        <is>
          <t>Borç</t>
        </is>
      </c>
    </row>
    <row r="2806" s="34">
      <c r="A2806" s="40" t="inlineStr">
        <is>
          <t>901.02.02.0051</t>
        </is>
      </c>
      <c r="B2806" s="40" t="inlineStr">
        <is>
          <t>2084Krtm9/28.02.2022 Vad.7.500.000 Eur-Tem.Mek/Ziraatbank 9.0044</t>
        </is>
      </c>
      <c r="C2806" s="40" t="inlineStr">
        <is>
          <t>TRY</t>
        </is>
      </c>
      <c r="D2806" s="40" t="inlineStr">
        <is>
          <t>SERTAŞ MERKEZ</t>
        </is>
      </c>
      <c r="E2806" s="38" t="n">
        <v>67533000</v>
      </c>
      <c r="F2806" s="38" t="n">
        <v>0</v>
      </c>
      <c r="G2806" s="38" t="n">
        <v>67533000</v>
      </c>
      <c r="H2806" s="40" t="inlineStr">
        <is>
          <t>Borç</t>
        </is>
      </c>
      <c r="I2806" s="38" t="n">
        <v>67533000</v>
      </c>
      <c r="J2806" s="38" t="n">
        <v>0</v>
      </c>
      <c r="K2806" s="38" t="n">
        <v>67533000</v>
      </c>
      <c r="L2806" s="40" t="inlineStr">
        <is>
          <t>Borç</t>
        </is>
      </c>
    </row>
    <row r="2807" s="34">
      <c r="A2807" s="40" t="inlineStr">
        <is>
          <t>901.02.02.0052</t>
        </is>
      </c>
      <c r="B2807" s="40" t="inlineStr">
        <is>
          <t>2084Krtm10/27.05.2022 Vad.300.000 Eur-Tem.Mek/Ziraatbank 9.0044</t>
        </is>
      </c>
      <c r="C2807" s="40" t="inlineStr">
        <is>
          <t>TRY</t>
        </is>
      </c>
      <c r="D2807" s="40" t="inlineStr">
        <is>
          <t>SERTAŞ MERKEZ</t>
        </is>
      </c>
      <c r="E2807" s="38" t="n">
        <v>2701320</v>
      </c>
      <c r="F2807" s="38" t="n">
        <v>0</v>
      </c>
      <c r="G2807" s="38" t="n">
        <v>2701320</v>
      </c>
      <c r="H2807" s="40" t="inlineStr">
        <is>
          <t>Borç</t>
        </is>
      </c>
      <c r="I2807" s="38" t="n">
        <v>2701320</v>
      </c>
      <c r="J2807" s="38" t="n">
        <v>0</v>
      </c>
      <c r="K2807" s="38" t="n">
        <v>2701320</v>
      </c>
      <c r="L2807" s="40" t="inlineStr">
        <is>
          <t>Borç</t>
        </is>
      </c>
    </row>
    <row r="2808" s="34">
      <c r="A2808" s="40" t="inlineStr">
        <is>
          <t>901.02.02.0053</t>
        </is>
      </c>
      <c r="B2808" s="40" t="inlineStr">
        <is>
          <t>2084Krtm18/22.03.2022 Vad.5.000.000 Eur-Tem.Mek/Ziraatbank 8.5374</t>
        </is>
      </c>
      <c r="C2808" s="40" t="inlineStr">
        <is>
          <t>TRY</t>
        </is>
      </c>
      <c r="D2808" s="40" t="inlineStr">
        <is>
          <t>SERTAŞ MERKEZ</t>
        </is>
      </c>
      <c r="E2808" s="38" t="n">
        <v>42687000</v>
      </c>
      <c r="F2808" s="38" t="n">
        <v>0</v>
      </c>
      <c r="G2808" s="38" t="n">
        <v>42687000</v>
      </c>
      <c r="H2808" s="40" t="inlineStr">
        <is>
          <t>Borç</t>
        </is>
      </c>
      <c r="I2808" s="38" t="n">
        <v>42687000</v>
      </c>
      <c r="J2808" s="38" t="n">
        <v>0</v>
      </c>
      <c r="K2808" s="38" t="n">
        <v>42687000</v>
      </c>
      <c r="L2808" s="40" t="inlineStr">
        <is>
          <t>Borç</t>
        </is>
      </c>
    </row>
    <row r="2809" s="34">
      <c r="A2809" s="40" t="inlineStr">
        <is>
          <t>901.02.02.0054</t>
        </is>
      </c>
      <c r="B2809" s="40" t="inlineStr">
        <is>
          <t>2084Krtm20/17.06.2022 Vad.200.000 Eur-Tem.Mek/Ziraatbank 8.5374</t>
        </is>
      </c>
      <c r="C2809" s="40" t="inlineStr">
        <is>
          <t>TRY</t>
        </is>
      </c>
      <c r="D2809" s="40" t="inlineStr">
        <is>
          <t>SERTAŞ MERKEZ</t>
        </is>
      </c>
      <c r="E2809" s="38" t="n">
        <v>1707480</v>
      </c>
      <c r="F2809" s="38" t="n">
        <v>0</v>
      </c>
      <c r="G2809" s="38" t="n">
        <v>1707480</v>
      </c>
      <c r="H2809" s="40" t="inlineStr">
        <is>
          <t>Borç</t>
        </is>
      </c>
      <c r="I2809" s="38" t="n">
        <v>1707480</v>
      </c>
      <c r="J2809" s="38" t="n">
        <v>0</v>
      </c>
      <c r="K2809" s="38" t="n">
        <v>1707480</v>
      </c>
      <c r="L2809" s="40" t="inlineStr">
        <is>
          <t>Borç</t>
        </is>
      </c>
    </row>
    <row r="2810" s="34">
      <c r="A2810" s="40" t="inlineStr">
        <is>
          <t>901.02.02.0055</t>
        </is>
      </c>
      <c r="B2810" s="40" t="inlineStr">
        <is>
          <t>2084Krtm22/14.03.2022 Vad.5.000.000 Eur-Tem.Mek/Ziraatbank 8.5374</t>
        </is>
      </c>
      <c r="C2810" s="40" t="inlineStr">
        <is>
          <t>TRY</t>
        </is>
      </c>
      <c r="D2810" s="40" t="inlineStr">
        <is>
          <t>SERTAŞ MERKEZ</t>
        </is>
      </c>
      <c r="E2810" s="38" t="n">
        <v>42687000</v>
      </c>
      <c r="F2810" s="38" t="n">
        <v>0</v>
      </c>
      <c r="G2810" s="38" t="n">
        <v>42687000</v>
      </c>
      <c r="H2810" s="40" t="inlineStr">
        <is>
          <t>Borç</t>
        </is>
      </c>
      <c r="I2810" s="38" t="n">
        <v>42687000</v>
      </c>
      <c r="J2810" s="38" t="n">
        <v>0</v>
      </c>
      <c r="K2810" s="38" t="n">
        <v>42687000</v>
      </c>
      <c r="L2810" s="40" t="inlineStr">
        <is>
          <t>Borç</t>
        </is>
      </c>
    </row>
    <row r="2811" s="34">
      <c r="A2811" s="40" t="inlineStr">
        <is>
          <t>901.02.02.0056</t>
        </is>
      </c>
      <c r="B2811" s="40" t="inlineStr">
        <is>
          <t>2084Krtm23/14.06.2022 Vad.200.000 Eur-Tem.Mek/Ziraatbank 8.5374</t>
        </is>
      </c>
      <c r="C2811" s="40" t="inlineStr">
        <is>
          <t>TRY</t>
        </is>
      </c>
      <c r="D2811" s="40" t="inlineStr">
        <is>
          <t>SERTAŞ MERKEZ</t>
        </is>
      </c>
      <c r="E2811" s="38" t="n">
        <v>1707480</v>
      </c>
      <c r="F2811" s="38" t="n">
        <v>0</v>
      </c>
      <c r="G2811" s="38" t="n">
        <v>1707480</v>
      </c>
      <c r="H2811" s="40" t="inlineStr">
        <is>
          <t>Borç</t>
        </is>
      </c>
      <c r="I2811" s="38" t="n">
        <v>1707480</v>
      </c>
      <c r="J2811" s="38" t="n">
        <v>0</v>
      </c>
      <c r="K2811" s="38" t="n">
        <v>1707480</v>
      </c>
      <c r="L2811" s="40" t="inlineStr">
        <is>
          <t>Borç</t>
        </is>
      </c>
    </row>
    <row r="2812" s="34">
      <c r="A2812" s="40" t="inlineStr">
        <is>
          <t>901.02.02.0057</t>
        </is>
      </c>
      <c r="B2812" s="40" t="inlineStr">
        <is>
          <t>S012404621000219/07.06.2022 Vad.200.000 Eur-Tem.Mek/Vakıfbank 8,5036</t>
        </is>
      </c>
      <c r="C2812" s="40" t="inlineStr">
        <is>
          <t>TRY</t>
        </is>
      </c>
      <c r="D2812" s="40" t="inlineStr">
        <is>
          <t>SERTAŞ MERKEZ</t>
        </is>
      </c>
      <c r="E2812" s="38" t="n">
        <v>1700720</v>
      </c>
      <c r="F2812" s="38" t="n">
        <v>0</v>
      </c>
      <c r="G2812" s="38" t="n">
        <v>1700720</v>
      </c>
      <c r="H2812" s="40" t="inlineStr">
        <is>
          <t>Borç</t>
        </is>
      </c>
      <c r="I2812" s="38" t="n">
        <v>1700720</v>
      </c>
      <c r="J2812" s="38" t="n">
        <v>0</v>
      </c>
      <c r="K2812" s="38" t="n">
        <v>1700720</v>
      </c>
      <c r="L2812" s="40" t="inlineStr">
        <is>
          <t>Borç</t>
        </is>
      </c>
    </row>
    <row r="2813" s="34">
      <c r="A2813" s="40" t="inlineStr">
        <is>
          <t>901.02.02.0058</t>
        </is>
      </c>
      <c r="B2813" s="40" t="inlineStr">
        <is>
          <t>S012404621000221/09.03.2022 Vad.5.000.000 Eur-Tem.Mek/Vakıfbank 8,5036</t>
        </is>
      </c>
      <c r="C2813" s="40" t="inlineStr">
        <is>
          <t>TRY</t>
        </is>
      </c>
      <c r="D2813" s="40" t="inlineStr">
        <is>
          <t>SERTAŞ MERKEZ</t>
        </is>
      </c>
      <c r="E2813" s="38" t="n">
        <v>42518000</v>
      </c>
      <c r="F2813" s="38" t="n">
        <v>0</v>
      </c>
      <c r="G2813" s="38" t="n">
        <v>42518000</v>
      </c>
      <c r="H2813" s="40" t="inlineStr">
        <is>
          <t>Borç</t>
        </is>
      </c>
      <c r="I2813" s="38" t="n">
        <v>42518000</v>
      </c>
      <c r="J2813" s="38" t="n">
        <v>0</v>
      </c>
      <c r="K2813" s="38" t="n">
        <v>42518000</v>
      </c>
      <c r="L2813" s="40" t="inlineStr">
        <is>
          <t>Borç</t>
        </is>
      </c>
    </row>
    <row r="2814" s="34">
      <c r="A2814" s="40" t="inlineStr">
        <is>
          <t>901.02.02.0060</t>
        </is>
      </c>
      <c r="B2814" s="40" t="inlineStr">
        <is>
          <t>7100519549 Nolu 04.02.2022 Enerya</t>
        </is>
      </c>
      <c r="C2814" s="40" t="inlineStr">
        <is>
          <t>TRY</t>
        </is>
      </c>
      <c r="D2814" s="40" t="inlineStr">
        <is>
          <t>SERTAŞ MERKEZ</t>
        </is>
      </c>
      <c r="E2814" s="38" t="n">
        <v>447562</v>
      </c>
      <c r="F2814" s="38" t="n">
        <v>0</v>
      </c>
      <c r="G2814" s="38" t="n">
        <v>447562</v>
      </c>
      <c r="H2814" s="40" t="inlineStr">
        <is>
          <t>Borç</t>
        </is>
      </c>
      <c r="I2814" s="38" t="n">
        <v>447562</v>
      </c>
      <c r="J2814" s="38" t="n">
        <v>0</v>
      </c>
      <c r="K2814" s="38" t="n">
        <v>447562</v>
      </c>
      <c r="L2814" s="40" t="inlineStr">
        <is>
          <t>Borç</t>
        </is>
      </c>
    </row>
    <row r="2815" s="34">
      <c r="A2815" s="40" t="inlineStr">
        <is>
          <t>901.02.02.0061</t>
        </is>
      </c>
      <c r="B2815" s="40" t="inlineStr">
        <is>
          <t>7100519550 Nolu 04.02.2022 Enerya</t>
        </is>
      </c>
      <c r="C2815" s="40" t="inlineStr">
        <is>
          <t>TRY</t>
        </is>
      </c>
      <c r="D2815" s="40" t="inlineStr">
        <is>
          <t>SERTAŞ MERKEZ</t>
        </is>
      </c>
      <c r="E2815" s="38" t="n">
        <v>183140</v>
      </c>
      <c r="F2815" s="38" t="n">
        <v>0</v>
      </c>
      <c r="G2815" s="38" t="n">
        <v>183140</v>
      </c>
      <c r="H2815" s="40" t="inlineStr">
        <is>
          <t>Borç</t>
        </is>
      </c>
      <c r="I2815" s="38" t="n">
        <v>183140</v>
      </c>
      <c r="J2815" s="38" t="n">
        <v>0</v>
      </c>
      <c r="K2815" s="38" t="n">
        <v>183140</v>
      </c>
      <c r="L2815" s="40" t="inlineStr">
        <is>
          <t>Borç</t>
        </is>
      </c>
    </row>
    <row r="2816" s="34">
      <c r="A2816" s="40" t="inlineStr">
        <is>
          <t>901.02.02.0063</t>
        </is>
      </c>
      <c r="B2816" s="40" t="inlineStr">
        <is>
          <t>7100639014 Nolu 13.03.2023 Enerya</t>
        </is>
      </c>
      <c r="C2816" s="40" t="inlineStr">
        <is>
          <t>TRY</t>
        </is>
      </c>
      <c r="D2816" s="40" t="inlineStr">
        <is>
          <t>SERTAŞ MERKEZ</t>
        </is>
      </c>
      <c r="E2816" s="38" t="n">
        <v>2749013</v>
      </c>
      <c r="F2816" s="38" t="n">
        <v>0</v>
      </c>
      <c r="G2816" s="38" t="n">
        <v>2749013</v>
      </c>
      <c r="H2816" s="40" t="inlineStr">
        <is>
          <t>Borç</t>
        </is>
      </c>
      <c r="I2816" s="38" t="n">
        <v>2749013</v>
      </c>
      <c r="J2816" s="38" t="n">
        <v>0</v>
      </c>
      <c r="K2816" s="38" t="n">
        <v>2749013</v>
      </c>
      <c r="L2816" s="40" t="inlineStr">
        <is>
          <t>Borç</t>
        </is>
      </c>
    </row>
    <row r="2817" s="34">
      <c r="A2817" s="40" t="inlineStr">
        <is>
          <t>901.02.02.0070</t>
        </is>
      </c>
      <c r="B2817" s="40" t="inlineStr">
        <is>
          <t>2265Tm138 Nl/28.03.2025 Vad.6.540.000 TL-Tem.Mek/Denizbank</t>
        </is>
      </c>
      <c r="C2817" s="40" t="inlineStr">
        <is>
          <t>TRY</t>
        </is>
      </c>
      <c r="D2817" s="40" t="inlineStr">
        <is>
          <t>SERTAŞ MERKEZ</t>
        </is>
      </c>
      <c r="E2817" s="38" t="n">
        <v>6540000</v>
      </c>
      <c r="F2817" s="38" t="n">
        <v>0</v>
      </c>
      <c r="G2817" s="38" t="n">
        <v>6540000</v>
      </c>
      <c r="H2817" s="40" t="inlineStr">
        <is>
          <t>Borç</t>
        </is>
      </c>
      <c r="I2817" s="38" t="n">
        <v>6540000</v>
      </c>
      <c r="J2817" s="38" t="n">
        <v>0</v>
      </c>
      <c r="K2817" s="38" t="n">
        <v>6540000</v>
      </c>
      <c r="L2817" s="40" t="inlineStr">
        <is>
          <t>Borç</t>
        </is>
      </c>
    </row>
    <row r="2818" s="34">
      <c r="A2818" s="40" t="inlineStr">
        <is>
          <t>901.02.02.0071</t>
        </is>
      </c>
      <c r="B2818" s="40" t="inlineStr">
        <is>
          <t>2265Tm139 Nl/28.03.2025 Vad.4.770.000 TL-Tem.Mek/Denizbank</t>
        </is>
      </c>
      <c r="C2818" s="40" t="inlineStr">
        <is>
          <t>TRY</t>
        </is>
      </c>
      <c r="D2818" s="40" t="inlineStr">
        <is>
          <t>SERTAŞ MERKEZ</t>
        </is>
      </c>
      <c r="E2818" s="38" t="n">
        <v>4770000</v>
      </c>
      <c r="F2818" s="38" t="n">
        <v>0</v>
      </c>
      <c r="G2818" s="38" t="n">
        <v>4770000</v>
      </c>
      <c r="H2818" s="40" t="inlineStr">
        <is>
          <t>Borç</t>
        </is>
      </c>
      <c r="I2818" s="38" t="n">
        <v>4770000</v>
      </c>
      <c r="J2818" s="38" t="n">
        <v>0</v>
      </c>
      <c r="K2818" s="38" t="n">
        <v>4770000</v>
      </c>
      <c r="L2818" s="40" t="inlineStr">
        <is>
          <t>Borç</t>
        </is>
      </c>
    </row>
    <row r="2819" s="34">
      <c r="A2819" s="40" t="inlineStr">
        <is>
          <t>901.02.02.0081</t>
        </is>
      </c>
      <c r="B2819" s="40" t="inlineStr">
        <is>
          <t>100.800 _ Teminat Senedi/Dam Aliminyum San.ve Tic.Aş.</t>
        </is>
      </c>
      <c r="C2819" s="40" t="inlineStr">
        <is>
          <t>TRY</t>
        </is>
      </c>
      <c r="D2819" s="40" t="inlineStr">
        <is>
          <t>SERTAŞ MERKEZ</t>
        </is>
      </c>
      <c r="E2819" s="38" t="n">
        <v>100800</v>
      </c>
      <c r="F2819" s="38" t="n">
        <v>0</v>
      </c>
      <c r="G2819" s="38" t="n">
        <v>100800</v>
      </c>
      <c r="H2819" s="40" t="inlineStr">
        <is>
          <t>Borç</t>
        </is>
      </c>
      <c r="I2819" s="38" t="n">
        <v>100800</v>
      </c>
      <c r="J2819" s="38" t="n">
        <v>0</v>
      </c>
      <c r="K2819" s="38" t="n">
        <v>100800</v>
      </c>
      <c r="L2819" s="40" t="inlineStr">
        <is>
          <t>Borç</t>
        </is>
      </c>
    </row>
    <row r="2820" s="34">
      <c r="A2820" s="40" t="inlineStr">
        <is>
          <t>901.02.02.0082</t>
        </is>
      </c>
      <c r="B2820" s="40" t="inlineStr">
        <is>
          <t>Ziraat 100.000.000 Euro 1.Derece</t>
        </is>
      </c>
      <c r="C2820" s="40" t="inlineStr">
        <is>
          <t>TRY</t>
        </is>
      </c>
      <c r="D2820" s="40" t="inlineStr">
        <is>
          <t>ROYAL ADAM EVE</t>
        </is>
      </c>
      <c r="E2820" s="38" t="n">
        <v>604220000</v>
      </c>
      <c r="F2820" s="38" t="n">
        <v>0</v>
      </c>
      <c r="G2820" s="38" t="n">
        <v>604220000</v>
      </c>
      <c r="H2820" s="40" t="inlineStr">
        <is>
          <t>Borç</t>
        </is>
      </c>
      <c r="I2820" s="38" t="n">
        <v>604220000</v>
      </c>
      <c r="J2820" s="38" t="n">
        <v>0</v>
      </c>
      <c r="K2820" s="38" t="n">
        <v>604220000</v>
      </c>
      <c r="L2820" s="40" t="inlineStr">
        <is>
          <t>Borç</t>
        </is>
      </c>
    </row>
    <row r="2821" s="34">
      <c r="A2821" s="40" t="inlineStr">
        <is>
          <t>901.02.02.0083</t>
        </is>
      </c>
      <c r="B2821" s="40" t="inlineStr">
        <is>
          <t>Halkbank 1.750.000 Euro 1.Derece</t>
        </is>
      </c>
      <c r="C2821" s="40" t="inlineStr">
        <is>
          <t>TRY</t>
        </is>
      </c>
      <c r="D2821" s="40" t="inlineStr">
        <is>
          <t>ROYAL ADAM EVE</t>
        </is>
      </c>
      <c r="E2821" s="38" t="n">
        <v>10573850</v>
      </c>
      <c r="F2821" s="38" t="n">
        <v>0</v>
      </c>
      <c r="G2821" s="38" t="n">
        <v>10573850</v>
      </c>
      <c r="H2821" s="40" t="inlineStr">
        <is>
          <t>Borç</t>
        </is>
      </c>
      <c r="I2821" s="38" t="n">
        <v>10573850</v>
      </c>
      <c r="J2821" s="38" t="n">
        <v>0</v>
      </c>
      <c r="K2821" s="38" t="n">
        <v>10573850</v>
      </c>
      <c r="L2821" s="40" t="inlineStr">
        <is>
          <t>Borç</t>
        </is>
      </c>
    </row>
    <row r="2822" s="34">
      <c r="A2822" s="40" t="inlineStr">
        <is>
          <t>901.02.02.0084</t>
        </is>
      </c>
      <c r="B2822" s="40" t="inlineStr">
        <is>
          <t>2084KRTM2026000187 TC Enerji Piyasası Düzenleme Kurumu</t>
        </is>
      </c>
      <c r="C2822" s="40" t="inlineStr">
        <is>
          <t>TRY</t>
        </is>
      </c>
      <c r="D2822" s="40" t="inlineStr">
        <is>
          <t>SERTAŞ MERKEZ</t>
        </is>
      </c>
      <c r="E2822" s="38" t="n">
        <v>0</v>
      </c>
      <c r="F2822" s="38" t="n">
        <v>33857943</v>
      </c>
      <c r="G2822" s="38" t="n">
        <v>-33857943</v>
      </c>
      <c r="H2822" s="40" t="inlineStr">
        <is>
          <t>Alacak</t>
        </is>
      </c>
      <c r="I2822" s="38" t="n">
        <v>0</v>
      </c>
      <c r="J2822" s="38" t="n">
        <v>33857943</v>
      </c>
      <c r="K2822" s="38" t="n">
        <v>-33857943</v>
      </c>
      <c r="L2822" s="40" t="inlineStr">
        <is>
          <t>Alacak</t>
        </is>
      </c>
    </row>
    <row r="2823" s="34">
      <c r="A2823" s="40" t="inlineStr">
        <is>
          <t>901.03</t>
        </is>
      </c>
      <c r="B2823" s="40" t="inlineStr">
        <is>
          <t>İPOTEKTEKİ KIYMETLERİMİZ</t>
        </is>
      </c>
      <c r="C2823" s="40" t="inlineStr">
        <is>
          <t>TRY</t>
        </is>
      </c>
      <c r="E2823" s="38" t="n">
        <v>1828470000</v>
      </c>
      <c r="F2823" s="38" t="n">
        <v>0</v>
      </c>
      <c r="G2823" s="38" t="n">
        <v>1828470000</v>
      </c>
      <c r="I2823" s="38" t="n">
        <v>1828470000</v>
      </c>
      <c r="J2823" s="38" t="n">
        <v>0</v>
      </c>
      <c r="K2823" s="38" t="n">
        <v>1828470000</v>
      </c>
    </row>
    <row r="2824" s="34">
      <c r="A2824" s="40" t="inlineStr">
        <is>
          <t>901.03.03.0001</t>
        </is>
      </c>
      <c r="B2824" s="40" t="inlineStr">
        <is>
          <t>12687 Ada 4 Parsel Royal Wings 1.Derece</t>
        </is>
      </c>
      <c r="C2824" s="40" t="inlineStr">
        <is>
          <t>TRY</t>
        </is>
      </c>
      <c r="D2824" s="40" t="inlineStr">
        <is>
          <t>SERTAŞ MERKEZ</t>
        </is>
      </c>
      <c r="E2824" s="38" t="n">
        <v>301400000</v>
      </c>
      <c r="F2824" s="38" t="n">
        <v>0</v>
      </c>
      <c r="G2824" s="38" t="n">
        <v>301400000</v>
      </c>
      <c r="H2824" s="40" t="inlineStr">
        <is>
          <t>Borç</t>
        </is>
      </c>
      <c r="I2824" s="38" t="n">
        <v>301400000</v>
      </c>
      <c r="J2824" s="38" t="n">
        <v>0</v>
      </c>
      <c r="K2824" s="38" t="n">
        <v>301400000</v>
      </c>
      <c r="L2824" s="40" t="inlineStr">
        <is>
          <t>Borç</t>
        </is>
      </c>
    </row>
    <row r="2825" s="34">
      <c r="A2825" s="40" t="inlineStr">
        <is>
          <t>901.03.03.0002</t>
        </is>
      </c>
      <c r="B2825" s="40" t="inlineStr">
        <is>
          <t>12691 Ada 10 Parsel Royal Holiday 1.Derece</t>
        </is>
      </c>
      <c r="C2825" s="40" t="inlineStr">
        <is>
          <t>TRY</t>
        </is>
      </c>
      <c r="D2825" s="40" t="inlineStr">
        <is>
          <t>SERTAŞ MERKEZ</t>
        </is>
      </c>
      <c r="E2825" s="38" t="n">
        <v>271260000</v>
      </c>
      <c r="F2825" s="38" t="n">
        <v>0</v>
      </c>
      <c r="G2825" s="38" t="n">
        <v>271260000</v>
      </c>
      <c r="H2825" s="40" t="inlineStr">
        <is>
          <t>Borç</t>
        </is>
      </c>
      <c r="I2825" s="38" t="n">
        <v>271260000</v>
      </c>
      <c r="J2825" s="38" t="n">
        <v>0</v>
      </c>
      <c r="K2825" s="38" t="n">
        <v>271260000</v>
      </c>
      <c r="L2825" s="40" t="inlineStr">
        <is>
          <t>Borç</t>
        </is>
      </c>
    </row>
    <row r="2826" s="34">
      <c r="A2826" s="40" t="inlineStr">
        <is>
          <t>901.03.03.0003</t>
        </is>
      </c>
      <c r="B2826" s="40" t="inlineStr">
        <is>
          <t>12691 Ada 10 Parsel Royal Holiday 2.Derece</t>
        </is>
      </c>
      <c r="C2826" s="40" t="inlineStr">
        <is>
          <t>TRY</t>
        </is>
      </c>
      <c r="D2826" s="40" t="inlineStr">
        <is>
          <t>SERTAŞ MERKEZ</t>
        </is>
      </c>
      <c r="E2826" s="38" t="n">
        <v>5000000</v>
      </c>
      <c r="F2826" s="38" t="n">
        <v>0</v>
      </c>
      <c r="G2826" s="38" t="n">
        <v>5000000</v>
      </c>
      <c r="H2826" s="40" t="inlineStr">
        <is>
          <t>Borç</t>
        </is>
      </c>
      <c r="I2826" s="38" t="n">
        <v>5000000</v>
      </c>
      <c r="J2826" s="38" t="n">
        <v>0</v>
      </c>
      <c r="K2826" s="38" t="n">
        <v>5000000</v>
      </c>
      <c r="L2826" s="40" t="inlineStr">
        <is>
          <t>Borç</t>
        </is>
      </c>
    </row>
    <row r="2827" s="34">
      <c r="A2827" s="40" t="inlineStr">
        <is>
          <t>901.03.03.0004</t>
        </is>
      </c>
      <c r="B2827" s="40" t="inlineStr">
        <is>
          <t>12691 Ada 10 Parsel Royal Holiday 3.Derece</t>
        </is>
      </c>
      <c r="C2827" s="40" t="inlineStr">
        <is>
          <t>TRY</t>
        </is>
      </c>
      <c r="D2827" s="40" t="inlineStr">
        <is>
          <t>SERTAŞ MERKEZ</t>
        </is>
      </c>
      <c r="E2827" s="38" t="n">
        <v>129602000</v>
      </c>
      <c r="F2827" s="38" t="n">
        <v>0</v>
      </c>
      <c r="G2827" s="38" t="n">
        <v>129602000</v>
      </c>
      <c r="H2827" s="40" t="inlineStr">
        <is>
          <t>Borç</t>
        </is>
      </c>
      <c r="I2827" s="38" t="n">
        <v>129602000</v>
      </c>
      <c r="J2827" s="38" t="n">
        <v>0</v>
      </c>
      <c r="K2827" s="38" t="n">
        <v>129602000</v>
      </c>
      <c r="L2827" s="40" t="inlineStr">
        <is>
          <t>Borç</t>
        </is>
      </c>
    </row>
    <row r="2828" s="34">
      <c r="A2828" s="40" t="inlineStr">
        <is>
          <t>901.03.03.0005</t>
        </is>
      </c>
      <c r="B2828" s="40" t="inlineStr">
        <is>
          <t>205 Ada 1 Parsel Royal Tajmahal 1.Derece</t>
        </is>
      </c>
      <c r="C2828" s="40" t="inlineStr">
        <is>
          <t>TRY</t>
        </is>
      </c>
      <c r="D2828" s="40" t="inlineStr">
        <is>
          <t>SERTAŞ MERKEZ</t>
        </is>
      </c>
      <c r="E2828" s="38" t="n">
        <v>352638000</v>
      </c>
      <c r="F2828" s="38" t="n">
        <v>0</v>
      </c>
      <c r="G2828" s="38" t="n">
        <v>352638000</v>
      </c>
      <c r="H2828" s="40" t="inlineStr">
        <is>
          <t>Borç</t>
        </is>
      </c>
      <c r="I2828" s="38" t="n">
        <v>352638000</v>
      </c>
      <c r="J2828" s="38" t="n">
        <v>0</v>
      </c>
      <c r="K2828" s="38" t="n">
        <v>352638000</v>
      </c>
      <c r="L2828" s="40" t="inlineStr">
        <is>
          <t>Borç</t>
        </is>
      </c>
    </row>
    <row r="2829" s="34">
      <c r="A2829" s="40" t="inlineStr">
        <is>
          <t>901.03.03.0006</t>
        </is>
      </c>
      <c r="B2829" s="40" t="inlineStr">
        <is>
          <t>13393 Ada 5 Parsel Royal Seginus 1. Derece</t>
        </is>
      </c>
      <c r="C2829" s="40" t="inlineStr">
        <is>
          <t>TRY</t>
        </is>
      </c>
      <c r="D2829" s="40" t="inlineStr">
        <is>
          <t>SERTAŞ MERKEZ</t>
        </is>
      </c>
      <c r="E2829" s="38" t="n">
        <v>705276000</v>
      </c>
      <c r="F2829" s="38" t="n">
        <v>0</v>
      </c>
      <c r="G2829" s="38" t="n">
        <v>705276000</v>
      </c>
      <c r="H2829" s="40" t="inlineStr">
        <is>
          <t>Borç</t>
        </is>
      </c>
      <c r="I2829" s="38" t="n">
        <v>705276000</v>
      </c>
      <c r="J2829" s="38" t="n">
        <v>0</v>
      </c>
      <c r="K2829" s="38" t="n">
        <v>705276000</v>
      </c>
      <c r="L2829" s="40" t="inlineStr">
        <is>
          <t>Borç</t>
        </is>
      </c>
    </row>
    <row r="2830" s="34">
      <c r="A2830" s="40" t="inlineStr">
        <is>
          <t>901.03.03.0007</t>
        </is>
      </c>
      <c r="B2830" s="40" t="inlineStr">
        <is>
          <t>687 Ada 1 Parsel Avm 1. Derece</t>
        </is>
      </c>
      <c r="C2830" s="40" t="inlineStr">
        <is>
          <t>TRY</t>
        </is>
      </c>
      <c r="D2830" s="40" t="inlineStr">
        <is>
          <t>SERTAŞ MERKEZ</t>
        </is>
      </c>
      <c r="E2830" s="38" t="n">
        <v>63294000</v>
      </c>
      <c r="F2830" s="38" t="n">
        <v>0</v>
      </c>
      <c r="G2830" s="38" t="n">
        <v>63294000</v>
      </c>
      <c r="H2830" s="40" t="inlineStr">
        <is>
          <t>Borç</t>
        </is>
      </c>
      <c r="I2830" s="38" t="n">
        <v>63294000</v>
      </c>
      <c r="J2830" s="38" t="n">
        <v>0</v>
      </c>
      <c r="K2830" s="38" t="n">
        <v>63294000</v>
      </c>
      <c r="L2830" s="40" t="inlineStr">
        <is>
          <t>Borç</t>
        </is>
      </c>
    </row>
    <row r="2831" s="34">
      <c r="A2831" s="40" t="inlineStr">
        <is>
          <t>901.04</t>
        </is>
      </c>
      <c r="B2831" s="40" t="inlineStr">
        <is>
          <t>TEMİNAT SENETLERİNİ ALDIKLARIMIZ</t>
        </is>
      </c>
      <c r="C2831" s="40" t="inlineStr">
        <is>
          <t>TRY</t>
        </is>
      </c>
      <c r="E2831" s="38" t="n">
        <v>7073635.23</v>
      </c>
      <c r="F2831" s="38" t="n">
        <v>0</v>
      </c>
      <c r="G2831" s="38" t="n">
        <v>7073635.23</v>
      </c>
      <c r="I2831" s="38" t="n">
        <v>7073635.23</v>
      </c>
      <c r="J2831" s="38" t="n">
        <v>0</v>
      </c>
      <c r="K2831" s="38" t="n">
        <v>7073635.23</v>
      </c>
    </row>
    <row r="2832" s="34">
      <c r="A2832" s="40" t="inlineStr">
        <is>
          <t>901.04.04.0001</t>
        </is>
      </c>
      <c r="B2832" s="40" t="inlineStr">
        <is>
          <t>31.12.2023 Vade Tarihli Teminat Senedi/Dinamo Kozmetik A.Ş.</t>
        </is>
      </c>
      <c r="C2832" s="40" t="inlineStr">
        <is>
          <t>TRY</t>
        </is>
      </c>
      <c r="D2832" s="40" t="inlineStr">
        <is>
          <t>GİTAŞ MERKEZ</t>
        </is>
      </c>
      <c r="E2832" s="38" t="n">
        <v>2357878.41</v>
      </c>
      <c r="F2832" s="38" t="n">
        <v>0</v>
      </c>
      <c r="G2832" s="38" t="n">
        <v>2357878.41</v>
      </c>
      <c r="H2832" s="40" t="inlineStr">
        <is>
          <t>Borç</t>
        </is>
      </c>
      <c r="I2832" s="38" t="n">
        <v>2357878.41</v>
      </c>
      <c r="J2832" s="38" t="n">
        <v>0</v>
      </c>
      <c r="K2832" s="38" t="n">
        <v>2357878.41</v>
      </c>
      <c r="L2832" s="40" t="inlineStr">
        <is>
          <t>Borç</t>
        </is>
      </c>
    </row>
    <row r="2833" s="34">
      <c r="A2833" s="40" t="inlineStr">
        <is>
          <t>901.04.04.0001</t>
        </is>
      </c>
      <c r="B2833" s="40" t="inlineStr">
        <is>
          <t>31.12.2023 Vade Tarihli Teminat Senedi/Dinamo Kozmetik A.Ş.</t>
        </is>
      </c>
      <c r="C2833" s="40" t="inlineStr">
        <is>
          <t>TRY</t>
        </is>
      </c>
      <c r="D2833" s="40" t="inlineStr">
        <is>
          <t>ROYAL ADAM EVE</t>
        </is>
      </c>
      <c r="E2833" s="38" t="n">
        <v>2357878.41</v>
      </c>
      <c r="F2833" s="38" t="n">
        <v>0</v>
      </c>
      <c r="G2833" s="38" t="n">
        <v>2357878.41</v>
      </c>
      <c r="H2833" s="40" t="inlineStr">
        <is>
          <t>Borç</t>
        </is>
      </c>
      <c r="I2833" s="38" t="n">
        <v>2357878.41</v>
      </c>
      <c r="J2833" s="38" t="n">
        <v>0</v>
      </c>
      <c r="K2833" s="38" t="n">
        <v>2357878.41</v>
      </c>
      <c r="L2833" s="40" t="inlineStr">
        <is>
          <t>Borç</t>
        </is>
      </c>
    </row>
    <row r="2834" s="34">
      <c r="A2834" s="40" t="inlineStr">
        <is>
          <t>901.04.04.0001</t>
        </is>
      </c>
      <c r="B2834" s="40" t="inlineStr">
        <is>
          <t>31.12.2023 Vade Tarihli Teminat Senedi/Dinamo Kozmetik A.Ş.</t>
        </is>
      </c>
      <c r="C2834" s="40" t="inlineStr">
        <is>
          <t>TRY</t>
        </is>
      </c>
      <c r="D2834" s="40" t="inlineStr">
        <is>
          <t>SERTAŞ MERKEZ</t>
        </is>
      </c>
      <c r="E2834" s="38" t="n">
        <v>2357878.41</v>
      </c>
      <c r="F2834" s="38" t="n">
        <v>0</v>
      </c>
      <c r="G2834" s="38" t="n">
        <v>2357878.41</v>
      </c>
      <c r="H2834" s="40" t="inlineStr">
        <is>
          <t>Borç</t>
        </is>
      </c>
      <c r="I2834" s="38" t="n">
        <v>2357878.41</v>
      </c>
      <c r="J2834" s="38" t="n">
        <v>0</v>
      </c>
      <c r="K2834" s="38" t="n">
        <v>2357878.41</v>
      </c>
      <c r="L2834" s="40" t="inlineStr">
        <is>
          <t>Borç</t>
        </is>
      </c>
    </row>
    <row r="2835" s="34">
      <c r="A2835" s="40" t="inlineStr">
        <is>
          <t>901.05</t>
        </is>
      </c>
      <c r="B2835" s="40" t="inlineStr">
        <is>
          <t>TEMİNAT ÇEKLERİNİ ALDIKLARIMIZ</t>
        </is>
      </c>
      <c r="C2835" s="40" t="inlineStr">
        <is>
          <t>TRY</t>
        </is>
      </c>
      <c r="E2835" s="38" t="n">
        <v>9853841.66</v>
      </c>
      <c r="F2835" s="38" t="n">
        <v>0</v>
      </c>
      <c r="G2835" s="38" t="n">
        <v>9853841.66</v>
      </c>
      <c r="I2835" s="38" t="n">
        <v>9853841.66</v>
      </c>
      <c r="J2835" s="38" t="n">
        <v>0</v>
      </c>
      <c r="K2835" s="38" t="n">
        <v>9853841.66</v>
      </c>
    </row>
    <row r="2836" s="34">
      <c r="A2836" s="40" t="inlineStr">
        <is>
          <t>901.05.05.0001</t>
        </is>
      </c>
      <c r="B2836" s="40" t="inlineStr">
        <is>
          <t>12.03.2026 Vade Tarihli 0007179 Nl.75.000,00 Eur Tem.Çeki/Arkon Org.Lt</t>
        </is>
      </c>
      <c r="C2836" s="40" t="inlineStr">
        <is>
          <t>TRY</t>
        </is>
      </c>
      <c r="D2836" s="40" t="inlineStr">
        <is>
          <t>SERTAŞ MERKEZ</t>
        </is>
      </c>
      <c r="E2836" s="38" t="n">
        <v>3588652.5</v>
      </c>
      <c r="F2836" s="38" t="n">
        <v>0</v>
      </c>
      <c r="G2836" s="38" t="n">
        <v>3588652.5</v>
      </c>
      <c r="H2836" s="40" t="inlineStr">
        <is>
          <t>Borç</t>
        </is>
      </c>
      <c r="I2836" s="38" t="n">
        <v>3588652.5</v>
      </c>
      <c r="J2836" s="38" t="n">
        <v>0</v>
      </c>
      <c r="K2836" s="38" t="n">
        <v>3588652.5</v>
      </c>
      <c r="L2836" s="40" t="inlineStr">
        <is>
          <t>Borç</t>
        </is>
      </c>
    </row>
    <row r="2837" s="34">
      <c r="A2837" s="40" t="inlineStr">
        <is>
          <t>901.05.05.0002</t>
        </is>
      </c>
      <c r="B2837" s="40" t="inlineStr">
        <is>
          <t>30.03.2026 Vade Tarihli 0007180 Nl.50.937,50 Eur Tem.Çeki/Arkon Org.Lt</t>
        </is>
      </c>
      <c r="C2837" s="40" t="inlineStr">
        <is>
          <t>TRY</t>
        </is>
      </c>
      <c r="D2837" s="40" t="inlineStr">
        <is>
          <t>SERTAŞ MERKEZ</t>
        </is>
      </c>
      <c r="E2837" s="38" t="n">
        <v>2437293.16</v>
      </c>
      <c r="F2837" s="38" t="n">
        <v>0</v>
      </c>
      <c r="G2837" s="38" t="n">
        <v>2437293.16</v>
      </c>
      <c r="H2837" s="40" t="inlineStr">
        <is>
          <t>Borç</t>
        </is>
      </c>
      <c r="I2837" s="38" t="n">
        <v>2437293.16</v>
      </c>
      <c r="J2837" s="38" t="n">
        <v>0</v>
      </c>
      <c r="K2837" s="38" t="n">
        <v>2437293.16</v>
      </c>
      <c r="L2837" s="40" t="inlineStr">
        <is>
          <t>Borç</t>
        </is>
      </c>
    </row>
    <row r="2838" s="34">
      <c r="A2838" s="40" t="inlineStr">
        <is>
          <t>901.05.05.0003</t>
        </is>
      </c>
      <c r="B2838" s="40" t="inlineStr">
        <is>
          <t>30.01.2026 Vade Tarihli 0007177 Nl.30.000,00 Eur Tem.Çeki/Arkon Org.Lt</t>
        </is>
      </c>
      <c r="C2838" s="40" t="inlineStr">
        <is>
          <t>TRY</t>
        </is>
      </c>
      <c r="D2838" s="40" t="inlineStr">
        <is>
          <t>SERTAŞ MERKEZ</t>
        </is>
      </c>
      <c r="E2838" s="38" t="n">
        <v>1435461</v>
      </c>
      <c r="F2838" s="38" t="n">
        <v>0</v>
      </c>
      <c r="G2838" s="38" t="n">
        <v>1435461</v>
      </c>
      <c r="H2838" s="40" t="inlineStr">
        <is>
          <t>Borç</t>
        </is>
      </c>
      <c r="I2838" s="38" t="n">
        <v>1435461</v>
      </c>
      <c r="J2838" s="38" t="n">
        <v>0</v>
      </c>
      <c r="K2838" s="38" t="n">
        <v>1435461</v>
      </c>
      <c r="L2838" s="40" t="inlineStr">
        <is>
          <t>Borç</t>
        </is>
      </c>
    </row>
    <row r="2839" s="34">
      <c r="A2839" s="40" t="inlineStr">
        <is>
          <t>901.05.05.0004</t>
        </is>
      </c>
      <c r="B2839" s="40" t="inlineStr">
        <is>
          <t>16.02.2026 Vade Tarihli 0007178 Nl.50.000,00 Eur Tem.Çeki/Arkon Org.Lt</t>
        </is>
      </c>
      <c r="C2839" s="40" t="inlineStr">
        <is>
          <t>TRY</t>
        </is>
      </c>
      <c r="D2839" s="40" t="inlineStr">
        <is>
          <t>SERTAŞ MERKEZ</t>
        </is>
      </c>
      <c r="E2839" s="38" t="n">
        <v>2392435</v>
      </c>
      <c r="F2839" s="38" t="n">
        <v>0</v>
      </c>
      <c r="G2839" s="38" t="n">
        <v>2392435</v>
      </c>
      <c r="H2839" s="40" t="inlineStr">
        <is>
          <t>Borç</t>
        </is>
      </c>
      <c r="I2839" s="38" t="n">
        <v>2392435</v>
      </c>
      <c r="J2839" s="38" t="n">
        <v>0</v>
      </c>
      <c r="K2839" s="38" t="n">
        <v>2392435</v>
      </c>
      <c r="L2839" s="40" t="inlineStr">
        <is>
          <t>Borç</t>
        </is>
      </c>
    </row>
    <row r="2840" s="34">
      <c r="A2840" s="40" t="inlineStr">
        <is>
          <t>901.06</t>
        </is>
      </c>
      <c r="B2840" s="40" t="inlineStr">
        <is>
          <t>ALINAN TEMİNAT MEKTUBU ENERJİ</t>
        </is>
      </c>
      <c r="C2840" s="40" t="inlineStr">
        <is>
          <t>TRY</t>
        </is>
      </c>
      <c r="E2840" s="38" t="n">
        <v>0</v>
      </c>
      <c r="F2840" s="38" t="n">
        <v>1082368900</v>
      </c>
      <c r="G2840" s="38" t="n">
        <v>-1082368900</v>
      </c>
      <c r="I2840" s="38" t="n">
        <v>0</v>
      </c>
      <c r="J2840" s="38" t="n">
        <v>20375000</v>
      </c>
      <c r="K2840" s="38" t="n">
        <v>-20375000</v>
      </c>
    </row>
    <row r="2841" s="34">
      <c r="A2841" s="40" t="inlineStr">
        <is>
          <t>901.06.06.0002</t>
        </is>
      </c>
      <c r="B2841" s="40" t="inlineStr">
        <is>
          <t>30.12.2025 Seri:12467246-56548341-102-30 6.375.000 Euro Ges Enerji Akbank</t>
        </is>
      </c>
      <c r="C2841" s="40" t="inlineStr">
        <is>
          <t>TRY</t>
        </is>
      </c>
      <c r="D2841" s="40" t="inlineStr">
        <is>
          <t>SERTAŞ MERKEZ</t>
        </is>
      </c>
      <c r="E2841" s="38" t="n">
        <v>0</v>
      </c>
      <c r="F2841" s="38" t="n">
        <v>338655300</v>
      </c>
      <c r="G2841" s="38" t="n">
        <v>-338655300</v>
      </c>
      <c r="H2841" s="40" t="inlineStr">
        <is>
          <t>Alacak</t>
        </is>
      </c>
      <c r="I2841" s="38" t="n">
        <v>0</v>
      </c>
      <c r="J2841" s="38" t="n">
        <v>6375000</v>
      </c>
      <c r="K2841" s="38" t="n">
        <v>-6375000</v>
      </c>
      <c r="L2841" s="40" t="inlineStr">
        <is>
          <t>Alacak</t>
        </is>
      </c>
    </row>
    <row r="2842" s="34">
      <c r="A2842" s="40" t="inlineStr">
        <is>
          <t>901.06.06.0003</t>
        </is>
      </c>
      <c r="B2842" s="40" t="inlineStr">
        <is>
          <t>2084krtm260002 Enerji ve Tabi Kaynaklar Bakanlığı 14.000.000 Euro Ges Enerji Ziraat</t>
        </is>
      </c>
      <c r="C2842" s="40" t="inlineStr">
        <is>
          <t>TRY</t>
        </is>
      </c>
      <c r="D2842" s="40" t="inlineStr">
        <is>
          <t>SERTAŞ MERKEZ</t>
        </is>
      </c>
      <c r="E2842" s="38" t="n">
        <v>0</v>
      </c>
      <c r="F2842" s="38" t="n">
        <v>743713600</v>
      </c>
      <c r="G2842" s="38" t="n">
        <v>-743713600</v>
      </c>
      <c r="H2842" s="40" t="inlineStr">
        <is>
          <t>Alacak</t>
        </is>
      </c>
      <c r="I2842" s="38" t="n">
        <v>0</v>
      </c>
      <c r="J2842" s="38" t="n">
        <v>14000000</v>
      </c>
      <c r="K2842" s="38" t="n">
        <v>-14000000</v>
      </c>
      <c r="L2842" s="40" t="inlineStr">
        <is>
          <t>Alacak</t>
        </is>
      </c>
    </row>
    <row r="2843" s="34">
      <c r="A2843" s="40" t="inlineStr">
        <is>
          <t>901.07</t>
        </is>
      </c>
      <c r="B2843" s="40" t="inlineStr">
        <is>
          <t>İCRA DAİRESİ TEMINAT MEKTUBU</t>
        </is>
      </c>
      <c r="C2843" s="40" t="inlineStr">
        <is>
          <t>TRY</t>
        </is>
      </c>
      <c r="E2843" s="38" t="n">
        <v>0</v>
      </c>
      <c r="F2843" s="38" t="n">
        <v>870000</v>
      </c>
      <c r="G2843" s="38" t="n">
        <v>-870000</v>
      </c>
      <c r="I2843" s="38" t="n">
        <v>0</v>
      </c>
      <c r="J2843" s="38" t="n">
        <v>870000</v>
      </c>
      <c r="K2843" s="38" t="n">
        <v>-870000</v>
      </c>
    </row>
    <row r="2844" s="34">
      <c r="A2844" s="40" t="inlineStr">
        <is>
          <t>901.07.01.0003</t>
        </is>
      </c>
      <c r="B2844" s="40" t="inlineStr">
        <is>
          <t>2084KRTM26000380 2026/4863 E.Sayılı Dosyası Ahmet Kökdil</t>
        </is>
      </c>
      <c r="C2844" s="40" t="inlineStr">
        <is>
          <t>TRY</t>
        </is>
      </c>
      <c r="D2844" s="40" t="inlineStr">
        <is>
          <t>SERTAŞ MERKEZ</t>
        </is>
      </c>
      <c r="E2844" s="38" t="n">
        <v>0</v>
      </c>
      <c r="F2844" s="38" t="n">
        <v>870000</v>
      </c>
      <c r="G2844" s="38" t="n">
        <v>-870000</v>
      </c>
      <c r="H2844" s="40" t="inlineStr">
        <is>
          <t>Alacak</t>
        </is>
      </c>
      <c r="I2844" s="38" t="n">
        <v>0</v>
      </c>
      <c r="J2844" s="38" t="n">
        <v>870000</v>
      </c>
      <c r="K2844" s="38" t="n">
        <v>-870000</v>
      </c>
      <c r="L2844" s="40" t="inlineStr">
        <is>
          <t>Alacak</t>
        </is>
      </c>
    </row>
    <row r="2845" s="34">
      <c r="E2845" s="38" t="n">
        <v>13726079092.69</v>
      </c>
      <c r="F2845" s="38" t="n">
        <v>13726079092.69002</v>
      </c>
      <c r="G2845" s="38" t="n">
        <v>1.668930053710938e-06</v>
      </c>
      <c r="I2845" s="38" t="n">
        <v>6334618963.309997</v>
      </c>
      <c r="J2845" s="38" t="n">
        <v>6465063107.59</v>
      </c>
      <c r="K2845" s="38" t="n">
        <v>-130444144.2799987</v>
      </c>
    </row>
    <row r="2846" s="34"/>
    <row r="2847" s="34"/>
    <row r="2848" s="34"/>
    <row r="2849" s="34">
      <c r="A2849" s="41" t="inlineStr">
        <is>
          <t>Hesap Kartları Rakamları</t>
        </is>
      </c>
    </row>
    <row r="2850" s="34">
      <c r="A2850" s="41" t="inlineStr">
        <is>
          <t>https://erp.veboni.com/app/list/erpaccountbalancelist_function</t>
        </is>
      </c>
    </row>
    <row r="2851" s="34">
      <c r="A2851" s="41" t="inlineStr">
        <is>
          <t>Filtreler: [Şirket] = GİTAŞ, SERTAŞ, TG, [Şube] = GİTAŞ MERKEZ, ROYAL ALHAMBRA, ROYAL DRAGON, SERTAŞ MERKEZ, ROYAL HOLIDAY, ROYAL SEGINUS, STONE ÇARŞI, TG MERKEZ, ROYAL ADAM EVE, [Başlangıç Tarihi] = 01.06.2026, [Bitiş Tarihi] = 28.06.2026, [Hesap Kodu Baş] = 1, [Hesap Kodu Bit] = zzzzz, [İş Yeri Detaylı] = 🗹, [Referans Detaylı] = ☐, [Masraf Yeri Detaylı] = ☐, [İşlem Döviz Detaylı] = ☐, [Bakiyesiz Hesaplar Listelenmesin] = ☐</t>
        </is>
      </c>
    </row>
    <row r="2852" s="34"/>
    <row r="2853" s="34">
      <c r="A2853" s="41" t="inlineStr">
        <is>
          <t>eucar@stonegroup.com.tr Pazartesi, 29 Haziran 2026 10:16</t>
        </is>
      </c>
    </row>
  </sheetData>
  <autoFilter ref="A1:L2853"/>
  <printOptions horizontalCentered="1"/>
  <pageMargins left="0.7" right="0.7" top="0.75" bottom="0.75" header="0.3" footer="0.3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A1:S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4" min="1" max="1"/>
    <col width="14" customWidth="1" style="34" min="2" max="2"/>
    <col width="14" customWidth="1" style="34" min="3" max="3"/>
    <col width="14" customWidth="1" style="34" min="4" max="4"/>
    <col width="14" customWidth="1" style="34" min="5" max="5"/>
    <col width="14" customWidth="1" style="34" min="6" max="6"/>
    <col width="14" customWidth="1" style="34" min="7" max="7"/>
    <col width="14" customWidth="1" style="34" min="8" max="8"/>
    <col width="14" customWidth="1" style="34" min="9" max="9"/>
    <col width="14" customWidth="1" style="34" min="10" max="10"/>
    <col width="14" customWidth="1" style="34" min="11" max="11"/>
    <col width="14" customWidth="1" style="34" min="12" max="12"/>
    <col width="14" customWidth="1" style="34" min="13" max="13"/>
    <col width="14" customWidth="1" style="34" min="14" max="14"/>
    <col width="14" customWidth="1" style="34" min="15" max="15"/>
    <col width="14" customWidth="1" style="34" min="16" max="16"/>
    <col width="14" customWidth="1" style="34" min="17" max="17"/>
    <col width="14" customWidth="1" style="34" min="18" max="18"/>
    <col width="46" customWidth="1" style="34" min="19" max="19"/>
  </cols>
  <sheetData>
    <row r="1" ht="28" customHeight="1" s="34">
      <c r="A1" s="54" t="inlineStr">
        <is>
          <t>KDV BEYANNAME İCMALİ - ŞUBE ŞUBE / MERKEZLER HARİÇ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6" t="n"/>
    </row>
    <row r="3" ht="32" customHeight="1" s="34">
      <c r="A3" s="59" t="inlineStr">
        <is>
          <t>Şube</t>
        </is>
      </c>
      <c r="B3" s="59" t="inlineStr">
        <is>
          <t>KDV1 Matrah %10</t>
        </is>
      </c>
      <c r="C3" s="59" t="inlineStr">
        <is>
          <t>KDV1 Hesaplanan %10</t>
        </is>
      </c>
      <c r="D3" s="59" t="inlineStr">
        <is>
          <t>KDV1 Matrah %20</t>
        </is>
      </c>
      <c r="E3" s="59" t="inlineStr">
        <is>
          <t>KDV1 Hesaplanan %20</t>
        </is>
      </c>
      <c r="F3" s="59" t="inlineStr">
        <is>
          <t>İade Matrah %10</t>
        </is>
      </c>
      <c r="G3" s="59" t="inlineStr">
        <is>
          <t>Satıştan İade KDV %10</t>
        </is>
      </c>
      <c r="H3" s="59" t="inlineStr">
        <is>
          <t>İade Matrah %20</t>
        </is>
      </c>
      <c r="I3" s="59" t="inlineStr">
        <is>
          <t>Satıştan İade KDV %20</t>
        </is>
      </c>
      <c r="J3" s="59" t="inlineStr">
        <is>
          <t>191 İndirilecek %1</t>
        </is>
      </c>
      <c r="K3" s="59" t="inlineStr">
        <is>
          <t>191 İndirilecek %10</t>
        </is>
      </c>
      <c r="L3" s="59" t="inlineStr">
        <is>
          <t>191 İndirilecek %20</t>
        </is>
      </c>
      <c r="M3" s="59" t="inlineStr">
        <is>
          <t>191 Tevkifatlı</t>
        </is>
      </c>
      <c r="N3" s="59" t="inlineStr">
        <is>
          <t>391 İlave/Alıştan İade</t>
        </is>
      </c>
      <c r="O3" s="59" t="inlineStr">
        <is>
          <t>Toplam 391</t>
        </is>
      </c>
      <c r="P3" s="59" t="inlineStr">
        <is>
          <t>Toplam 191</t>
        </is>
      </c>
      <c r="Q3" s="59" t="inlineStr">
        <is>
          <t>Net KDV</t>
        </is>
      </c>
      <c r="R3" s="59" t="inlineStr">
        <is>
          <t>Sonuç</t>
        </is>
      </c>
      <c r="S3" s="59" t="inlineStr">
        <is>
          <t>Beyanname Notu</t>
        </is>
      </c>
    </row>
    <row r="4">
      <c r="A4" s="62">
        <f>KDV_HESAP_TABANI!A2</f>
        <v/>
      </c>
      <c r="B4" s="63">
        <f>KDV_HESAP_TABANI!B2</f>
        <v/>
      </c>
      <c r="C4" s="63">
        <f>KDV_HESAP_TABANI!D2</f>
        <v/>
      </c>
      <c r="D4" s="63">
        <f>KDV_HESAP_TABANI!G2</f>
        <v/>
      </c>
      <c r="E4" s="63">
        <f>KDV_HESAP_TABANI!I2</f>
        <v/>
      </c>
      <c r="F4" s="63">
        <f>KDV_HESAP_TABANI!L2</f>
        <v/>
      </c>
      <c r="G4" s="63">
        <f>KDV_HESAP_TABANI!N2</f>
        <v/>
      </c>
      <c r="H4" s="63">
        <f>KDV_HESAP_TABANI!Q2</f>
        <v/>
      </c>
      <c r="I4" s="63">
        <f>KDV_HESAP_TABANI!S2</f>
        <v/>
      </c>
      <c r="J4" s="63">
        <f>KDV_HESAP_TABANI!AF2</f>
        <v/>
      </c>
      <c r="K4" s="63">
        <f>KDV_HESAP_TABANI!AG2</f>
        <v/>
      </c>
      <c r="L4" s="63">
        <f>KDV_HESAP_TABANI!AH2</f>
        <v/>
      </c>
      <c r="M4" s="63">
        <f>KDV_HESAP_TABANI!AI2</f>
        <v/>
      </c>
      <c r="N4" s="63">
        <f>KDV_HESAP_TABANI!AJ2+KDV_HESAP_TABANI!AK2+KDV_HESAP_TABANI!AL2</f>
        <v/>
      </c>
      <c r="O4" s="63">
        <f>KDV_HESAP_TABANI!AM2</f>
        <v/>
      </c>
      <c r="P4" s="63">
        <f>KDV_HESAP_TABANI!AN2</f>
        <v/>
      </c>
      <c r="Q4" s="63">
        <f>KDV_HESAP_TABANI!AO2</f>
        <v/>
      </c>
      <c r="R4" s="62">
        <f>KDV_HESAP_TABANI!AP2</f>
        <v/>
      </c>
      <c r="S4" s="62">
        <f>IF(M4&gt;0,"KDV2/sorumlu sıfatı varsa ayrıca teyit et; KDV1 indirim satırı da kontrol edilir","KDV1 ana beyanname icmali")</f>
        <v/>
      </c>
    </row>
    <row r="5">
      <c r="A5" s="64">
        <f>KDV_HESAP_TABANI!A3</f>
        <v/>
      </c>
      <c r="B5" s="65">
        <f>KDV_HESAP_TABANI!B3</f>
        <v/>
      </c>
      <c r="C5" s="65">
        <f>KDV_HESAP_TABANI!D3</f>
        <v/>
      </c>
      <c r="D5" s="65">
        <f>KDV_HESAP_TABANI!G3</f>
        <v/>
      </c>
      <c r="E5" s="65">
        <f>KDV_HESAP_TABANI!I3</f>
        <v/>
      </c>
      <c r="F5" s="65">
        <f>KDV_HESAP_TABANI!L3</f>
        <v/>
      </c>
      <c r="G5" s="65">
        <f>KDV_HESAP_TABANI!N3</f>
        <v/>
      </c>
      <c r="H5" s="65">
        <f>KDV_HESAP_TABANI!Q3</f>
        <v/>
      </c>
      <c r="I5" s="65">
        <f>KDV_HESAP_TABANI!S3</f>
        <v/>
      </c>
      <c r="J5" s="65">
        <f>KDV_HESAP_TABANI!AF3</f>
        <v/>
      </c>
      <c r="K5" s="65">
        <f>KDV_HESAP_TABANI!AG3</f>
        <v/>
      </c>
      <c r="L5" s="65">
        <f>KDV_HESAP_TABANI!AH3</f>
        <v/>
      </c>
      <c r="M5" s="65">
        <f>KDV_HESAP_TABANI!AI3</f>
        <v/>
      </c>
      <c r="N5" s="65">
        <f>KDV_HESAP_TABANI!AJ3+KDV_HESAP_TABANI!AK3+KDV_HESAP_TABANI!AL3</f>
        <v/>
      </c>
      <c r="O5" s="65">
        <f>KDV_HESAP_TABANI!AM3</f>
        <v/>
      </c>
      <c r="P5" s="65">
        <f>KDV_HESAP_TABANI!AN3</f>
        <v/>
      </c>
      <c r="Q5" s="65">
        <f>KDV_HESAP_TABANI!AO3</f>
        <v/>
      </c>
      <c r="R5" s="64">
        <f>KDV_HESAP_TABANI!AP3</f>
        <v/>
      </c>
      <c r="S5" s="64">
        <f>IF(M5&gt;0,"KDV2/sorumlu sıfatı varsa ayrıca teyit et; KDV1 indirim satırı da kontrol edilir","KDV1 ana beyanname icmali")</f>
        <v/>
      </c>
    </row>
    <row r="6">
      <c r="A6" s="62">
        <f>KDV_HESAP_TABANI!A4</f>
        <v/>
      </c>
      <c r="B6" s="63">
        <f>KDV_HESAP_TABANI!B4</f>
        <v/>
      </c>
      <c r="C6" s="63">
        <f>KDV_HESAP_TABANI!D4</f>
        <v/>
      </c>
      <c r="D6" s="63">
        <f>KDV_HESAP_TABANI!G4</f>
        <v/>
      </c>
      <c r="E6" s="63">
        <f>KDV_HESAP_TABANI!I4</f>
        <v/>
      </c>
      <c r="F6" s="63">
        <f>KDV_HESAP_TABANI!L4</f>
        <v/>
      </c>
      <c r="G6" s="63">
        <f>KDV_HESAP_TABANI!N4</f>
        <v/>
      </c>
      <c r="H6" s="63">
        <f>KDV_HESAP_TABANI!Q4</f>
        <v/>
      </c>
      <c r="I6" s="63">
        <f>KDV_HESAP_TABANI!S4</f>
        <v/>
      </c>
      <c r="J6" s="63">
        <f>KDV_HESAP_TABANI!AF4</f>
        <v/>
      </c>
      <c r="K6" s="63">
        <f>KDV_HESAP_TABANI!AG4</f>
        <v/>
      </c>
      <c r="L6" s="63">
        <f>KDV_HESAP_TABANI!AH4</f>
        <v/>
      </c>
      <c r="M6" s="63">
        <f>KDV_HESAP_TABANI!AI4</f>
        <v/>
      </c>
      <c r="N6" s="63">
        <f>KDV_HESAP_TABANI!AJ4+KDV_HESAP_TABANI!AK4+KDV_HESAP_TABANI!AL4</f>
        <v/>
      </c>
      <c r="O6" s="63">
        <f>KDV_HESAP_TABANI!AM4</f>
        <v/>
      </c>
      <c r="P6" s="63">
        <f>KDV_HESAP_TABANI!AN4</f>
        <v/>
      </c>
      <c r="Q6" s="63">
        <f>KDV_HESAP_TABANI!AO4</f>
        <v/>
      </c>
      <c r="R6" s="62">
        <f>KDV_HESAP_TABANI!AP4</f>
        <v/>
      </c>
      <c r="S6" s="62">
        <f>IF(M6&gt;0,"KDV2/sorumlu sıfatı varsa ayrıca teyit et; KDV1 indirim satırı da kontrol edilir","KDV1 ana beyanname icmali")</f>
        <v/>
      </c>
    </row>
    <row r="7">
      <c r="A7" s="64">
        <f>KDV_HESAP_TABANI!A5</f>
        <v/>
      </c>
      <c r="B7" s="65">
        <f>KDV_HESAP_TABANI!B5</f>
        <v/>
      </c>
      <c r="C7" s="65">
        <f>KDV_HESAP_TABANI!D5</f>
        <v/>
      </c>
      <c r="D7" s="65">
        <f>KDV_HESAP_TABANI!G5</f>
        <v/>
      </c>
      <c r="E7" s="65">
        <f>KDV_HESAP_TABANI!I5</f>
        <v/>
      </c>
      <c r="F7" s="65">
        <f>KDV_HESAP_TABANI!L5</f>
        <v/>
      </c>
      <c r="G7" s="65">
        <f>KDV_HESAP_TABANI!N5</f>
        <v/>
      </c>
      <c r="H7" s="65">
        <f>KDV_HESAP_TABANI!Q5</f>
        <v/>
      </c>
      <c r="I7" s="65">
        <f>KDV_HESAP_TABANI!S5</f>
        <v/>
      </c>
      <c r="J7" s="65">
        <f>KDV_HESAP_TABANI!AF5</f>
        <v/>
      </c>
      <c r="K7" s="65">
        <f>KDV_HESAP_TABANI!AG5</f>
        <v/>
      </c>
      <c r="L7" s="65">
        <f>KDV_HESAP_TABANI!AH5</f>
        <v/>
      </c>
      <c r="M7" s="65">
        <f>KDV_HESAP_TABANI!AI5</f>
        <v/>
      </c>
      <c r="N7" s="65">
        <f>KDV_HESAP_TABANI!AJ5+KDV_HESAP_TABANI!AK5+KDV_HESAP_TABANI!AL5</f>
        <v/>
      </c>
      <c r="O7" s="65">
        <f>KDV_HESAP_TABANI!AM5</f>
        <v/>
      </c>
      <c r="P7" s="65">
        <f>KDV_HESAP_TABANI!AN5</f>
        <v/>
      </c>
      <c r="Q7" s="65">
        <f>KDV_HESAP_TABANI!AO5</f>
        <v/>
      </c>
      <c r="R7" s="64">
        <f>KDV_HESAP_TABANI!AP5</f>
        <v/>
      </c>
      <c r="S7" s="64">
        <f>IF(M7&gt;0,"KDV2/sorumlu sıfatı varsa ayrıca teyit et; KDV1 indirim satırı da kontrol edilir","KDV1 ana beyanname icmali")</f>
        <v/>
      </c>
    </row>
    <row r="8">
      <c r="A8" s="62">
        <f>KDV_HESAP_TABANI!A6</f>
        <v/>
      </c>
      <c r="B8" s="63">
        <f>KDV_HESAP_TABANI!B6</f>
        <v/>
      </c>
      <c r="C8" s="63">
        <f>KDV_HESAP_TABANI!D6</f>
        <v/>
      </c>
      <c r="D8" s="63">
        <f>KDV_HESAP_TABANI!G6</f>
        <v/>
      </c>
      <c r="E8" s="63">
        <f>KDV_HESAP_TABANI!I6</f>
        <v/>
      </c>
      <c r="F8" s="63">
        <f>KDV_HESAP_TABANI!L6</f>
        <v/>
      </c>
      <c r="G8" s="63">
        <f>KDV_HESAP_TABANI!N6</f>
        <v/>
      </c>
      <c r="H8" s="63">
        <f>KDV_HESAP_TABANI!Q6</f>
        <v/>
      </c>
      <c r="I8" s="63">
        <f>KDV_HESAP_TABANI!S6</f>
        <v/>
      </c>
      <c r="J8" s="63">
        <f>KDV_HESAP_TABANI!AF6</f>
        <v/>
      </c>
      <c r="K8" s="63">
        <f>KDV_HESAP_TABANI!AG6</f>
        <v/>
      </c>
      <c r="L8" s="63">
        <f>KDV_HESAP_TABANI!AH6</f>
        <v/>
      </c>
      <c r="M8" s="63">
        <f>KDV_HESAP_TABANI!AI6</f>
        <v/>
      </c>
      <c r="N8" s="63">
        <f>KDV_HESAP_TABANI!AJ6+KDV_HESAP_TABANI!AK6+KDV_HESAP_TABANI!AL6</f>
        <v/>
      </c>
      <c r="O8" s="63">
        <f>KDV_HESAP_TABANI!AM6</f>
        <v/>
      </c>
      <c r="P8" s="63">
        <f>KDV_HESAP_TABANI!AN6</f>
        <v/>
      </c>
      <c r="Q8" s="63">
        <f>KDV_HESAP_TABANI!AO6</f>
        <v/>
      </c>
      <c r="R8" s="62">
        <f>KDV_HESAP_TABANI!AP6</f>
        <v/>
      </c>
      <c r="S8" s="62">
        <f>IF(M8&gt;0,"KDV2/sorumlu sıfatı varsa ayrıca teyit et; KDV1 indirim satırı da kontrol edilir","KDV1 ana beyanname icmali")</f>
        <v/>
      </c>
    </row>
    <row r="9">
      <c r="A9" s="64">
        <f>KDV_HESAP_TABANI!A7</f>
        <v/>
      </c>
      <c r="B9" s="65">
        <f>KDV_HESAP_TABANI!B7</f>
        <v/>
      </c>
      <c r="C9" s="65">
        <f>KDV_HESAP_TABANI!D7</f>
        <v/>
      </c>
      <c r="D9" s="65">
        <f>KDV_HESAP_TABANI!G7</f>
        <v/>
      </c>
      <c r="E9" s="65">
        <f>KDV_HESAP_TABANI!I7</f>
        <v/>
      </c>
      <c r="F9" s="65">
        <f>KDV_HESAP_TABANI!L7</f>
        <v/>
      </c>
      <c r="G9" s="65">
        <f>KDV_HESAP_TABANI!N7</f>
        <v/>
      </c>
      <c r="H9" s="65">
        <f>KDV_HESAP_TABANI!Q7</f>
        <v/>
      </c>
      <c r="I9" s="65">
        <f>KDV_HESAP_TABANI!S7</f>
        <v/>
      </c>
      <c r="J9" s="65">
        <f>KDV_HESAP_TABANI!AF7</f>
        <v/>
      </c>
      <c r="K9" s="65">
        <f>KDV_HESAP_TABANI!AG7</f>
        <v/>
      </c>
      <c r="L9" s="65">
        <f>KDV_HESAP_TABANI!AH7</f>
        <v/>
      </c>
      <c r="M9" s="65">
        <f>KDV_HESAP_TABANI!AI7</f>
        <v/>
      </c>
      <c r="N9" s="65">
        <f>KDV_HESAP_TABANI!AJ7+KDV_HESAP_TABANI!AK7+KDV_HESAP_TABANI!AL7</f>
        <v/>
      </c>
      <c r="O9" s="65">
        <f>KDV_HESAP_TABANI!AM7</f>
        <v/>
      </c>
      <c r="P9" s="65">
        <f>KDV_HESAP_TABANI!AN7</f>
        <v/>
      </c>
      <c r="Q9" s="65">
        <f>KDV_HESAP_TABANI!AO7</f>
        <v/>
      </c>
      <c r="R9" s="64">
        <f>KDV_HESAP_TABANI!AP7</f>
        <v/>
      </c>
      <c r="S9" s="64">
        <f>IF(M9&gt;0,"KDV2/sorumlu sıfatı varsa ayrıca teyit et; KDV1 indirim satırı da kontrol edilir","KDV1 ana beyanname icmali")</f>
        <v/>
      </c>
    </row>
    <row r="10">
      <c r="A10" s="67" t="inlineStr">
        <is>
          <t>TOPLAM</t>
        </is>
      </c>
      <c r="B10" s="68">
        <f>SUM(B4:B9)</f>
        <v/>
      </c>
      <c r="C10" s="68">
        <f>SUM(C4:C9)</f>
        <v/>
      </c>
      <c r="D10" s="68">
        <f>SUM(D4:D9)</f>
        <v/>
      </c>
      <c r="E10" s="68">
        <f>SUM(E4:E9)</f>
        <v/>
      </c>
      <c r="F10" s="68">
        <f>SUM(F4:F9)</f>
        <v/>
      </c>
      <c r="G10" s="68">
        <f>SUM(G4:G9)</f>
        <v/>
      </c>
      <c r="H10" s="68">
        <f>SUM(H4:H9)</f>
        <v/>
      </c>
      <c r="I10" s="68">
        <f>SUM(I4:I9)</f>
        <v/>
      </c>
      <c r="J10" s="68">
        <f>SUM(J4:J9)</f>
        <v/>
      </c>
      <c r="K10" s="68">
        <f>SUM(K4:K9)</f>
        <v/>
      </c>
      <c r="L10" s="68">
        <f>SUM(L4:L9)</f>
        <v/>
      </c>
      <c r="M10" s="68">
        <f>SUM(M4:M9)</f>
        <v/>
      </c>
      <c r="N10" s="68">
        <f>SUM(N4:N9)</f>
        <v/>
      </c>
      <c r="O10" s="68">
        <f>SUM(O4:O9)</f>
        <v/>
      </c>
      <c r="P10" s="68">
        <f>SUM(P4:P9)</f>
        <v/>
      </c>
      <c r="Q10" s="68">
        <f>SUM(Q4:Q9)</f>
        <v/>
      </c>
      <c r="R10" s="67">
        <f>IF(Q10&gt;0,"ÖDENECEK KDV",IF(Q10&lt;0,"DEVREDEN KDV","SIFIR"))</f>
        <v/>
      </c>
      <c r="S10" s="67" t="inlineStr">
        <is>
          <t>KDV1 toplu sonuç</t>
        </is>
      </c>
    </row>
  </sheetData>
  <autoFilter ref="A3:S9"/>
  <mergeCells count="1">
    <mergeCell ref="A1:S1"/>
  </mergeCells>
  <conditionalFormatting sqref="R4:R10">
    <cfRule type="cellIs" priority="1" operator="equal" dxfId="10">
      <formula>"ÖDENECEK KDV"</formula>
    </cfRule>
    <cfRule type="cellIs" priority="2" operator="equal" dxfId="7">
      <formula>"DEVREDEN KDV"</formula>
    </cfRule>
    <cfRule type="cellIs" priority="3" operator="equal" dxfId="9">
      <formula>"SIFIR"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A1:K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4" min="1" max="1"/>
    <col width="26" customWidth="1" style="34" min="2" max="2"/>
    <col width="14" customWidth="1" style="34" min="3" max="3"/>
    <col width="14" customWidth="1" style="34" min="4" max="4"/>
    <col width="14" customWidth="1" style="34" min="5" max="5"/>
    <col width="12" customWidth="1" style="34" min="6" max="6"/>
    <col width="14" customWidth="1" style="34" min="7" max="7"/>
    <col width="11" customWidth="1" style="34" min="8" max="8"/>
    <col width="44" customWidth="1" style="34" min="9" max="9"/>
    <col width="46" customWidth="1" style="34" min="10" max="10"/>
    <col width="30" customWidth="1" style="34" min="11" max="11"/>
  </cols>
  <sheetData>
    <row r="1" ht="28" customHeight="1" s="34">
      <c r="A1" s="54" t="inlineStr">
        <is>
          <t>KDV ORAN / HESAP EŞLEŞME KONTROLÜ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6" t="n"/>
    </row>
    <row r="3" ht="32" customHeight="1" s="34">
      <c r="A3" s="59" t="inlineStr">
        <is>
          <t>Şube</t>
        </is>
      </c>
      <c r="B3" s="59" t="inlineStr">
        <is>
          <t>Kontrol</t>
        </is>
      </c>
      <c r="C3" s="59" t="inlineStr">
        <is>
          <t>Matrah</t>
        </is>
      </c>
      <c r="D3" s="59" t="inlineStr">
        <is>
          <t>Beklenen KDV</t>
        </is>
      </c>
      <c r="E3" s="59" t="inlineStr">
        <is>
          <t>Mevcut KDV</t>
        </is>
      </c>
      <c r="F3" s="59" t="inlineStr">
        <is>
          <t>Fark</t>
        </is>
      </c>
      <c r="G3" s="59" t="inlineStr">
        <is>
          <t>Durum</t>
        </is>
      </c>
      <c r="H3" s="59" t="inlineStr">
        <is>
          <t>Beyanname</t>
        </is>
      </c>
      <c r="I3" s="59" t="inlineStr">
        <is>
          <t>Robot Açıklaması</t>
        </is>
      </c>
      <c r="J3" s="59" t="inlineStr">
        <is>
          <t>Hatalı KDV Nedeni</t>
        </is>
      </c>
      <c r="K3" s="59" t="inlineStr">
        <is>
          <t>Kontrol Edilecek Alan</t>
        </is>
      </c>
    </row>
    <row r="4">
      <c r="A4" s="62">
        <f>KDV_HESAP_TABANI!A2</f>
        <v/>
      </c>
      <c r="B4" s="62" t="inlineStr">
        <is>
          <t>600 %10 Gelir ↔ 391 %10</t>
        </is>
      </c>
      <c r="C4" s="63">
        <f>KDV_HESAP_TABANI!B2</f>
        <v/>
      </c>
      <c r="D4" s="63">
        <f>KDV_HESAP_TABANI!C2</f>
        <v/>
      </c>
      <c r="E4" s="63">
        <f>KDV_HESAP_TABANI!D2</f>
        <v/>
      </c>
      <c r="F4" s="63">
        <f>KDV_HESAP_TABANI!E2</f>
        <v/>
      </c>
      <c r="G4" s="62">
        <f>KDV_HESAP_TABANI!F2</f>
        <v/>
      </c>
      <c r="H4" s="62" t="inlineStr">
        <is>
          <t>KDV1</t>
        </is>
      </c>
      <c r="I4" s="62" t="inlineStr">
        <is>
          <t>600 %10 matrah x %10 = 391 %10 hesaplanan KDV olmalı.</t>
        </is>
      </c>
      <c r="J4" s="62">
        <f>IFERROR(INDEX(HATA_NEDEN_MOTORU!$H$2:$H$37,MATCH(A4&amp;B4,HATA_NEDEN_MOTORU!$A$2:$A$37&amp;HATA_NEDEN_MOTORU!$B$2:$B$37,0)),"")</f>
        <v/>
      </c>
      <c r="K4" s="62">
        <f>IFERROR(INDEX(HATA_NEDEN_MOTORU!$J$2:$J$37,MATCH(A4&amp;B4,HATA_NEDEN_MOTORU!$A$2:$A$37&amp;HATA_NEDEN_MOTORU!$B$2:$B$37,0)),"")</f>
        <v/>
      </c>
    </row>
    <row r="5">
      <c r="A5" s="64">
        <f>KDV_HESAP_TABANI!A2</f>
        <v/>
      </c>
      <c r="B5" s="64" t="inlineStr">
        <is>
          <t>600 %20 Gelir ↔ 391 %20</t>
        </is>
      </c>
      <c r="C5" s="65">
        <f>KDV_HESAP_TABANI!G2</f>
        <v/>
      </c>
      <c r="D5" s="65">
        <f>KDV_HESAP_TABANI!H2</f>
        <v/>
      </c>
      <c r="E5" s="65">
        <f>KDV_HESAP_TABANI!I2</f>
        <v/>
      </c>
      <c r="F5" s="65">
        <f>KDV_HESAP_TABANI!J2</f>
        <v/>
      </c>
      <c r="G5" s="64">
        <f>KDV_HESAP_TABANI!K2</f>
        <v/>
      </c>
      <c r="H5" s="64" t="inlineStr">
        <is>
          <t>KDV1</t>
        </is>
      </c>
      <c r="I5" s="64" t="inlineStr">
        <is>
          <t>600 %20 matrah x %20 = 391 %20 hesaplanan KDV olmalı.</t>
        </is>
      </c>
      <c r="J5" s="64">
        <f>IFERROR(INDEX(HATA_NEDEN_MOTORU!$H$2:$H$37,MATCH(A5&amp;B5,HATA_NEDEN_MOTORU!$A$2:$A$37&amp;HATA_NEDEN_MOTORU!$B$2:$B$37,0)),"")</f>
        <v/>
      </c>
      <c r="K5" s="64">
        <f>IFERROR(INDEX(HATA_NEDEN_MOTORU!$J$2:$J$37,MATCH(A5&amp;B5,HATA_NEDEN_MOTORU!$A$2:$A$37&amp;HATA_NEDEN_MOTORU!$B$2:$B$37,0)),"")</f>
        <v/>
      </c>
    </row>
    <row r="6">
      <c r="A6" s="62">
        <f>KDV_HESAP_TABANI!A2</f>
        <v/>
      </c>
      <c r="B6" s="62" t="inlineStr">
        <is>
          <t>610 %10 İade ↔ 191 %10</t>
        </is>
      </c>
      <c r="C6" s="63">
        <f>KDV_HESAP_TABANI!L2</f>
        <v/>
      </c>
      <c r="D6" s="63">
        <f>KDV_HESAP_TABANI!M2</f>
        <v/>
      </c>
      <c r="E6" s="63">
        <f>KDV_HESAP_TABANI!N2</f>
        <v/>
      </c>
      <c r="F6" s="63">
        <f>KDV_HESAP_TABANI!O2</f>
        <v/>
      </c>
      <c r="G6" s="62">
        <f>KDV_HESAP_TABANI!P2</f>
        <v/>
      </c>
      <c r="H6" s="62" t="inlineStr">
        <is>
          <t>KDV1</t>
        </is>
      </c>
      <c r="I6" s="62" t="inlineStr">
        <is>
          <t>Satış iadesi KDV etkisi 191 satıştan iade hesabında görülmeli.</t>
        </is>
      </c>
      <c r="J6" s="62">
        <f>IFERROR(INDEX(HATA_NEDEN_MOTORU!$H$2:$H$37,MATCH(A6&amp;B6,HATA_NEDEN_MOTORU!$A$2:$A$37&amp;HATA_NEDEN_MOTORU!$B$2:$B$37,0)),"")</f>
        <v/>
      </c>
      <c r="K6" s="62">
        <f>IFERROR(INDEX(HATA_NEDEN_MOTORU!$J$2:$J$37,MATCH(A6&amp;B6,HATA_NEDEN_MOTORU!$A$2:$A$37&amp;HATA_NEDEN_MOTORU!$B$2:$B$37,0)),"")</f>
        <v/>
      </c>
    </row>
    <row r="7">
      <c r="A7" s="64">
        <f>KDV_HESAP_TABANI!A2</f>
        <v/>
      </c>
      <c r="B7" s="64" t="inlineStr">
        <is>
          <t>610 %20 İade ↔ 191 %20</t>
        </is>
      </c>
      <c r="C7" s="65">
        <f>KDV_HESAP_TABANI!Q2</f>
        <v/>
      </c>
      <c r="D7" s="65">
        <f>KDV_HESAP_TABANI!R2</f>
        <v/>
      </c>
      <c r="E7" s="65">
        <f>KDV_HESAP_TABANI!S2</f>
        <v/>
      </c>
      <c r="F7" s="65">
        <f>KDV_HESAP_TABANI!T2</f>
        <v/>
      </c>
      <c r="G7" s="64">
        <f>KDV_HESAP_TABANI!U2</f>
        <v/>
      </c>
      <c r="H7" s="64" t="inlineStr">
        <is>
          <t>KDV1</t>
        </is>
      </c>
      <c r="I7" s="64" t="inlineStr">
        <is>
          <t>%20 satış iadesi için 191 satıştan iade KDV kontrol edilir.</t>
        </is>
      </c>
      <c r="J7" s="64">
        <f>IFERROR(INDEX(HATA_NEDEN_MOTORU!$H$2:$H$37,MATCH(A7&amp;B7,HATA_NEDEN_MOTORU!$A$2:$A$37&amp;HATA_NEDEN_MOTORU!$B$2:$B$37,0)),"")</f>
        <v/>
      </c>
      <c r="K7" s="64">
        <f>IFERROR(INDEX(HATA_NEDEN_MOTORU!$J$2:$J$37,MATCH(A7&amp;B7,HATA_NEDEN_MOTORU!$A$2:$A$37&amp;HATA_NEDEN_MOTORU!$B$2:$B$37,0)),"")</f>
        <v/>
      </c>
    </row>
    <row r="8">
      <c r="A8" s="62">
        <f>KDV_HESAP_TABANI!A2</f>
        <v/>
      </c>
      <c r="B8" s="62" t="inlineStr">
        <is>
          <t>602 %20 Ciro/İskonto ↔ 391 İlave</t>
        </is>
      </c>
      <c r="C8" s="63">
        <f>KDV_HESAP_TABANI!V2</f>
        <v/>
      </c>
      <c r="D8" s="63">
        <f>KDV_HESAP_TABANI!W2</f>
        <v/>
      </c>
      <c r="E8" s="63">
        <f>KDV_HESAP_TABANI!X2</f>
        <v/>
      </c>
      <c r="F8" s="63">
        <f>KDV_HESAP_TABANI!Y2</f>
        <v/>
      </c>
      <c r="G8" s="62">
        <f>KDV_HESAP_TABANI!Z2</f>
        <v/>
      </c>
      <c r="H8" s="62" t="inlineStr">
        <is>
          <t>KDV1</t>
        </is>
      </c>
      <c r="I8" s="62" t="inlineStr">
        <is>
          <t>Alış iskonto/ciro primi vb. ilave KDV 391 tarafında izlenir.</t>
        </is>
      </c>
      <c r="J8" s="62">
        <f>IFERROR(INDEX(HATA_NEDEN_MOTORU!$H$2:$H$37,MATCH(A8&amp;B8,HATA_NEDEN_MOTORU!$A$2:$A$37&amp;HATA_NEDEN_MOTORU!$B$2:$B$37,0)),"")</f>
        <v/>
      </c>
      <c r="K8" s="62">
        <f>IFERROR(INDEX(HATA_NEDEN_MOTORU!$J$2:$J$37,MATCH(A8&amp;B8,HATA_NEDEN_MOTORU!$A$2:$A$37&amp;HATA_NEDEN_MOTORU!$B$2:$B$37,0)),"")</f>
        <v/>
      </c>
    </row>
    <row r="9">
      <c r="A9" s="64">
        <f>KDV_HESAP_TABANI!A2</f>
        <v/>
      </c>
      <c r="B9" s="64" t="inlineStr">
        <is>
          <t>646 %10 Kur Kârı ↔ 391 İlave</t>
        </is>
      </c>
      <c r="C9" s="65">
        <f>KDV_HESAP_TABANI!AA2</f>
        <v/>
      </c>
      <c r="D9" s="65">
        <f>KDV_HESAP_TABANI!AB2</f>
        <v/>
      </c>
      <c r="E9" s="65">
        <f>KDV_HESAP_TABANI!AC2</f>
        <v/>
      </c>
      <c r="F9" s="65">
        <f>KDV_HESAP_TABANI!AD2</f>
        <v/>
      </c>
      <c r="G9" s="64">
        <f>KDV_HESAP_TABANI!AE2</f>
        <v/>
      </c>
      <c r="H9" s="64" t="inlineStr">
        <is>
          <t>KDV1</t>
        </is>
      </c>
      <c r="I9" s="64" t="inlineStr">
        <is>
          <t>KDV hesaplanan kur farkı/ilave KDV 391 ilave KDV ile uyumlu olmalı.</t>
        </is>
      </c>
      <c r="J9" s="64">
        <f>IFERROR(INDEX(HATA_NEDEN_MOTORU!$H$2:$H$37,MATCH(A9&amp;B9,HATA_NEDEN_MOTORU!$A$2:$A$37&amp;HATA_NEDEN_MOTORU!$B$2:$B$37,0)),"")</f>
        <v/>
      </c>
      <c r="K9" s="64">
        <f>IFERROR(INDEX(HATA_NEDEN_MOTORU!$J$2:$J$37,MATCH(A9&amp;B9,HATA_NEDEN_MOTORU!$A$2:$A$37&amp;HATA_NEDEN_MOTORU!$B$2:$B$37,0)),"")</f>
        <v/>
      </c>
    </row>
    <row r="10">
      <c r="A10" s="62">
        <f>KDV_HESAP_TABANI!A3</f>
        <v/>
      </c>
      <c r="B10" s="62" t="inlineStr">
        <is>
          <t>600 %10 Gelir ↔ 391 %10</t>
        </is>
      </c>
      <c r="C10" s="63">
        <f>KDV_HESAP_TABANI!B3</f>
        <v/>
      </c>
      <c r="D10" s="63">
        <f>KDV_HESAP_TABANI!C3</f>
        <v/>
      </c>
      <c r="E10" s="63">
        <f>KDV_HESAP_TABANI!D3</f>
        <v/>
      </c>
      <c r="F10" s="63">
        <f>KDV_HESAP_TABANI!E3</f>
        <v/>
      </c>
      <c r="G10" s="62">
        <f>KDV_HESAP_TABANI!F3</f>
        <v/>
      </c>
      <c r="H10" s="62" t="inlineStr">
        <is>
          <t>KDV1</t>
        </is>
      </c>
      <c r="I10" s="62" t="inlineStr">
        <is>
          <t>600 %10 matrah x %10 = 391 %10 hesaplanan KDV olmalı.</t>
        </is>
      </c>
      <c r="J10" s="62">
        <f>IFERROR(INDEX(HATA_NEDEN_MOTORU!$H$2:$H$37,MATCH(A10&amp;B10,HATA_NEDEN_MOTORU!$A$2:$A$37&amp;HATA_NEDEN_MOTORU!$B$2:$B$37,0)),"")</f>
        <v/>
      </c>
      <c r="K10" s="62">
        <f>IFERROR(INDEX(HATA_NEDEN_MOTORU!$J$2:$J$37,MATCH(A10&amp;B10,HATA_NEDEN_MOTORU!$A$2:$A$37&amp;HATA_NEDEN_MOTORU!$B$2:$B$37,0)),"")</f>
        <v/>
      </c>
    </row>
    <row r="11">
      <c r="A11" s="64">
        <f>KDV_HESAP_TABANI!A3</f>
        <v/>
      </c>
      <c r="B11" s="64" t="inlineStr">
        <is>
          <t>600 %20 Gelir ↔ 391 %20</t>
        </is>
      </c>
      <c r="C11" s="65">
        <f>KDV_HESAP_TABANI!G3</f>
        <v/>
      </c>
      <c r="D11" s="65">
        <f>KDV_HESAP_TABANI!H3</f>
        <v/>
      </c>
      <c r="E11" s="65">
        <f>KDV_HESAP_TABANI!I3</f>
        <v/>
      </c>
      <c r="F11" s="65">
        <f>KDV_HESAP_TABANI!J3</f>
        <v/>
      </c>
      <c r="G11" s="64">
        <f>KDV_HESAP_TABANI!K3</f>
        <v/>
      </c>
      <c r="H11" s="64" t="inlineStr">
        <is>
          <t>KDV1</t>
        </is>
      </c>
      <c r="I11" s="64" t="inlineStr">
        <is>
          <t>600 %20 matrah x %20 = 391 %20 hesaplanan KDV olmalı.</t>
        </is>
      </c>
      <c r="J11" s="64">
        <f>IFERROR(INDEX(HATA_NEDEN_MOTORU!$H$2:$H$37,MATCH(A11&amp;B11,HATA_NEDEN_MOTORU!$A$2:$A$37&amp;HATA_NEDEN_MOTORU!$B$2:$B$37,0)),"")</f>
        <v/>
      </c>
      <c r="K11" s="64">
        <f>IFERROR(INDEX(HATA_NEDEN_MOTORU!$J$2:$J$37,MATCH(A11&amp;B11,HATA_NEDEN_MOTORU!$A$2:$A$37&amp;HATA_NEDEN_MOTORU!$B$2:$B$37,0)),"")</f>
        <v/>
      </c>
    </row>
    <row r="12">
      <c r="A12" s="62">
        <f>KDV_HESAP_TABANI!A3</f>
        <v/>
      </c>
      <c r="B12" s="62" t="inlineStr">
        <is>
          <t>610 %10 İade ↔ 191 %10</t>
        </is>
      </c>
      <c r="C12" s="63">
        <f>KDV_HESAP_TABANI!L3</f>
        <v/>
      </c>
      <c r="D12" s="63">
        <f>KDV_HESAP_TABANI!M3</f>
        <v/>
      </c>
      <c r="E12" s="63">
        <f>KDV_HESAP_TABANI!N3</f>
        <v/>
      </c>
      <c r="F12" s="63">
        <f>KDV_HESAP_TABANI!O3</f>
        <v/>
      </c>
      <c r="G12" s="62">
        <f>KDV_HESAP_TABANI!P3</f>
        <v/>
      </c>
      <c r="H12" s="62" t="inlineStr">
        <is>
          <t>KDV1</t>
        </is>
      </c>
      <c r="I12" s="62" t="inlineStr">
        <is>
          <t>Satış iadesi KDV etkisi 191 satıştan iade hesabında görülmeli.</t>
        </is>
      </c>
      <c r="J12" s="62">
        <f>IFERROR(INDEX(HATA_NEDEN_MOTORU!$H$2:$H$37,MATCH(A12&amp;B12,HATA_NEDEN_MOTORU!$A$2:$A$37&amp;HATA_NEDEN_MOTORU!$B$2:$B$37,0)),"")</f>
        <v/>
      </c>
      <c r="K12" s="62">
        <f>IFERROR(INDEX(HATA_NEDEN_MOTORU!$J$2:$J$37,MATCH(A12&amp;B12,HATA_NEDEN_MOTORU!$A$2:$A$37&amp;HATA_NEDEN_MOTORU!$B$2:$B$37,0)),"")</f>
        <v/>
      </c>
    </row>
    <row r="13">
      <c r="A13" s="64">
        <f>KDV_HESAP_TABANI!A3</f>
        <v/>
      </c>
      <c r="B13" s="64" t="inlineStr">
        <is>
          <t>610 %20 İade ↔ 191 %20</t>
        </is>
      </c>
      <c r="C13" s="65">
        <f>KDV_HESAP_TABANI!Q3</f>
        <v/>
      </c>
      <c r="D13" s="65">
        <f>KDV_HESAP_TABANI!R3</f>
        <v/>
      </c>
      <c r="E13" s="65">
        <f>KDV_HESAP_TABANI!S3</f>
        <v/>
      </c>
      <c r="F13" s="65">
        <f>KDV_HESAP_TABANI!T3</f>
        <v/>
      </c>
      <c r="G13" s="64">
        <f>KDV_HESAP_TABANI!U3</f>
        <v/>
      </c>
      <c r="H13" s="64" t="inlineStr">
        <is>
          <t>KDV1</t>
        </is>
      </c>
      <c r="I13" s="64" t="inlineStr">
        <is>
          <t>%20 satış iadesi için 191 satıştan iade KDV kontrol edilir.</t>
        </is>
      </c>
      <c r="J13" s="64">
        <f>IFERROR(INDEX(HATA_NEDEN_MOTORU!$H$2:$H$37,MATCH(A13&amp;B13,HATA_NEDEN_MOTORU!$A$2:$A$37&amp;HATA_NEDEN_MOTORU!$B$2:$B$37,0)),"")</f>
        <v/>
      </c>
      <c r="K13" s="64">
        <f>IFERROR(INDEX(HATA_NEDEN_MOTORU!$J$2:$J$37,MATCH(A13&amp;B13,HATA_NEDEN_MOTORU!$A$2:$A$37&amp;HATA_NEDEN_MOTORU!$B$2:$B$37,0)),"")</f>
        <v/>
      </c>
    </row>
    <row r="14">
      <c r="A14" s="62">
        <f>KDV_HESAP_TABANI!A3</f>
        <v/>
      </c>
      <c r="B14" s="62" t="inlineStr">
        <is>
          <t>602 %20 Ciro/İskonto ↔ 391 İlave</t>
        </is>
      </c>
      <c r="C14" s="63">
        <f>KDV_HESAP_TABANI!V3</f>
        <v/>
      </c>
      <c r="D14" s="63">
        <f>KDV_HESAP_TABANI!W3</f>
        <v/>
      </c>
      <c r="E14" s="63">
        <f>KDV_HESAP_TABANI!X3</f>
        <v/>
      </c>
      <c r="F14" s="63">
        <f>KDV_HESAP_TABANI!Y3</f>
        <v/>
      </c>
      <c r="G14" s="62">
        <f>KDV_HESAP_TABANI!Z3</f>
        <v/>
      </c>
      <c r="H14" s="62" t="inlineStr">
        <is>
          <t>KDV1</t>
        </is>
      </c>
      <c r="I14" s="62" t="inlineStr">
        <is>
          <t>Alış iskonto/ciro primi vb. ilave KDV 391 tarafında izlenir.</t>
        </is>
      </c>
      <c r="J14" s="62">
        <f>IFERROR(INDEX(HATA_NEDEN_MOTORU!$H$2:$H$37,MATCH(A14&amp;B14,HATA_NEDEN_MOTORU!$A$2:$A$37&amp;HATA_NEDEN_MOTORU!$B$2:$B$37,0)),"")</f>
        <v/>
      </c>
      <c r="K14" s="62">
        <f>IFERROR(INDEX(HATA_NEDEN_MOTORU!$J$2:$J$37,MATCH(A14&amp;B14,HATA_NEDEN_MOTORU!$A$2:$A$37&amp;HATA_NEDEN_MOTORU!$B$2:$B$37,0)),"")</f>
        <v/>
      </c>
    </row>
    <row r="15">
      <c r="A15" s="64">
        <f>KDV_HESAP_TABANI!A3</f>
        <v/>
      </c>
      <c r="B15" s="64" t="inlineStr">
        <is>
          <t>646 %10 Kur Kârı ↔ 391 İlave</t>
        </is>
      </c>
      <c r="C15" s="65">
        <f>KDV_HESAP_TABANI!AA3</f>
        <v/>
      </c>
      <c r="D15" s="65">
        <f>KDV_HESAP_TABANI!AB3</f>
        <v/>
      </c>
      <c r="E15" s="65">
        <f>KDV_HESAP_TABANI!AC3</f>
        <v/>
      </c>
      <c r="F15" s="65">
        <f>KDV_HESAP_TABANI!AD3</f>
        <v/>
      </c>
      <c r="G15" s="64">
        <f>KDV_HESAP_TABANI!AE3</f>
        <v/>
      </c>
      <c r="H15" s="64" t="inlineStr">
        <is>
          <t>KDV1</t>
        </is>
      </c>
      <c r="I15" s="64" t="inlineStr">
        <is>
          <t>KDV hesaplanan kur farkı/ilave KDV 391 ilave KDV ile uyumlu olmalı.</t>
        </is>
      </c>
      <c r="J15" s="64">
        <f>IFERROR(INDEX(HATA_NEDEN_MOTORU!$H$2:$H$37,MATCH(A15&amp;B15,HATA_NEDEN_MOTORU!$A$2:$A$37&amp;HATA_NEDEN_MOTORU!$B$2:$B$37,0)),"")</f>
        <v/>
      </c>
      <c r="K15" s="64">
        <f>IFERROR(INDEX(HATA_NEDEN_MOTORU!$J$2:$J$37,MATCH(A15&amp;B15,HATA_NEDEN_MOTORU!$A$2:$A$37&amp;HATA_NEDEN_MOTORU!$B$2:$B$37,0)),"")</f>
        <v/>
      </c>
    </row>
    <row r="16">
      <c r="A16" s="62">
        <f>KDV_HESAP_TABANI!A4</f>
        <v/>
      </c>
      <c r="B16" s="62" t="inlineStr">
        <is>
          <t>600 %10 Gelir ↔ 391 %10</t>
        </is>
      </c>
      <c r="C16" s="63">
        <f>KDV_HESAP_TABANI!B4</f>
        <v/>
      </c>
      <c r="D16" s="63">
        <f>KDV_HESAP_TABANI!C4</f>
        <v/>
      </c>
      <c r="E16" s="63">
        <f>KDV_HESAP_TABANI!D4</f>
        <v/>
      </c>
      <c r="F16" s="63">
        <f>KDV_HESAP_TABANI!E4</f>
        <v/>
      </c>
      <c r="G16" s="62">
        <f>KDV_HESAP_TABANI!F4</f>
        <v/>
      </c>
      <c r="H16" s="62" t="inlineStr">
        <is>
          <t>KDV1</t>
        </is>
      </c>
      <c r="I16" s="62" t="inlineStr">
        <is>
          <t>600 %10 matrah x %10 = 391 %10 hesaplanan KDV olmalı.</t>
        </is>
      </c>
      <c r="J16" s="62">
        <f>IFERROR(INDEX(HATA_NEDEN_MOTORU!$H$2:$H$37,MATCH(A16&amp;B16,HATA_NEDEN_MOTORU!$A$2:$A$37&amp;HATA_NEDEN_MOTORU!$B$2:$B$37,0)),"")</f>
        <v/>
      </c>
      <c r="K16" s="62">
        <f>IFERROR(INDEX(HATA_NEDEN_MOTORU!$J$2:$J$37,MATCH(A16&amp;B16,HATA_NEDEN_MOTORU!$A$2:$A$37&amp;HATA_NEDEN_MOTORU!$B$2:$B$37,0)),"")</f>
        <v/>
      </c>
    </row>
    <row r="17">
      <c r="A17" s="64">
        <f>KDV_HESAP_TABANI!A4</f>
        <v/>
      </c>
      <c r="B17" s="64" t="inlineStr">
        <is>
          <t>600 %20 Gelir ↔ 391 %20</t>
        </is>
      </c>
      <c r="C17" s="65">
        <f>KDV_HESAP_TABANI!G4</f>
        <v/>
      </c>
      <c r="D17" s="65">
        <f>KDV_HESAP_TABANI!H4</f>
        <v/>
      </c>
      <c r="E17" s="65">
        <f>KDV_HESAP_TABANI!I4</f>
        <v/>
      </c>
      <c r="F17" s="65">
        <f>KDV_HESAP_TABANI!J4</f>
        <v/>
      </c>
      <c r="G17" s="64">
        <f>KDV_HESAP_TABANI!K4</f>
        <v/>
      </c>
      <c r="H17" s="64" t="inlineStr">
        <is>
          <t>KDV1</t>
        </is>
      </c>
      <c r="I17" s="64" t="inlineStr">
        <is>
          <t>600 %20 matrah x %20 = 391 %20 hesaplanan KDV olmalı.</t>
        </is>
      </c>
      <c r="J17" s="64">
        <f>IFERROR(INDEX(HATA_NEDEN_MOTORU!$H$2:$H$37,MATCH(A17&amp;B17,HATA_NEDEN_MOTORU!$A$2:$A$37&amp;HATA_NEDEN_MOTORU!$B$2:$B$37,0)),"")</f>
        <v/>
      </c>
      <c r="K17" s="64">
        <f>IFERROR(INDEX(HATA_NEDEN_MOTORU!$J$2:$J$37,MATCH(A17&amp;B17,HATA_NEDEN_MOTORU!$A$2:$A$37&amp;HATA_NEDEN_MOTORU!$B$2:$B$37,0)),"")</f>
        <v/>
      </c>
    </row>
    <row r="18">
      <c r="A18" s="62">
        <f>KDV_HESAP_TABANI!A4</f>
        <v/>
      </c>
      <c r="B18" s="62" t="inlineStr">
        <is>
          <t>610 %10 İade ↔ 191 %10</t>
        </is>
      </c>
      <c r="C18" s="63">
        <f>KDV_HESAP_TABANI!L4</f>
        <v/>
      </c>
      <c r="D18" s="63">
        <f>KDV_HESAP_TABANI!M4</f>
        <v/>
      </c>
      <c r="E18" s="63">
        <f>KDV_HESAP_TABANI!N4</f>
        <v/>
      </c>
      <c r="F18" s="63">
        <f>KDV_HESAP_TABANI!O4</f>
        <v/>
      </c>
      <c r="G18" s="62">
        <f>KDV_HESAP_TABANI!P4</f>
        <v/>
      </c>
      <c r="H18" s="62" t="inlineStr">
        <is>
          <t>KDV1</t>
        </is>
      </c>
      <c r="I18" s="62" t="inlineStr">
        <is>
          <t>Satış iadesi KDV etkisi 191 satıştan iade hesabında görülmeli.</t>
        </is>
      </c>
      <c r="J18" s="62">
        <f>IFERROR(INDEX(HATA_NEDEN_MOTORU!$H$2:$H$37,MATCH(A18&amp;B18,HATA_NEDEN_MOTORU!$A$2:$A$37&amp;HATA_NEDEN_MOTORU!$B$2:$B$37,0)),"")</f>
        <v/>
      </c>
      <c r="K18" s="62">
        <f>IFERROR(INDEX(HATA_NEDEN_MOTORU!$J$2:$J$37,MATCH(A18&amp;B18,HATA_NEDEN_MOTORU!$A$2:$A$37&amp;HATA_NEDEN_MOTORU!$B$2:$B$37,0)),"")</f>
        <v/>
      </c>
    </row>
    <row r="19">
      <c r="A19" s="64">
        <f>KDV_HESAP_TABANI!A4</f>
        <v/>
      </c>
      <c r="B19" s="64" t="inlineStr">
        <is>
          <t>610 %20 İade ↔ 191 %20</t>
        </is>
      </c>
      <c r="C19" s="65">
        <f>KDV_HESAP_TABANI!Q4</f>
        <v/>
      </c>
      <c r="D19" s="65">
        <f>KDV_HESAP_TABANI!R4</f>
        <v/>
      </c>
      <c r="E19" s="65">
        <f>KDV_HESAP_TABANI!S4</f>
        <v/>
      </c>
      <c r="F19" s="65">
        <f>KDV_HESAP_TABANI!T4</f>
        <v/>
      </c>
      <c r="G19" s="64">
        <f>KDV_HESAP_TABANI!U4</f>
        <v/>
      </c>
      <c r="H19" s="64" t="inlineStr">
        <is>
          <t>KDV1</t>
        </is>
      </c>
      <c r="I19" s="64" t="inlineStr">
        <is>
          <t>%20 satış iadesi için 191 satıştan iade KDV kontrol edilir.</t>
        </is>
      </c>
      <c r="J19" s="64">
        <f>IFERROR(INDEX(HATA_NEDEN_MOTORU!$H$2:$H$37,MATCH(A19&amp;B19,HATA_NEDEN_MOTORU!$A$2:$A$37&amp;HATA_NEDEN_MOTORU!$B$2:$B$37,0)),"")</f>
        <v/>
      </c>
      <c r="K19" s="64">
        <f>IFERROR(INDEX(HATA_NEDEN_MOTORU!$J$2:$J$37,MATCH(A19&amp;B19,HATA_NEDEN_MOTORU!$A$2:$A$37&amp;HATA_NEDEN_MOTORU!$B$2:$B$37,0)),"")</f>
        <v/>
      </c>
    </row>
    <row r="20">
      <c r="A20" s="62">
        <f>KDV_HESAP_TABANI!A4</f>
        <v/>
      </c>
      <c r="B20" s="62" t="inlineStr">
        <is>
          <t>602 %20 Ciro/İskonto ↔ 391 İlave</t>
        </is>
      </c>
      <c r="C20" s="63">
        <f>KDV_HESAP_TABANI!V4</f>
        <v/>
      </c>
      <c r="D20" s="63">
        <f>KDV_HESAP_TABANI!W4</f>
        <v/>
      </c>
      <c r="E20" s="63">
        <f>KDV_HESAP_TABANI!X4</f>
        <v/>
      </c>
      <c r="F20" s="63">
        <f>KDV_HESAP_TABANI!Y4</f>
        <v/>
      </c>
      <c r="G20" s="62">
        <f>KDV_HESAP_TABANI!Z4</f>
        <v/>
      </c>
      <c r="H20" s="62" t="inlineStr">
        <is>
          <t>KDV1</t>
        </is>
      </c>
      <c r="I20" s="62" t="inlineStr">
        <is>
          <t>Alış iskonto/ciro primi vb. ilave KDV 391 tarafında izlenir.</t>
        </is>
      </c>
      <c r="J20" s="62">
        <f>IFERROR(INDEX(HATA_NEDEN_MOTORU!$H$2:$H$37,MATCH(A20&amp;B20,HATA_NEDEN_MOTORU!$A$2:$A$37&amp;HATA_NEDEN_MOTORU!$B$2:$B$37,0)),"")</f>
        <v/>
      </c>
      <c r="K20" s="62">
        <f>IFERROR(INDEX(HATA_NEDEN_MOTORU!$J$2:$J$37,MATCH(A20&amp;B20,HATA_NEDEN_MOTORU!$A$2:$A$37&amp;HATA_NEDEN_MOTORU!$B$2:$B$37,0)),"")</f>
        <v/>
      </c>
    </row>
    <row r="21">
      <c r="A21" s="64">
        <f>KDV_HESAP_TABANI!A4</f>
        <v/>
      </c>
      <c r="B21" s="64" t="inlineStr">
        <is>
          <t>646 %10 Kur Kârı ↔ 391 İlave</t>
        </is>
      </c>
      <c r="C21" s="65">
        <f>KDV_HESAP_TABANI!AA4</f>
        <v/>
      </c>
      <c r="D21" s="65">
        <f>KDV_HESAP_TABANI!AB4</f>
        <v/>
      </c>
      <c r="E21" s="65">
        <f>KDV_HESAP_TABANI!AC4</f>
        <v/>
      </c>
      <c r="F21" s="65">
        <f>KDV_HESAP_TABANI!AD4</f>
        <v/>
      </c>
      <c r="G21" s="64">
        <f>KDV_HESAP_TABANI!AE4</f>
        <v/>
      </c>
      <c r="H21" s="64" t="inlineStr">
        <is>
          <t>KDV1</t>
        </is>
      </c>
      <c r="I21" s="64" t="inlineStr">
        <is>
          <t>KDV hesaplanan kur farkı/ilave KDV 391 ilave KDV ile uyumlu olmalı.</t>
        </is>
      </c>
      <c r="J21" s="64">
        <f>IFERROR(INDEX(HATA_NEDEN_MOTORU!$H$2:$H$37,MATCH(A21&amp;B21,HATA_NEDEN_MOTORU!$A$2:$A$37&amp;HATA_NEDEN_MOTORU!$B$2:$B$37,0)),"")</f>
        <v/>
      </c>
      <c r="K21" s="64">
        <f>IFERROR(INDEX(HATA_NEDEN_MOTORU!$J$2:$J$37,MATCH(A21&amp;B21,HATA_NEDEN_MOTORU!$A$2:$A$37&amp;HATA_NEDEN_MOTORU!$B$2:$B$37,0)),"")</f>
        <v/>
      </c>
    </row>
    <row r="22">
      <c r="A22" s="62">
        <f>KDV_HESAP_TABANI!A5</f>
        <v/>
      </c>
      <c r="B22" s="62" t="inlineStr">
        <is>
          <t>600 %10 Gelir ↔ 391 %10</t>
        </is>
      </c>
      <c r="C22" s="63">
        <f>KDV_HESAP_TABANI!B5</f>
        <v/>
      </c>
      <c r="D22" s="63">
        <f>KDV_HESAP_TABANI!C5</f>
        <v/>
      </c>
      <c r="E22" s="63">
        <f>KDV_HESAP_TABANI!D5</f>
        <v/>
      </c>
      <c r="F22" s="63">
        <f>KDV_HESAP_TABANI!E5</f>
        <v/>
      </c>
      <c r="G22" s="62">
        <f>KDV_HESAP_TABANI!F5</f>
        <v/>
      </c>
      <c r="H22" s="62" t="inlineStr">
        <is>
          <t>KDV1</t>
        </is>
      </c>
      <c r="I22" s="62" t="inlineStr">
        <is>
          <t>600 %10 matrah x %10 = 391 %10 hesaplanan KDV olmalı.</t>
        </is>
      </c>
      <c r="J22" s="62">
        <f>IFERROR(INDEX(HATA_NEDEN_MOTORU!$H$2:$H$37,MATCH(A22&amp;B22,HATA_NEDEN_MOTORU!$A$2:$A$37&amp;HATA_NEDEN_MOTORU!$B$2:$B$37,0)),"")</f>
        <v/>
      </c>
      <c r="K22" s="62">
        <f>IFERROR(INDEX(HATA_NEDEN_MOTORU!$J$2:$J$37,MATCH(A22&amp;B22,HATA_NEDEN_MOTORU!$A$2:$A$37&amp;HATA_NEDEN_MOTORU!$B$2:$B$37,0)),"")</f>
        <v/>
      </c>
    </row>
    <row r="23">
      <c r="A23" s="64">
        <f>KDV_HESAP_TABANI!A5</f>
        <v/>
      </c>
      <c r="B23" s="64" t="inlineStr">
        <is>
          <t>600 %20 Gelir ↔ 391 %20</t>
        </is>
      </c>
      <c r="C23" s="65">
        <f>KDV_HESAP_TABANI!G5</f>
        <v/>
      </c>
      <c r="D23" s="65">
        <f>KDV_HESAP_TABANI!H5</f>
        <v/>
      </c>
      <c r="E23" s="65">
        <f>KDV_HESAP_TABANI!I5</f>
        <v/>
      </c>
      <c r="F23" s="65">
        <f>KDV_HESAP_TABANI!J5</f>
        <v/>
      </c>
      <c r="G23" s="64">
        <f>KDV_HESAP_TABANI!K5</f>
        <v/>
      </c>
      <c r="H23" s="64" t="inlineStr">
        <is>
          <t>KDV1</t>
        </is>
      </c>
      <c r="I23" s="64" t="inlineStr">
        <is>
          <t>600 %20 matrah x %20 = 391 %20 hesaplanan KDV olmalı.</t>
        </is>
      </c>
      <c r="J23" s="64">
        <f>IFERROR(INDEX(HATA_NEDEN_MOTORU!$H$2:$H$37,MATCH(A23&amp;B23,HATA_NEDEN_MOTORU!$A$2:$A$37&amp;HATA_NEDEN_MOTORU!$B$2:$B$37,0)),"")</f>
        <v/>
      </c>
      <c r="K23" s="64">
        <f>IFERROR(INDEX(HATA_NEDEN_MOTORU!$J$2:$J$37,MATCH(A23&amp;B23,HATA_NEDEN_MOTORU!$A$2:$A$37&amp;HATA_NEDEN_MOTORU!$B$2:$B$37,0)),"")</f>
        <v/>
      </c>
    </row>
    <row r="24">
      <c r="A24" s="62">
        <f>KDV_HESAP_TABANI!A5</f>
        <v/>
      </c>
      <c r="B24" s="62" t="inlineStr">
        <is>
          <t>610 %10 İade ↔ 191 %10</t>
        </is>
      </c>
      <c r="C24" s="63">
        <f>KDV_HESAP_TABANI!L5</f>
        <v/>
      </c>
      <c r="D24" s="63">
        <f>KDV_HESAP_TABANI!M5</f>
        <v/>
      </c>
      <c r="E24" s="63">
        <f>KDV_HESAP_TABANI!N5</f>
        <v/>
      </c>
      <c r="F24" s="63">
        <f>KDV_HESAP_TABANI!O5</f>
        <v/>
      </c>
      <c r="G24" s="62">
        <f>KDV_HESAP_TABANI!P5</f>
        <v/>
      </c>
      <c r="H24" s="62" t="inlineStr">
        <is>
          <t>KDV1</t>
        </is>
      </c>
      <c r="I24" s="62" t="inlineStr">
        <is>
          <t>Satış iadesi KDV etkisi 191 satıştan iade hesabında görülmeli.</t>
        </is>
      </c>
      <c r="J24" s="62">
        <f>IFERROR(INDEX(HATA_NEDEN_MOTORU!$H$2:$H$37,MATCH(A24&amp;B24,HATA_NEDEN_MOTORU!$A$2:$A$37&amp;HATA_NEDEN_MOTORU!$B$2:$B$37,0)),"")</f>
        <v/>
      </c>
      <c r="K24" s="62">
        <f>IFERROR(INDEX(HATA_NEDEN_MOTORU!$J$2:$J$37,MATCH(A24&amp;B24,HATA_NEDEN_MOTORU!$A$2:$A$37&amp;HATA_NEDEN_MOTORU!$B$2:$B$37,0)),"")</f>
        <v/>
      </c>
    </row>
    <row r="25">
      <c r="A25" s="64">
        <f>KDV_HESAP_TABANI!A5</f>
        <v/>
      </c>
      <c r="B25" s="64" t="inlineStr">
        <is>
          <t>610 %20 İade ↔ 191 %20</t>
        </is>
      </c>
      <c r="C25" s="65">
        <f>KDV_HESAP_TABANI!Q5</f>
        <v/>
      </c>
      <c r="D25" s="65">
        <f>KDV_HESAP_TABANI!R5</f>
        <v/>
      </c>
      <c r="E25" s="65">
        <f>KDV_HESAP_TABANI!S5</f>
        <v/>
      </c>
      <c r="F25" s="65">
        <f>KDV_HESAP_TABANI!T5</f>
        <v/>
      </c>
      <c r="G25" s="64">
        <f>KDV_HESAP_TABANI!U5</f>
        <v/>
      </c>
      <c r="H25" s="64" t="inlineStr">
        <is>
          <t>KDV1</t>
        </is>
      </c>
      <c r="I25" s="64" t="inlineStr">
        <is>
          <t>%20 satış iadesi için 191 satıştan iade KDV kontrol edilir.</t>
        </is>
      </c>
      <c r="J25" s="64">
        <f>IFERROR(INDEX(HATA_NEDEN_MOTORU!$H$2:$H$37,MATCH(A25&amp;B25,HATA_NEDEN_MOTORU!$A$2:$A$37&amp;HATA_NEDEN_MOTORU!$B$2:$B$37,0)),"")</f>
        <v/>
      </c>
      <c r="K25" s="64">
        <f>IFERROR(INDEX(HATA_NEDEN_MOTORU!$J$2:$J$37,MATCH(A25&amp;B25,HATA_NEDEN_MOTORU!$A$2:$A$37&amp;HATA_NEDEN_MOTORU!$B$2:$B$37,0)),"")</f>
        <v/>
      </c>
    </row>
    <row r="26">
      <c r="A26" s="62">
        <f>KDV_HESAP_TABANI!A5</f>
        <v/>
      </c>
      <c r="B26" s="62" t="inlineStr">
        <is>
          <t>602 %20 Ciro/İskonto ↔ 391 İlave</t>
        </is>
      </c>
      <c r="C26" s="63">
        <f>KDV_HESAP_TABANI!V5</f>
        <v/>
      </c>
      <c r="D26" s="63">
        <f>KDV_HESAP_TABANI!W5</f>
        <v/>
      </c>
      <c r="E26" s="63">
        <f>KDV_HESAP_TABANI!X5</f>
        <v/>
      </c>
      <c r="F26" s="63">
        <f>KDV_HESAP_TABANI!Y5</f>
        <v/>
      </c>
      <c r="G26" s="62">
        <f>KDV_HESAP_TABANI!Z5</f>
        <v/>
      </c>
      <c r="H26" s="62" t="inlineStr">
        <is>
          <t>KDV1</t>
        </is>
      </c>
      <c r="I26" s="62" t="inlineStr">
        <is>
          <t>Alış iskonto/ciro primi vb. ilave KDV 391 tarafında izlenir.</t>
        </is>
      </c>
      <c r="J26" s="62">
        <f>IFERROR(INDEX(HATA_NEDEN_MOTORU!$H$2:$H$37,MATCH(A26&amp;B26,HATA_NEDEN_MOTORU!$A$2:$A$37&amp;HATA_NEDEN_MOTORU!$B$2:$B$37,0)),"")</f>
        <v/>
      </c>
      <c r="K26" s="62">
        <f>IFERROR(INDEX(HATA_NEDEN_MOTORU!$J$2:$J$37,MATCH(A26&amp;B26,HATA_NEDEN_MOTORU!$A$2:$A$37&amp;HATA_NEDEN_MOTORU!$B$2:$B$37,0)),"")</f>
        <v/>
      </c>
    </row>
    <row r="27">
      <c r="A27" s="64">
        <f>KDV_HESAP_TABANI!A5</f>
        <v/>
      </c>
      <c r="B27" s="64" t="inlineStr">
        <is>
          <t>646 %10 Kur Kârı ↔ 391 İlave</t>
        </is>
      </c>
      <c r="C27" s="65">
        <f>KDV_HESAP_TABANI!AA5</f>
        <v/>
      </c>
      <c r="D27" s="65">
        <f>KDV_HESAP_TABANI!AB5</f>
        <v/>
      </c>
      <c r="E27" s="65">
        <f>KDV_HESAP_TABANI!AC5</f>
        <v/>
      </c>
      <c r="F27" s="65">
        <f>KDV_HESAP_TABANI!AD5</f>
        <v/>
      </c>
      <c r="G27" s="64">
        <f>KDV_HESAP_TABANI!AE5</f>
        <v/>
      </c>
      <c r="H27" s="64" t="inlineStr">
        <is>
          <t>KDV1</t>
        </is>
      </c>
      <c r="I27" s="64" t="inlineStr">
        <is>
          <t>KDV hesaplanan kur farkı/ilave KDV 391 ilave KDV ile uyumlu olmalı.</t>
        </is>
      </c>
      <c r="J27" s="64">
        <f>IFERROR(INDEX(HATA_NEDEN_MOTORU!$H$2:$H$37,MATCH(A27&amp;B27,HATA_NEDEN_MOTORU!$A$2:$A$37&amp;HATA_NEDEN_MOTORU!$B$2:$B$37,0)),"")</f>
        <v/>
      </c>
      <c r="K27" s="64">
        <f>IFERROR(INDEX(HATA_NEDEN_MOTORU!$J$2:$J$37,MATCH(A27&amp;B27,HATA_NEDEN_MOTORU!$A$2:$A$37&amp;HATA_NEDEN_MOTORU!$B$2:$B$37,0)),"")</f>
        <v/>
      </c>
    </row>
    <row r="28">
      <c r="A28" s="62">
        <f>KDV_HESAP_TABANI!A6</f>
        <v/>
      </c>
      <c r="B28" s="62" t="inlineStr">
        <is>
          <t>600 %10 Gelir ↔ 391 %10</t>
        </is>
      </c>
      <c r="C28" s="63">
        <f>KDV_HESAP_TABANI!B6</f>
        <v/>
      </c>
      <c r="D28" s="63">
        <f>KDV_HESAP_TABANI!C6</f>
        <v/>
      </c>
      <c r="E28" s="63">
        <f>KDV_HESAP_TABANI!D6</f>
        <v/>
      </c>
      <c r="F28" s="63">
        <f>KDV_HESAP_TABANI!E6</f>
        <v/>
      </c>
      <c r="G28" s="62">
        <f>KDV_HESAP_TABANI!F6</f>
        <v/>
      </c>
      <c r="H28" s="62" t="inlineStr">
        <is>
          <t>KDV1</t>
        </is>
      </c>
      <c r="I28" s="62" t="inlineStr">
        <is>
          <t>600 %10 matrah x %10 = 391 %10 hesaplanan KDV olmalı.</t>
        </is>
      </c>
      <c r="J28" s="62">
        <f>IFERROR(INDEX(HATA_NEDEN_MOTORU!$H$2:$H$37,MATCH(A28&amp;B28,HATA_NEDEN_MOTORU!$A$2:$A$37&amp;HATA_NEDEN_MOTORU!$B$2:$B$37,0)),"")</f>
        <v/>
      </c>
      <c r="K28" s="62">
        <f>IFERROR(INDEX(HATA_NEDEN_MOTORU!$J$2:$J$37,MATCH(A28&amp;B28,HATA_NEDEN_MOTORU!$A$2:$A$37&amp;HATA_NEDEN_MOTORU!$B$2:$B$37,0)),"")</f>
        <v/>
      </c>
    </row>
    <row r="29">
      <c r="A29" s="64">
        <f>KDV_HESAP_TABANI!A6</f>
        <v/>
      </c>
      <c r="B29" s="64" t="inlineStr">
        <is>
          <t>600 %20 Gelir ↔ 391 %20</t>
        </is>
      </c>
      <c r="C29" s="65">
        <f>KDV_HESAP_TABANI!G6</f>
        <v/>
      </c>
      <c r="D29" s="65">
        <f>KDV_HESAP_TABANI!H6</f>
        <v/>
      </c>
      <c r="E29" s="65">
        <f>KDV_HESAP_TABANI!I6</f>
        <v/>
      </c>
      <c r="F29" s="65">
        <f>KDV_HESAP_TABANI!J6</f>
        <v/>
      </c>
      <c r="G29" s="64">
        <f>KDV_HESAP_TABANI!K6</f>
        <v/>
      </c>
      <c r="H29" s="64" t="inlineStr">
        <is>
          <t>KDV1</t>
        </is>
      </c>
      <c r="I29" s="64" t="inlineStr">
        <is>
          <t>600 %20 matrah x %20 = 391 %20 hesaplanan KDV olmalı.</t>
        </is>
      </c>
      <c r="J29" s="64">
        <f>IFERROR(INDEX(HATA_NEDEN_MOTORU!$H$2:$H$37,MATCH(A29&amp;B29,HATA_NEDEN_MOTORU!$A$2:$A$37&amp;HATA_NEDEN_MOTORU!$B$2:$B$37,0)),"")</f>
        <v/>
      </c>
      <c r="K29" s="64">
        <f>IFERROR(INDEX(HATA_NEDEN_MOTORU!$J$2:$J$37,MATCH(A29&amp;B29,HATA_NEDEN_MOTORU!$A$2:$A$37&amp;HATA_NEDEN_MOTORU!$B$2:$B$37,0)),"")</f>
        <v/>
      </c>
    </row>
    <row r="30">
      <c r="A30" s="62">
        <f>KDV_HESAP_TABANI!A6</f>
        <v/>
      </c>
      <c r="B30" s="62" t="inlineStr">
        <is>
          <t>610 %10 İade ↔ 191 %10</t>
        </is>
      </c>
      <c r="C30" s="63">
        <f>KDV_HESAP_TABANI!L6</f>
        <v/>
      </c>
      <c r="D30" s="63">
        <f>KDV_HESAP_TABANI!M6</f>
        <v/>
      </c>
      <c r="E30" s="63">
        <f>KDV_HESAP_TABANI!N6</f>
        <v/>
      </c>
      <c r="F30" s="63">
        <f>KDV_HESAP_TABANI!O6</f>
        <v/>
      </c>
      <c r="G30" s="62">
        <f>KDV_HESAP_TABANI!P6</f>
        <v/>
      </c>
      <c r="H30" s="62" t="inlineStr">
        <is>
          <t>KDV1</t>
        </is>
      </c>
      <c r="I30" s="62" t="inlineStr">
        <is>
          <t>Satış iadesi KDV etkisi 191 satıştan iade hesabında görülmeli.</t>
        </is>
      </c>
      <c r="J30" s="62">
        <f>IFERROR(INDEX(HATA_NEDEN_MOTORU!$H$2:$H$37,MATCH(A30&amp;B30,HATA_NEDEN_MOTORU!$A$2:$A$37&amp;HATA_NEDEN_MOTORU!$B$2:$B$37,0)),"")</f>
        <v/>
      </c>
      <c r="K30" s="62">
        <f>IFERROR(INDEX(HATA_NEDEN_MOTORU!$J$2:$J$37,MATCH(A30&amp;B30,HATA_NEDEN_MOTORU!$A$2:$A$37&amp;HATA_NEDEN_MOTORU!$B$2:$B$37,0)),"")</f>
        <v/>
      </c>
    </row>
    <row r="31">
      <c r="A31" s="64">
        <f>KDV_HESAP_TABANI!A6</f>
        <v/>
      </c>
      <c r="B31" s="64" t="inlineStr">
        <is>
          <t>610 %20 İade ↔ 191 %20</t>
        </is>
      </c>
      <c r="C31" s="65">
        <f>KDV_HESAP_TABANI!Q6</f>
        <v/>
      </c>
      <c r="D31" s="65">
        <f>KDV_HESAP_TABANI!R6</f>
        <v/>
      </c>
      <c r="E31" s="65">
        <f>KDV_HESAP_TABANI!S6</f>
        <v/>
      </c>
      <c r="F31" s="65">
        <f>KDV_HESAP_TABANI!T6</f>
        <v/>
      </c>
      <c r="G31" s="64">
        <f>KDV_HESAP_TABANI!U6</f>
        <v/>
      </c>
      <c r="H31" s="64" t="inlineStr">
        <is>
          <t>KDV1</t>
        </is>
      </c>
      <c r="I31" s="64" t="inlineStr">
        <is>
          <t>%20 satış iadesi için 191 satıştan iade KDV kontrol edilir.</t>
        </is>
      </c>
      <c r="J31" s="64">
        <f>IFERROR(INDEX(HATA_NEDEN_MOTORU!$H$2:$H$37,MATCH(A31&amp;B31,HATA_NEDEN_MOTORU!$A$2:$A$37&amp;HATA_NEDEN_MOTORU!$B$2:$B$37,0)),"")</f>
        <v/>
      </c>
      <c r="K31" s="64">
        <f>IFERROR(INDEX(HATA_NEDEN_MOTORU!$J$2:$J$37,MATCH(A31&amp;B31,HATA_NEDEN_MOTORU!$A$2:$A$37&amp;HATA_NEDEN_MOTORU!$B$2:$B$37,0)),"")</f>
        <v/>
      </c>
    </row>
    <row r="32">
      <c r="A32" s="62">
        <f>KDV_HESAP_TABANI!A6</f>
        <v/>
      </c>
      <c r="B32" s="62" t="inlineStr">
        <is>
          <t>602 %20 Ciro/İskonto ↔ 391 İlave</t>
        </is>
      </c>
      <c r="C32" s="63">
        <f>KDV_HESAP_TABANI!V6</f>
        <v/>
      </c>
      <c r="D32" s="63">
        <f>KDV_HESAP_TABANI!W6</f>
        <v/>
      </c>
      <c r="E32" s="63">
        <f>KDV_HESAP_TABANI!X6</f>
        <v/>
      </c>
      <c r="F32" s="63">
        <f>KDV_HESAP_TABANI!Y6</f>
        <v/>
      </c>
      <c r="G32" s="62">
        <f>KDV_HESAP_TABANI!Z6</f>
        <v/>
      </c>
      <c r="H32" s="62" t="inlineStr">
        <is>
          <t>KDV1</t>
        </is>
      </c>
      <c r="I32" s="62" t="inlineStr">
        <is>
          <t>Alış iskonto/ciro primi vb. ilave KDV 391 tarafında izlenir.</t>
        </is>
      </c>
      <c r="J32" s="62">
        <f>IFERROR(INDEX(HATA_NEDEN_MOTORU!$H$2:$H$37,MATCH(A32&amp;B32,HATA_NEDEN_MOTORU!$A$2:$A$37&amp;HATA_NEDEN_MOTORU!$B$2:$B$37,0)),"")</f>
        <v/>
      </c>
      <c r="K32" s="62">
        <f>IFERROR(INDEX(HATA_NEDEN_MOTORU!$J$2:$J$37,MATCH(A32&amp;B32,HATA_NEDEN_MOTORU!$A$2:$A$37&amp;HATA_NEDEN_MOTORU!$B$2:$B$37,0)),"")</f>
        <v/>
      </c>
    </row>
    <row r="33">
      <c r="A33" s="64">
        <f>KDV_HESAP_TABANI!A6</f>
        <v/>
      </c>
      <c r="B33" s="64" t="inlineStr">
        <is>
          <t>646 %10 Kur Kârı ↔ 391 İlave</t>
        </is>
      </c>
      <c r="C33" s="65">
        <f>KDV_HESAP_TABANI!AA6</f>
        <v/>
      </c>
      <c r="D33" s="65">
        <f>KDV_HESAP_TABANI!AB6</f>
        <v/>
      </c>
      <c r="E33" s="65">
        <f>KDV_HESAP_TABANI!AC6</f>
        <v/>
      </c>
      <c r="F33" s="65">
        <f>KDV_HESAP_TABANI!AD6</f>
        <v/>
      </c>
      <c r="G33" s="64">
        <f>KDV_HESAP_TABANI!AE6</f>
        <v/>
      </c>
      <c r="H33" s="64" t="inlineStr">
        <is>
          <t>KDV1</t>
        </is>
      </c>
      <c r="I33" s="64" t="inlineStr">
        <is>
          <t>KDV hesaplanan kur farkı/ilave KDV 391 ilave KDV ile uyumlu olmalı.</t>
        </is>
      </c>
      <c r="J33" s="64">
        <f>IFERROR(INDEX(HATA_NEDEN_MOTORU!$H$2:$H$37,MATCH(A33&amp;B33,HATA_NEDEN_MOTORU!$A$2:$A$37&amp;HATA_NEDEN_MOTORU!$B$2:$B$37,0)),"")</f>
        <v/>
      </c>
      <c r="K33" s="64">
        <f>IFERROR(INDEX(HATA_NEDEN_MOTORU!$J$2:$J$37,MATCH(A33&amp;B33,HATA_NEDEN_MOTORU!$A$2:$A$37&amp;HATA_NEDEN_MOTORU!$B$2:$B$37,0)),"")</f>
        <v/>
      </c>
    </row>
    <row r="34">
      <c r="A34" s="62">
        <f>KDV_HESAP_TABANI!A7</f>
        <v/>
      </c>
      <c r="B34" s="62" t="inlineStr">
        <is>
          <t>600 %10 Gelir ↔ 391 %10</t>
        </is>
      </c>
      <c r="C34" s="63">
        <f>KDV_HESAP_TABANI!B7</f>
        <v/>
      </c>
      <c r="D34" s="63">
        <f>KDV_HESAP_TABANI!C7</f>
        <v/>
      </c>
      <c r="E34" s="63">
        <f>KDV_HESAP_TABANI!D7</f>
        <v/>
      </c>
      <c r="F34" s="63">
        <f>KDV_HESAP_TABANI!E7</f>
        <v/>
      </c>
      <c r="G34" s="62">
        <f>KDV_HESAP_TABANI!F7</f>
        <v/>
      </c>
      <c r="H34" s="62" t="inlineStr">
        <is>
          <t>KDV1</t>
        </is>
      </c>
      <c r="I34" s="62" t="inlineStr">
        <is>
          <t>600 %10 matrah x %10 = 391 %10 hesaplanan KDV olmalı.</t>
        </is>
      </c>
      <c r="J34" s="62">
        <f>IFERROR(INDEX(HATA_NEDEN_MOTORU!$H$2:$H$37,MATCH(A34&amp;B34,HATA_NEDEN_MOTORU!$A$2:$A$37&amp;HATA_NEDEN_MOTORU!$B$2:$B$37,0)),"")</f>
        <v/>
      </c>
      <c r="K34" s="62">
        <f>IFERROR(INDEX(HATA_NEDEN_MOTORU!$J$2:$J$37,MATCH(A34&amp;B34,HATA_NEDEN_MOTORU!$A$2:$A$37&amp;HATA_NEDEN_MOTORU!$B$2:$B$37,0)),"")</f>
        <v/>
      </c>
    </row>
    <row r="35">
      <c r="A35" s="64">
        <f>KDV_HESAP_TABANI!A7</f>
        <v/>
      </c>
      <c r="B35" s="64" t="inlineStr">
        <is>
          <t>600 %20 Gelir ↔ 391 %20</t>
        </is>
      </c>
      <c r="C35" s="65">
        <f>KDV_HESAP_TABANI!G7</f>
        <v/>
      </c>
      <c r="D35" s="65">
        <f>KDV_HESAP_TABANI!H7</f>
        <v/>
      </c>
      <c r="E35" s="65">
        <f>KDV_HESAP_TABANI!I7</f>
        <v/>
      </c>
      <c r="F35" s="65">
        <f>KDV_HESAP_TABANI!J7</f>
        <v/>
      </c>
      <c r="G35" s="64">
        <f>KDV_HESAP_TABANI!K7</f>
        <v/>
      </c>
      <c r="H35" s="64" t="inlineStr">
        <is>
          <t>KDV1</t>
        </is>
      </c>
      <c r="I35" s="64" t="inlineStr">
        <is>
          <t>600 %20 matrah x %20 = 391 %20 hesaplanan KDV olmalı.</t>
        </is>
      </c>
      <c r="J35" s="64">
        <f>IFERROR(INDEX(HATA_NEDEN_MOTORU!$H$2:$H$37,MATCH(A35&amp;B35,HATA_NEDEN_MOTORU!$A$2:$A$37&amp;HATA_NEDEN_MOTORU!$B$2:$B$37,0)),"")</f>
        <v/>
      </c>
      <c r="K35" s="64">
        <f>IFERROR(INDEX(HATA_NEDEN_MOTORU!$J$2:$J$37,MATCH(A35&amp;B35,HATA_NEDEN_MOTORU!$A$2:$A$37&amp;HATA_NEDEN_MOTORU!$B$2:$B$37,0)),"")</f>
        <v/>
      </c>
    </row>
    <row r="36">
      <c r="A36" s="62">
        <f>KDV_HESAP_TABANI!A7</f>
        <v/>
      </c>
      <c r="B36" s="62" t="inlineStr">
        <is>
          <t>610 %10 İade ↔ 191 %10</t>
        </is>
      </c>
      <c r="C36" s="63">
        <f>KDV_HESAP_TABANI!L7</f>
        <v/>
      </c>
      <c r="D36" s="63">
        <f>KDV_HESAP_TABANI!M7</f>
        <v/>
      </c>
      <c r="E36" s="63">
        <f>KDV_HESAP_TABANI!N7</f>
        <v/>
      </c>
      <c r="F36" s="63">
        <f>KDV_HESAP_TABANI!O7</f>
        <v/>
      </c>
      <c r="G36" s="62">
        <f>KDV_HESAP_TABANI!P7</f>
        <v/>
      </c>
      <c r="H36" s="62" t="inlineStr">
        <is>
          <t>KDV1</t>
        </is>
      </c>
      <c r="I36" s="62" t="inlineStr">
        <is>
          <t>Satış iadesi KDV etkisi 191 satıştan iade hesabında görülmeli.</t>
        </is>
      </c>
      <c r="J36" s="62">
        <f>IFERROR(INDEX(HATA_NEDEN_MOTORU!$H$2:$H$37,MATCH(A36&amp;B36,HATA_NEDEN_MOTORU!$A$2:$A$37&amp;HATA_NEDEN_MOTORU!$B$2:$B$37,0)),"")</f>
        <v/>
      </c>
      <c r="K36" s="62">
        <f>IFERROR(INDEX(HATA_NEDEN_MOTORU!$J$2:$J$37,MATCH(A36&amp;B36,HATA_NEDEN_MOTORU!$A$2:$A$37&amp;HATA_NEDEN_MOTORU!$B$2:$B$37,0)),"")</f>
        <v/>
      </c>
    </row>
    <row r="37">
      <c r="A37" s="64">
        <f>KDV_HESAP_TABANI!A7</f>
        <v/>
      </c>
      <c r="B37" s="64" t="inlineStr">
        <is>
          <t>610 %20 İade ↔ 191 %20</t>
        </is>
      </c>
      <c r="C37" s="65">
        <f>KDV_HESAP_TABANI!Q7</f>
        <v/>
      </c>
      <c r="D37" s="65">
        <f>KDV_HESAP_TABANI!R7</f>
        <v/>
      </c>
      <c r="E37" s="65">
        <f>KDV_HESAP_TABANI!S7</f>
        <v/>
      </c>
      <c r="F37" s="65">
        <f>KDV_HESAP_TABANI!T7</f>
        <v/>
      </c>
      <c r="G37" s="64">
        <f>KDV_HESAP_TABANI!U7</f>
        <v/>
      </c>
      <c r="H37" s="64" t="inlineStr">
        <is>
          <t>KDV1</t>
        </is>
      </c>
      <c r="I37" s="64" t="inlineStr">
        <is>
          <t>%20 satış iadesi için 191 satıştan iade KDV kontrol edilir.</t>
        </is>
      </c>
      <c r="J37" s="64">
        <f>IFERROR(INDEX(HATA_NEDEN_MOTORU!$H$2:$H$37,MATCH(A37&amp;B37,HATA_NEDEN_MOTORU!$A$2:$A$37&amp;HATA_NEDEN_MOTORU!$B$2:$B$37,0)),"")</f>
        <v/>
      </c>
      <c r="K37" s="64">
        <f>IFERROR(INDEX(HATA_NEDEN_MOTORU!$J$2:$J$37,MATCH(A37&amp;B37,HATA_NEDEN_MOTORU!$A$2:$A$37&amp;HATA_NEDEN_MOTORU!$B$2:$B$37,0)),"")</f>
        <v/>
      </c>
    </row>
    <row r="38">
      <c r="A38" s="62">
        <f>KDV_HESAP_TABANI!A7</f>
        <v/>
      </c>
      <c r="B38" s="62" t="inlineStr">
        <is>
          <t>602 %20 Ciro/İskonto ↔ 391 İlave</t>
        </is>
      </c>
      <c r="C38" s="63">
        <f>KDV_HESAP_TABANI!V7</f>
        <v/>
      </c>
      <c r="D38" s="63">
        <f>KDV_HESAP_TABANI!W7</f>
        <v/>
      </c>
      <c r="E38" s="63">
        <f>KDV_HESAP_TABANI!X7</f>
        <v/>
      </c>
      <c r="F38" s="63">
        <f>KDV_HESAP_TABANI!Y7</f>
        <v/>
      </c>
      <c r="G38" s="62">
        <f>KDV_HESAP_TABANI!Z7</f>
        <v/>
      </c>
      <c r="H38" s="62" t="inlineStr">
        <is>
          <t>KDV1</t>
        </is>
      </c>
      <c r="I38" s="62" t="inlineStr">
        <is>
          <t>Alış iskonto/ciro primi vb. ilave KDV 391 tarafında izlenir.</t>
        </is>
      </c>
      <c r="J38" s="62">
        <f>IFERROR(INDEX(HATA_NEDEN_MOTORU!$H$2:$H$37,MATCH(A38&amp;B38,HATA_NEDEN_MOTORU!$A$2:$A$37&amp;HATA_NEDEN_MOTORU!$B$2:$B$37,0)),"")</f>
        <v/>
      </c>
      <c r="K38" s="62">
        <f>IFERROR(INDEX(HATA_NEDEN_MOTORU!$J$2:$J$37,MATCH(A38&amp;B38,HATA_NEDEN_MOTORU!$A$2:$A$37&amp;HATA_NEDEN_MOTORU!$B$2:$B$37,0)),"")</f>
        <v/>
      </c>
    </row>
    <row r="39">
      <c r="A39" s="64">
        <f>KDV_HESAP_TABANI!A7</f>
        <v/>
      </c>
      <c r="B39" s="64" t="inlineStr">
        <is>
          <t>646 %10 Kur Kârı ↔ 391 İlave</t>
        </is>
      </c>
      <c r="C39" s="65">
        <f>KDV_HESAP_TABANI!AA7</f>
        <v/>
      </c>
      <c r="D39" s="65">
        <f>KDV_HESAP_TABANI!AB7</f>
        <v/>
      </c>
      <c r="E39" s="65">
        <f>KDV_HESAP_TABANI!AC7</f>
        <v/>
      </c>
      <c r="F39" s="65">
        <f>KDV_HESAP_TABANI!AD7</f>
        <v/>
      </c>
      <c r="G39" s="64">
        <f>KDV_HESAP_TABANI!AE7</f>
        <v/>
      </c>
      <c r="H39" s="64" t="inlineStr">
        <is>
          <t>KDV1</t>
        </is>
      </c>
      <c r="I39" s="64" t="inlineStr">
        <is>
          <t>KDV hesaplanan kur farkı/ilave KDV 391 ilave KDV ile uyumlu olmalı.</t>
        </is>
      </c>
      <c r="J39" s="64">
        <f>IFERROR(INDEX(HATA_NEDEN_MOTORU!$H$2:$H$37,MATCH(A39&amp;B39,HATA_NEDEN_MOTORU!$A$2:$A$37&amp;HATA_NEDEN_MOTORU!$B$2:$B$37,0)),"")</f>
        <v/>
      </c>
      <c r="K39" s="64">
        <f>IFERROR(INDEX(HATA_NEDEN_MOTORU!$J$2:$J$37,MATCH(A39&amp;B39,HATA_NEDEN_MOTORU!$A$2:$A$37&amp;HATA_NEDEN_MOTORU!$B$2:$B$37,0)),"")</f>
        <v/>
      </c>
    </row>
  </sheetData>
  <autoFilter ref="A3:K39"/>
  <mergeCells count="1">
    <mergeCell ref="A1:K1"/>
  </mergeCells>
  <conditionalFormatting sqref="G4:G39">
    <cfRule type="expression" priority="1" dxfId="2">
      <formula>G4="TUTMUYOR"</formula>
    </cfRule>
    <cfRule type="expression" priority="2" dxfId="0">
      <formula>G4="KÜÇÜK FARK"</formula>
    </cfRule>
    <cfRule type="expression" priority="3" dxfId="1">
      <formula>G4="TUTUYOR"</formula>
    </cfRule>
    <cfRule type="cellIs" priority="4" operator="equal" dxfId="7">
      <formula>"TUTUYOR"</formula>
    </cfRule>
    <cfRule type="cellIs" priority="5" operator="equal" dxfId="6">
      <formula>"TUTMUYOR"</formula>
    </cfRule>
    <cfRule type="cellIs" priority="6" operator="equal" dxfId="8">
      <formula>"KÜÇÜK FARK"</formula>
    </cfRule>
    <cfRule type="cellIs" priority="7" operator="equal" dxfId="9">
      <formula>"HAREKET YOK"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4" min="1" max="1"/>
    <col width="26" customWidth="1" style="34" min="2" max="2"/>
    <col width="14" customWidth="1" style="34" min="3" max="3"/>
    <col width="14" customWidth="1" style="34" min="4" max="4"/>
    <col width="14" customWidth="1" style="34" min="5" max="5"/>
    <col width="12" customWidth="1" style="34" min="6" max="6"/>
    <col width="50" customWidth="1" style="34" min="7" max="7"/>
    <col width="11" customWidth="1" style="34" min="8" max="8"/>
    <col width="11" customWidth="1" style="34" min="9" max="9"/>
    <col width="40" customWidth="1" style="34" min="10" max="10"/>
  </cols>
  <sheetData>
    <row r="1" ht="32" customHeight="1" s="34">
      <c r="A1" s="66" t="inlineStr">
        <is>
          <t>Şube</t>
        </is>
      </c>
      <c r="B1" s="66" t="inlineStr">
        <is>
          <t>Kontrol</t>
        </is>
      </c>
      <c r="C1" s="66" t="inlineStr">
        <is>
          <t>Matrah</t>
        </is>
      </c>
      <c r="D1" s="66" t="inlineStr">
        <is>
          <t>Beklenen KDV</t>
        </is>
      </c>
      <c r="E1" s="66" t="inlineStr">
        <is>
          <t>Mevcut KDV</t>
        </is>
      </c>
      <c r="F1" s="66" t="inlineStr">
        <is>
          <t>Fark</t>
        </is>
      </c>
      <c r="G1" s="66" t="inlineStr">
        <is>
          <t>Durum</t>
        </is>
      </c>
      <c r="H1" s="66" t="inlineStr">
        <is>
          <t>Hatalı KDV Nedeni</t>
        </is>
      </c>
      <c r="I1" s="66" t="inlineStr">
        <is>
          <t>Beyanname</t>
        </is>
      </c>
      <c r="J1" s="66" t="inlineStr">
        <is>
          <t>Kontrol Edilecek Fiş/Hesap</t>
        </is>
      </c>
    </row>
    <row r="2" ht="48" customHeight="1" s="34">
      <c r="A2" s="62">
        <f>KDV_HESAP_TABANI!A2</f>
        <v/>
      </c>
      <c r="B2" s="62" t="inlineStr">
        <is>
          <t>600 %10 Gelir ↔ 391 %10</t>
        </is>
      </c>
      <c r="C2" s="63">
        <f>KDV_HESAP_TABANI!B2</f>
        <v/>
      </c>
      <c r="D2" s="63">
        <f>KDV_HESAP_TABANI!C2</f>
        <v/>
      </c>
      <c r="E2" s="63">
        <f>KDV_HESAP_TABANI!D2</f>
        <v/>
      </c>
      <c r="F2" s="63">
        <f>KDV_HESAP_TABANI!E2</f>
        <v/>
      </c>
      <c r="G2" s="62">
        <f>KDV_HESAP_TABANI!F2</f>
        <v/>
      </c>
      <c r="H2" s="62">
        <f>IF(G2="HAREKET YOK","Hareket yok",IF(G2="TUTUYOR","Tolerans içinde",IF(B2="600 %10 Gelir ↔ 391 %10",IF(F2&gt;0,"391 %10 fazla: %20 olması gereken matrah %10 gelirde kalmış / çift KDV / mapping hatası olabilir","391 %10 eksik: gelir 391 KDV hesabına eksik aktarılmış olabilir"),IF(B2="600 %20 Gelir ↔ 391 %20",IF(F2&gt;0,"391 %20 fazla: KDV mükerrer veya fazla tahakkuk etmiş olabilir","391 %20 eksik: %20 gelir 391 hesabına eksik aktarılmış olabilir"),IF(B2="610 %10 İade ↔ 191 %10",IF(F2&gt;0,"191 satış iade KDV fazla: iade KDV mükerrer/manuel fazla olabilir","191 satış iade KDV eksik: iade fişi 191 hesabına bağlanmamış olabilir"),IF(B2="610 %20 İade ↔ 191 %20",IF(F2&gt;0,"191 %20 iade KDV fazla olabilir","191 %20 iade KDV eksik olabilir"),IF(B2="602 %20 Ciro/İskonto ↔ 391 İlave",IF(F2&gt;0,"391 ilave KDV fazla: alış iade/ciro primi mapping kontrol","391 ilave KDV eksik: alış iade/ciro primi mapping kontrol"),IF(B2="646 %10 Kur Kârı ↔ 391 İlave",IF(F2&gt;0,"391 ilave KDV fazla: kur farkı KDV oran/hesap eşleşmesi kontrol","391 ilave KDV eksik: kur farkı KDV mapping kontrol"),"Kontrol tanımı dışı"))))))))</f>
        <v/>
      </c>
      <c r="I2" s="62" t="inlineStr">
        <is>
          <t>KDV1</t>
        </is>
      </c>
      <c r="J2" s="62" t="inlineStr">
        <is>
          <t>600/391 gelir entegrasyon fişi ve ürün-KDV oran mapping</t>
        </is>
      </c>
    </row>
    <row r="3" ht="48" customHeight="1" s="34">
      <c r="A3" s="64">
        <f>KDV_HESAP_TABANI!A2</f>
        <v/>
      </c>
      <c r="B3" s="64" t="inlineStr">
        <is>
          <t>600 %20 Gelir ↔ 391 %20</t>
        </is>
      </c>
      <c r="C3" s="65">
        <f>KDV_HESAP_TABANI!G2</f>
        <v/>
      </c>
      <c r="D3" s="65">
        <f>KDV_HESAP_TABANI!H2</f>
        <v/>
      </c>
      <c r="E3" s="65">
        <f>KDV_HESAP_TABANI!I2</f>
        <v/>
      </c>
      <c r="F3" s="65">
        <f>KDV_HESAP_TABANI!J2</f>
        <v/>
      </c>
      <c r="G3" s="64">
        <f>KDV_HESAP_TABANI!K2</f>
        <v/>
      </c>
      <c r="H3" s="64">
        <f>IF(G3="HAREKET YOK","Hareket yok",IF(G3="TUTUYOR","Tolerans içinde",IF(B3="600 %10 Gelir ↔ 391 %10",IF(F3&gt;0,"391 %10 fazla: %20 olması gereken matrah %10 gelirde kalmış / çift KDV / mapping hatası olabilir","391 %10 eksik: gelir 391 KDV hesabına eksik aktarılmış olabilir"),IF(B3="600 %20 Gelir ↔ 391 %20",IF(F3&gt;0,"391 %20 fazla: KDV mükerrer veya fazla tahakkuk etmiş olabilir","391 %20 eksik: %20 gelir 391 hesabına eksik aktarılmış olabilir"),IF(B3="610 %10 İade ↔ 191 %10",IF(F3&gt;0,"191 satış iade KDV fazla: iade KDV mükerrer/manuel fazla olabilir","191 satış iade KDV eksik: iade fişi 191 hesabına bağlanmamış olabilir"),IF(B3="610 %20 İade ↔ 191 %20",IF(F3&gt;0,"191 %20 iade KDV fazla olabilir","191 %20 iade KDV eksik olabilir"),IF(B3="602 %20 Ciro/İskonto ↔ 391 İlave",IF(F3&gt;0,"391 ilave KDV fazla: alış iade/ciro primi mapping kontrol","391 ilave KDV eksik: alış iade/ciro primi mapping kontrol"),IF(B3="646 %10 Kur Kârı ↔ 391 İlave",IF(F3&gt;0,"391 ilave KDV fazla: kur farkı KDV oran/hesap eşleşmesi kontrol","391 ilave KDV eksik: kur farkı KDV mapping kontrol"),"Kontrol tanımı dışı"))))))))</f>
        <v/>
      </c>
      <c r="I3" s="64" t="inlineStr">
        <is>
          <t>KDV1</t>
        </is>
      </c>
      <c r="J3" s="64" t="inlineStr">
        <is>
          <t>600 %20 gelir ve 391 %20 hesaplanan KDV</t>
        </is>
      </c>
    </row>
    <row r="4" ht="48" customHeight="1" s="34">
      <c r="A4" s="62">
        <f>KDV_HESAP_TABANI!A2</f>
        <v/>
      </c>
      <c r="B4" s="62" t="inlineStr">
        <is>
          <t>610 %10 İade ↔ 191 %10</t>
        </is>
      </c>
      <c r="C4" s="63">
        <f>KDV_HESAP_TABANI!L2</f>
        <v/>
      </c>
      <c r="D4" s="63">
        <f>KDV_HESAP_TABANI!M2</f>
        <v/>
      </c>
      <c r="E4" s="63">
        <f>KDV_HESAP_TABANI!N2</f>
        <v/>
      </c>
      <c r="F4" s="63">
        <f>KDV_HESAP_TABANI!O2</f>
        <v/>
      </c>
      <c r="G4" s="62">
        <f>KDV_HESAP_TABANI!P2</f>
        <v/>
      </c>
      <c r="H4" s="62">
        <f>IF(G4="HAREKET YOK","Hareket yok",IF(G4="TUTUYOR","Tolerans içinde",IF(B4="600 %10 Gelir ↔ 391 %10",IF(F4&gt;0,"391 %10 fazla: %20 olması gereken matrah %10 gelirde kalmış / çift KDV / mapping hatası olabilir","391 %10 eksik: gelir 391 KDV hesabına eksik aktarılmış olabilir"),IF(B4="600 %20 Gelir ↔ 391 %20",IF(F4&gt;0,"391 %20 fazla: KDV mükerrer veya fazla tahakkuk etmiş olabilir","391 %20 eksik: %20 gelir 391 hesabına eksik aktarılmış olabilir"),IF(B4="610 %10 İade ↔ 191 %10",IF(F4&gt;0,"191 satış iade KDV fazla: iade KDV mükerrer/manuel fazla olabilir","191 satış iade KDV eksik: iade fişi 191 hesabına bağlanmamış olabilir"),IF(B4="610 %20 İade ↔ 191 %20",IF(F4&gt;0,"191 %20 iade KDV fazla olabilir","191 %20 iade KDV eksik olabilir"),IF(B4="602 %20 Ciro/İskonto ↔ 391 İlave",IF(F4&gt;0,"391 ilave KDV fazla: alış iade/ciro primi mapping kontrol","391 ilave KDV eksik: alış iade/ciro primi mapping kontrol"),IF(B4="646 %10 Kur Kârı ↔ 391 İlave",IF(F4&gt;0,"391 ilave KDV fazla: kur farkı KDV oran/hesap eşleşmesi kontrol","391 ilave KDV eksik: kur farkı KDV mapping kontrol"),"Kontrol tanımı dışı"))))))))</f>
        <v/>
      </c>
      <c r="I4" s="62" t="inlineStr">
        <is>
          <t>KDV1</t>
        </is>
      </c>
      <c r="J4" s="62" t="inlineStr">
        <is>
          <t>610 satış iadesi fişi ve 191 satıştan iade KDV</t>
        </is>
      </c>
    </row>
    <row r="5" ht="48" customHeight="1" s="34">
      <c r="A5" s="64">
        <f>KDV_HESAP_TABANI!A2</f>
        <v/>
      </c>
      <c r="B5" s="64" t="inlineStr">
        <is>
          <t>610 %20 İade ↔ 191 %20</t>
        </is>
      </c>
      <c r="C5" s="65">
        <f>KDV_HESAP_TABANI!Q2</f>
        <v/>
      </c>
      <c r="D5" s="65">
        <f>KDV_HESAP_TABANI!R2</f>
        <v/>
      </c>
      <c r="E5" s="65">
        <f>KDV_HESAP_TABANI!S2</f>
        <v/>
      </c>
      <c r="F5" s="65">
        <f>KDV_HESAP_TABANI!T2</f>
        <v/>
      </c>
      <c r="G5" s="64">
        <f>KDV_HESAP_TABANI!U2</f>
        <v/>
      </c>
      <c r="H5" s="64">
        <f>IF(G5="HAREKET YOK","Hareket yok",IF(G5="TUTUYOR","Tolerans içinde",IF(B5="600 %10 Gelir ↔ 391 %10",IF(F5&gt;0,"391 %10 fazla: %20 olması gereken matrah %10 gelirde kalmış / çift KDV / mapping hatası olabilir","391 %10 eksik: gelir 391 KDV hesabına eksik aktarılmış olabilir"),IF(B5="600 %20 Gelir ↔ 391 %20",IF(F5&gt;0,"391 %20 fazla: KDV mükerrer veya fazla tahakkuk etmiş olabilir","391 %20 eksik: %20 gelir 391 hesabına eksik aktarılmış olabilir"),IF(B5="610 %10 İade ↔ 191 %10",IF(F5&gt;0,"191 satış iade KDV fazla: iade KDV mükerrer/manuel fazla olabilir","191 satış iade KDV eksik: iade fişi 191 hesabına bağlanmamış olabilir"),IF(B5="610 %20 İade ↔ 191 %20",IF(F5&gt;0,"191 %20 iade KDV fazla olabilir","191 %20 iade KDV eksik olabilir"),IF(B5="602 %20 Ciro/İskonto ↔ 391 İlave",IF(F5&gt;0,"391 ilave KDV fazla: alış iade/ciro primi mapping kontrol","391 ilave KDV eksik: alış iade/ciro primi mapping kontrol"),IF(B5="646 %10 Kur Kârı ↔ 391 İlave",IF(F5&gt;0,"391 ilave KDV fazla: kur farkı KDV oran/hesap eşleşmesi kontrol","391 ilave KDV eksik: kur farkı KDV mapping kontrol"),"Kontrol tanımı dışı"))))))))</f>
        <v/>
      </c>
      <c r="I5" s="64" t="inlineStr">
        <is>
          <t>KDV1</t>
        </is>
      </c>
      <c r="J5" s="64" t="inlineStr">
        <is>
          <t>610 %20 satış iadesi fişi ve 191 %20 iade KDV</t>
        </is>
      </c>
    </row>
    <row r="6" ht="48" customHeight="1" s="34">
      <c r="A6" s="62">
        <f>KDV_HESAP_TABANI!A2</f>
        <v/>
      </c>
      <c r="B6" s="62" t="inlineStr">
        <is>
          <t>602 %20 Ciro/İskonto ↔ 391 İlave</t>
        </is>
      </c>
      <c r="C6" s="63">
        <f>KDV_HESAP_TABANI!V2</f>
        <v/>
      </c>
      <c r="D6" s="63">
        <f>KDV_HESAP_TABANI!W2</f>
        <v/>
      </c>
      <c r="E6" s="63">
        <f>KDV_HESAP_TABANI!X2</f>
        <v/>
      </c>
      <c r="F6" s="63">
        <f>KDV_HESAP_TABANI!Y2</f>
        <v/>
      </c>
      <c r="G6" s="62">
        <f>KDV_HESAP_TABANI!Z2</f>
        <v/>
      </c>
      <c r="H6" s="62">
        <f>IF(G6="HAREKET YOK","Hareket yok",IF(G6="TUTUYOR","Tolerans içinde",IF(B6="600 %10 Gelir ↔ 391 %10",IF(F6&gt;0,"391 %10 fazla: %20 olması gereken matrah %10 gelirde kalmış / çift KDV / mapping hatası olabilir","391 %10 eksik: gelir 391 KDV hesabına eksik aktarılmış olabilir"),IF(B6="600 %20 Gelir ↔ 391 %20",IF(F6&gt;0,"391 %20 fazla: KDV mükerrer veya fazla tahakkuk etmiş olabilir","391 %20 eksik: %20 gelir 391 hesabına eksik aktarılmış olabilir"),IF(B6="610 %10 İade ↔ 191 %10",IF(F6&gt;0,"191 satış iade KDV fazla: iade KDV mükerrer/manuel fazla olabilir","191 satış iade KDV eksik: iade fişi 191 hesabına bağlanmamış olabilir"),IF(B6="610 %20 İade ↔ 191 %20",IF(F6&gt;0,"191 %20 iade KDV fazla olabilir","191 %20 iade KDV eksik olabilir"),IF(B6="602 %20 Ciro/İskonto ↔ 391 İlave",IF(F6&gt;0,"391 ilave KDV fazla: alış iade/ciro primi mapping kontrol","391 ilave KDV eksik: alış iade/ciro primi mapping kontrol"),IF(B6="646 %10 Kur Kârı ↔ 391 İlave",IF(F6&gt;0,"391 ilave KDV fazla: kur farkı KDV oran/hesap eşleşmesi kontrol","391 ilave KDV eksik: kur farkı KDV mapping kontrol"),"Kontrol tanımı dışı"))))))))</f>
        <v/>
      </c>
      <c r="I6" s="62" t="inlineStr">
        <is>
          <t>KDV1</t>
        </is>
      </c>
      <c r="J6" s="62" t="inlineStr">
        <is>
          <t>602 ciro/iskonto geliri ve 391 ilave KDV</t>
        </is>
      </c>
    </row>
    <row r="7" ht="48" customHeight="1" s="34">
      <c r="A7" s="64">
        <f>KDV_HESAP_TABANI!A2</f>
        <v/>
      </c>
      <c r="B7" s="64" t="inlineStr">
        <is>
          <t>646 %10 Kur Kârı ↔ 391 İlave</t>
        </is>
      </c>
      <c r="C7" s="65">
        <f>KDV_HESAP_TABANI!AA2</f>
        <v/>
      </c>
      <c r="D7" s="65">
        <f>KDV_HESAP_TABANI!AB2</f>
        <v/>
      </c>
      <c r="E7" s="65">
        <f>KDV_HESAP_TABANI!AC2</f>
        <v/>
      </c>
      <c r="F7" s="65">
        <f>KDV_HESAP_TABANI!AD2</f>
        <v/>
      </c>
      <c r="G7" s="64">
        <f>KDV_HESAP_TABANI!AE2</f>
        <v/>
      </c>
      <c r="H7" s="64">
        <f>IF(G7="HAREKET YOK","Hareket yok",IF(G7="TUTUYOR","Tolerans içinde",IF(B7="600 %10 Gelir ↔ 391 %10",IF(F7&gt;0,"391 %10 fazla: %20 olması gereken matrah %10 gelirde kalmış / çift KDV / mapping hatası olabilir","391 %10 eksik: gelir 391 KDV hesabına eksik aktarılmış olabilir"),IF(B7="600 %20 Gelir ↔ 391 %20",IF(F7&gt;0,"391 %20 fazla: KDV mükerrer veya fazla tahakkuk etmiş olabilir","391 %20 eksik: %20 gelir 391 hesabına eksik aktarılmış olabilir"),IF(B7="610 %10 İade ↔ 191 %10",IF(F7&gt;0,"191 satış iade KDV fazla: iade KDV mükerrer/manuel fazla olabilir","191 satış iade KDV eksik: iade fişi 191 hesabına bağlanmamış olabilir"),IF(B7="610 %20 İade ↔ 191 %20",IF(F7&gt;0,"191 %20 iade KDV fazla olabilir","191 %20 iade KDV eksik olabilir"),IF(B7="602 %20 Ciro/İskonto ↔ 391 İlave",IF(F7&gt;0,"391 ilave KDV fazla: alış iade/ciro primi mapping kontrol","391 ilave KDV eksik: alış iade/ciro primi mapping kontrol"),IF(B7="646 %10 Kur Kârı ↔ 391 İlave",IF(F7&gt;0,"391 ilave KDV fazla: kur farkı KDV oran/hesap eşleşmesi kontrol","391 ilave KDV eksik: kur farkı KDV mapping kontrol"),"Kontrol tanımı dışı"))))))))</f>
        <v/>
      </c>
      <c r="I7" s="64" t="inlineStr">
        <is>
          <t>KDV1</t>
        </is>
      </c>
      <c r="J7" s="64" t="inlineStr">
        <is>
          <t>646 kur farkı ve 391 ilave KDV</t>
        </is>
      </c>
    </row>
    <row r="8" ht="48" customHeight="1" s="34">
      <c r="A8" s="62">
        <f>KDV_HESAP_TABANI!A3</f>
        <v/>
      </c>
      <c r="B8" s="62" t="inlineStr">
        <is>
          <t>600 %10 Gelir ↔ 391 %10</t>
        </is>
      </c>
      <c r="C8" s="63">
        <f>KDV_HESAP_TABANI!B3</f>
        <v/>
      </c>
      <c r="D8" s="63">
        <f>KDV_HESAP_TABANI!C3</f>
        <v/>
      </c>
      <c r="E8" s="63">
        <f>KDV_HESAP_TABANI!D3</f>
        <v/>
      </c>
      <c r="F8" s="63">
        <f>KDV_HESAP_TABANI!E3</f>
        <v/>
      </c>
      <c r="G8" s="62">
        <f>KDV_HESAP_TABANI!F3</f>
        <v/>
      </c>
      <c r="H8" s="62">
        <f>IF(G8="HAREKET YOK","Hareket yok",IF(G8="TUTUYOR","Tolerans içinde",IF(B8="600 %10 Gelir ↔ 391 %10",IF(F8&gt;0,"391 %10 fazla: %20 olması gereken matrah %10 gelirde kalmış / çift KDV / mapping hatası olabilir","391 %10 eksik: gelir 391 KDV hesabına eksik aktarılmış olabilir"),IF(B8="600 %20 Gelir ↔ 391 %20",IF(F8&gt;0,"391 %20 fazla: KDV mükerrer veya fazla tahakkuk etmiş olabilir","391 %20 eksik: %20 gelir 391 hesabına eksik aktarılmış olabilir"),IF(B8="610 %10 İade ↔ 191 %10",IF(F8&gt;0,"191 satış iade KDV fazla: iade KDV mükerrer/manuel fazla olabilir","191 satış iade KDV eksik: iade fişi 191 hesabına bağlanmamış olabilir"),IF(B8="610 %20 İade ↔ 191 %20",IF(F8&gt;0,"191 %20 iade KDV fazla olabilir","191 %20 iade KDV eksik olabilir"),IF(B8="602 %20 Ciro/İskonto ↔ 391 İlave",IF(F8&gt;0,"391 ilave KDV fazla: alış iade/ciro primi mapping kontrol","391 ilave KDV eksik: alış iade/ciro primi mapping kontrol"),IF(B8="646 %10 Kur Kârı ↔ 391 İlave",IF(F8&gt;0,"391 ilave KDV fazla: kur farkı KDV oran/hesap eşleşmesi kontrol","391 ilave KDV eksik: kur farkı KDV mapping kontrol"),"Kontrol tanımı dışı"))))))))</f>
        <v/>
      </c>
      <c r="I8" s="62" t="inlineStr">
        <is>
          <t>KDV1</t>
        </is>
      </c>
      <c r="J8" s="62" t="inlineStr">
        <is>
          <t>600/391 gelir entegrasyon fişi ve ürün-KDV oran mapping</t>
        </is>
      </c>
    </row>
    <row r="9" ht="48" customHeight="1" s="34">
      <c r="A9" s="64">
        <f>KDV_HESAP_TABANI!A3</f>
        <v/>
      </c>
      <c r="B9" s="64" t="inlineStr">
        <is>
          <t>600 %20 Gelir ↔ 391 %20</t>
        </is>
      </c>
      <c r="C9" s="65">
        <f>KDV_HESAP_TABANI!G3</f>
        <v/>
      </c>
      <c r="D9" s="65">
        <f>KDV_HESAP_TABANI!H3</f>
        <v/>
      </c>
      <c r="E9" s="65">
        <f>KDV_HESAP_TABANI!I3</f>
        <v/>
      </c>
      <c r="F9" s="65">
        <f>KDV_HESAP_TABANI!J3</f>
        <v/>
      </c>
      <c r="G9" s="64">
        <f>KDV_HESAP_TABANI!K3</f>
        <v/>
      </c>
      <c r="H9" s="64">
        <f>IF(G9="HAREKET YOK","Hareket yok",IF(G9="TUTUYOR","Tolerans içinde",IF(B9="600 %10 Gelir ↔ 391 %10",IF(F9&gt;0,"391 %10 fazla: %20 olması gereken matrah %10 gelirde kalmış / çift KDV / mapping hatası olabilir","391 %10 eksik: gelir 391 KDV hesabına eksik aktarılmış olabilir"),IF(B9="600 %20 Gelir ↔ 391 %20",IF(F9&gt;0,"391 %20 fazla: KDV mükerrer veya fazla tahakkuk etmiş olabilir","391 %20 eksik: %20 gelir 391 hesabına eksik aktarılmış olabilir"),IF(B9="610 %10 İade ↔ 191 %10",IF(F9&gt;0,"191 satış iade KDV fazla: iade KDV mükerrer/manuel fazla olabilir","191 satış iade KDV eksik: iade fişi 191 hesabına bağlanmamış olabilir"),IF(B9="610 %20 İade ↔ 191 %20",IF(F9&gt;0,"191 %20 iade KDV fazla olabilir","191 %20 iade KDV eksik olabilir"),IF(B9="602 %20 Ciro/İskonto ↔ 391 İlave",IF(F9&gt;0,"391 ilave KDV fazla: alış iade/ciro primi mapping kontrol","391 ilave KDV eksik: alış iade/ciro primi mapping kontrol"),IF(B9="646 %10 Kur Kârı ↔ 391 İlave",IF(F9&gt;0,"391 ilave KDV fazla: kur farkı KDV oran/hesap eşleşmesi kontrol","391 ilave KDV eksik: kur farkı KDV mapping kontrol"),"Kontrol tanımı dışı"))))))))</f>
        <v/>
      </c>
      <c r="I9" s="64" t="inlineStr">
        <is>
          <t>KDV1</t>
        </is>
      </c>
      <c r="J9" s="64" t="inlineStr">
        <is>
          <t>600 %20 gelir ve 391 %20 hesaplanan KDV</t>
        </is>
      </c>
    </row>
    <row r="10" ht="48" customHeight="1" s="34">
      <c r="A10" s="62">
        <f>KDV_HESAP_TABANI!A3</f>
        <v/>
      </c>
      <c r="B10" s="62" t="inlineStr">
        <is>
          <t>610 %10 İade ↔ 191 %10</t>
        </is>
      </c>
      <c r="C10" s="63">
        <f>KDV_HESAP_TABANI!L3</f>
        <v/>
      </c>
      <c r="D10" s="63">
        <f>KDV_HESAP_TABANI!M3</f>
        <v/>
      </c>
      <c r="E10" s="63">
        <f>KDV_HESAP_TABANI!N3</f>
        <v/>
      </c>
      <c r="F10" s="63">
        <f>KDV_HESAP_TABANI!O3</f>
        <v/>
      </c>
      <c r="G10" s="62">
        <f>KDV_HESAP_TABANI!P3</f>
        <v/>
      </c>
      <c r="H10" s="62">
        <f>IF(G10="HAREKET YOK","Hareket yok",IF(G10="TUTUYOR","Tolerans içinde",IF(B10="600 %10 Gelir ↔ 391 %10",IF(F10&gt;0,"391 %10 fazla: %20 olması gereken matrah %10 gelirde kalmış / çift KDV / mapping hatası olabilir","391 %10 eksik: gelir 391 KDV hesabına eksik aktarılmış olabilir"),IF(B10="600 %20 Gelir ↔ 391 %20",IF(F10&gt;0,"391 %20 fazla: KDV mükerrer veya fazla tahakkuk etmiş olabilir","391 %20 eksik: %20 gelir 391 hesabına eksik aktarılmış olabilir"),IF(B10="610 %10 İade ↔ 191 %10",IF(F10&gt;0,"191 satış iade KDV fazla: iade KDV mükerrer/manuel fazla olabilir","191 satış iade KDV eksik: iade fişi 191 hesabına bağlanmamış olabilir"),IF(B10="610 %20 İade ↔ 191 %20",IF(F10&gt;0,"191 %20 iade KDV fazla olabilir","191 %20 iade KDV eksik olabilir"),IF(B10="602 %20 Ciro/İskonto ↔ 391 İlave",IF(F10&gt;0,"391 ilave KDV fazla: alış iade/ciro primi mapping kontrol","391 ilave KDV eksik: alış iade/ciro primi mapping kontrol"),IF(B10="646 %10 Kur Kârı ↔ 391 İlave",IF(F10&gt;0,"391 ilave KDV fazla: kur farkı KDV oran/hesap eşleşmesi kontrol","391 ilave KDV eksik: kur farkı KDV mapping kontrol"),"Kontrol tanımı dışı"))))))))</f>
        <v/>
      </c>
      <c r="I10" s="62" t="inlineStr">
        <is>
          <t>KDV1</t>
        </is>
      </c>
      <c r="J10" s="62" t="inlineStr">
        <is>
          <t>610 satış iadesi fişi ve 191 satıştan iade KDV</t>
        </is>
      </c>
    </row>
    <row r="11" ht="48" customHeight="1" s="34">
      <c r="A11" s="64">
        <f>KDV_HESAP_TABANI!A3</f>
        <v/>
      </c>
      <c r="B11" s="64" t="inlineStr">
        <is>
          <t>610 %20 İade ↔ 191 %20</t>
        </is>
      </c>
      <c r="C11" s="65">
        <f>KDV_HESAP_TABANI!Q3</f>
        <v/>
      </c>
      <c r="D11" s="65">
        <f>KDV_HESAP_TABANI!R3</f>
        <v/>
      </c>
      <c r="E11" s="65">
        <f>KDV_HESAP_TABANI!S3</f>
        <v/>
      </c>
      <c r="F11" s="65">
        <f>KDV_HESAP_TABANI!T3</f>
        <v/>
      </c>
      <c r="G11" s="64">
        <f>KDV_HESAP_TABANI!U3</f>
        <v/>
      </c>
      <c r="H11" s="64">
        <f>IF(G11="HAREKET YOK","Hareket yok",IF(G11="TUTUYOR","Tolerans içinde",IF(B11="600 %10 Gelir ↔ 391 %10",IF(F11&gt;0,"391 %10 fazla: %20 olması gereken matrah %10 gelirde kalmış / çift KDV / mapping hatası olabilir","391 %10 eksik: gelir 391 KDV hesabına eksik aktarılmış olabilir"),IF(B11="600 %20 Gelir ↔ 391 %20",IF(F11&gt;0,"391 %20 fazla: KDV mükerrer veya fazla tahakkuk etmiş olabilir","391 %20 eksik: %20 gelir 391 hesabına eksik aktarılmış olabilir"),IF(B11="610 %10 İade ↔ 191 %10",IF(F11&gt;0,"191 satış iade KDV fazla: iade KDV mükerrer/manuel fazla olabilir","191 satış iade KDV eksik: iade fişi 191 hesabına bağlanmamış olabilir"),IF(B11="610 %20 İade ↔ 191 %20",IF(F11&gt;0,"191 %20 iade KDV fazla olabilir","191 %20 iade KDV eksik olabilir"),IF(B11="602 %20 Ciro/İskonto ↔ 391 İlave",IF(F11&gt;0,"391 ilave KDV fazla: alış iade/ciro primi mapping kontrol","391 ilave KDV eksik: alış iade/ciro primi mapping kontrol"),IF(B11="646 %10 Kur Kârı ↔ 391 İlave",IF(F11&gt;0,"391 ilave KDV fazla: kur farkı KDV oran/hesap eşleşmesi kontrol","391 ilave KDV eksik: kur farkı KDV mapping kontrol"),"Kontrol tanımı dışı"))))))))</f>
        <v/>
      </c>
      <c r="I11" s="64" t="inlineStr">
        <is>
          <t>KDV1</t>
        </is>
      </c>
      <c r="J11" s="64" t="inlineStr">
        <is>
          <t>610 %20 satış iadesi fişi ve 191 %20 iade KDV</t>
        </is>
      </c>
    </row>
    <row r="12" ht="48" customHeight="1" s="34">
      <c r="A12" s="62">
        <f>KDV_HESAP_TABANI!A3</f>
        <v/>
      </c>
      <c r="B12" s="62" t="inlineStr">
        <is>
          <t>602 %20 Ciro/İskonto ↔ 391 İlave</t>
        </is>
      </c>
      <c r="C12" s="63">
        <f>KDV_HESAP_TABANI!V3</f>
        <v/>
      </c>
      <c r="D12" s="63">
        <f>KDV_HESAP_TABANI!W3</f>
        <v/>
      </c>
      <c r="E12" s="63">
        <f>KDV_HESAP_TABANI!X3</f>
        <v/>
      </c>
      <c r="F12" s="63">
        <f>KDV_HESAP_TABANI!Y3</f>
        <v/>
      </c>
      <c r="G12" s="62">
        <f>KDV_HESAP_TABANI!Z3</f>
        <v/>
      </c>
      <c r="H12" s="62">
        <f>IF(G12="HAREKET YOK","Hareket yok",IF(G12="TUTUYOR","Tolerans içinde",IF(B12="600 %10 Gelir ↔ 391 %10",IF(F12&gt;0,"391 %10 fazla: %20 olması gereken matrah %10 gelirde kalmış / çift KDV / mapping hatası olabilir","391 %10 eksik: gelir 391 KDV hesabına eksik aktarılmış olabilir"),IF(B12="600 %20 Gelir ↔ 391 %20",IF(F12&gt;0,"391 %20 fazla: KDV mükerrer veya fazla tahakkuk etmiş olabilir","391 %20 eksik: %20 gelir 391 hesabına eksik aktarılmış olabilir"),IF(B12="610 %10 İade ↔ 191 %10",IF(F12&gt;0,"191 satış iade KDV fazla: iade KDV mükerrer/manuel fazla olabilir","191 satış iade KDV eksik: iade fişi 191 hesabına bağlanmamış olabilir"),IF(B12="610 %20 İade ↔ 191 %20",IF(F12&gt;0,"191 %20 iade KDV fazla olabilir","191 %20 iade KDV eksik olabilir"),IF(B12="602 %20 Ciro/İskonto ↔ 391 İlave",IF(F12&gt;0,"391 ilave KDV fazla: alış iade/ciro primi mapping kontrol","391 ilave KDV eksik: alış iade/ciro primi mapping kontrol"),IF(B12="646 %10 Kur Kârı ↔ 391 İlave",IF(F12&gt;0,"391 ilave KDV fazla: kur farkı KDV oran/hesap eşleşmesi kontrol","391 ilave KDV eksik: kur farkı KDV mapping kontrol"),"Kontrol tanımı dışı"))))))))</f>
        <v/>
      </c>
      <c r="I12" s="62" t="inlineStr">
        <is>
          <t>KDV1</t>
        </is>
      </c>
      <c r="J12" s="62" t="inlineStr">
        <is>
          <t>602 ciro/iskonto geliri ve 391 ilave KDV</t>
        </is>
      </c>
    </row>
    <row r="13" ht="48" customHeight="1" s="34">
      <c r="A13" s="64">
        <f>KDV_HESAP_TABANI!A3</f>
        <v/>
      </c>
      <c r="B13" s="64" t="inlineStr">
        <is>
          <t>646 %10 Kur Kârı ↔ 391 İlave</t>
        </is>
      </c>
      <c r="C13" s="65">
        <f>KDV_HESAP_TABANI!AA3</f>
        <v/>
      </c>
      <c r="D13" s="65">
        <f>KDV_HESAP_TABANI!AB3</f>
        <v/>
      </c>
      <c r="E13" s="65">
        <f>KDV_HESAP_TABANI!AC3</f>
        <v/>
      </c>
      <c r="F13" s="65">
        <f>KDV_HESAP_TABANI!AD3</f>
        <v/>
      </c>
      <c r="G13" s="64">
        <f>KDV_HESAP_TABANI!AE3</f>
        <v/>
      </c>
      <c r="H13" s="64">
        <f>IF(G13="HAREKET YOK","Hareket yok",IF(G13="TUTUYOR","Tolerans içinde",IF(B13="600 %10 Gelir ↔ 391 %10",IF(F13&gt;0,"391 %10 fazla: %20 olması gereken matrah %10 gelirde kalmış / çift KDV / mapping hatası olabilir","391 %10 eksik: gelir 391 KDV hesabına eksik aktarılmış olabilir"),IF(B13="600 %20 Gelir ↔ 391 %20",IF(F13&gt;0,"391 %20 fazla: KDV mükerrer veya fazla tahakkuk etmiş olabilir","391 %20 eksik: %20 gelir 391 hesabına eksik aktarılmış olabilir"),IF(B13="610 %10 İade ↔ 191 %10",IF(F13&gt;0,"191 satış iade KDV fazla: iade KDV mükerrer/manuel fazla olabilir","191 satış iade KDV eksik: iade fişi 191 hesabına bağlanmamış olabilir"),IF(B13="610 %20 İade ↔ 191 %20",IF(F13&gt;0,"191 %20 iade KDV fazla olabilir","191 %20 iade KDV eksik olabilir"),IF(B13="602 %20 Ciro/İskonto ↔ 391 İlave",IF(F13&gt;0,"391 ilave KDV fazla: alış iade/ciro primi mapping kontrol","391 ilave KDV eksik: alış iade/ciro primi mapping kontrol"),IF(B13="646 %10 Kur Kârı ↔ 391 İlave",IF(F13&gt;0,"391 ilave KDV fazla: kur farkı KDV oran/hesap eşleşmesi kontrol","391 ilave KDV eksik: kur farkı KDV mapping kontrol"),"Kontrol tanımı dışı"))))))))</f>
        <v/>
      </c>
      <c r="I13" s="64" t="inlineStr">
        <is>
          <t>KDV1</t>
        </is>
      </c>
      <c r="J13" s="64" t="inlineStr">
        <is>
          <t>646 kur farkı ve 391 ilave KDV</t>
        </is>
      </c>
    </row>
    <row r="14" ht="48" customHeight="1" s="34">
      <c r="A14" s="62">
        <f>KDV_HESAP_TABANI!A4</f>
        <v/>
      </c>
      <c r="B14" s="62" t="inlineStr">
        <is>
          <t>600 %10 Gelir ↔ 391 %10</t>
        </is>
      </c>
      <c r="C14" s="63">
        <f>KDV_HESAP_TABANI!B4</f>
        <v/>
      </c>
      <c r="D14" s="63">
        <f>KDV_HESAP_TABANI!C4</f>
        <v/>
      </c>
      <c r="E14" s="63">
        <f>KDV_HESAP_TABANI!D4</f>
        <v/>
      </c>
      <c r="F14" s="63">
        <f>KDV_HESAP_TABANI!E4</f>
        <v/>
      </c>
      <c r="G14" s="62">
        <f>KDV_HESAP_TABANI!F4</f>
        <v/>
      </c>
      <c r="H14" s="62">
        <f>IF(G14="HAREKET YOK","Hareket yok",IF(G14="TUTUYOR","Tolerans içinde",IF(B14="600 %10 Gelir ↔ 391 %10",IF(F14&gt;0,"391 %10 fazla: %20 olması gereken matrah %10 gelirde kalmış / çift KDV / mapping hatası olabilir","391 %10 eksik: gelir 391 KDV hesabına eksik aktarılmış olabilir"),IF(B14="600 %20 Gelir ↔ 391 %20",IF(F14&gt;0,"391 %20 fazla: KDV mükerrer veya fazla tahakkuk etmiş olabilir","391 %20 eksik: %20 gelir 391 hesabına eksik aktarılmış olabilir"),IF(B14="610 %10 İade ↔ 191 %10",IF(F14&gt;0,"191 satış iade KDV fazla: iade KDV mükerrer/manuel fazla olabilir","191 satış iade KDV eksik: iade fişi 191 hesabına bağlanmamış olabilir"),IF(B14="610 %20 İade ↔ 191 %20",IF(F14&gt;0,"191 %20 iade KDV fazla olabilir","191 %20 iade KDV eksik olabilir"),IF(B14="602 %20 Ciro/İskonto ↔ 391 İlave",IF(F14&gt;0,"391 ilave KDV fazla: alış iade/ciro primi mapping kontrol","391 ilave KDV eksik: alış iade/ciro primi mapping kontrol"),IF(B14="646 %10 Kur Kârı ↔ 391 İlave",IF(F14&gt;0,"391 ilave KDV fazla: kur farkı KDV oran/hesap eşleşmesi kontrol","391 ilave KDV eksik: kur farkı KDV mapping kontrol"),"Kontrol tanımı dışı"))))))))</f>
        <v/>
      </c>
      <c r="I14" s="62" t="inlineStr">
        <is>
          <t>KDV1</t>
        </is>
      </c>
      <c r="J14" s="62" t="inlineStr">
        <is>
          <t>600/391 gelir entegrasyon fişi ve ürün-KDV oran mapping</t>
        </is>
      </c>
    </row>
    <row r="15" ht="48" customHeight="1" s="34">
      <c r="A15" s="64">
        <f>KDV_HESAP_TABANI!A4</f>
        <v/>
      </c>
      <c r="B15" s="64" t="inlineStr">
        <is>
          <t>600 %20 Gelir ↔ 391 %20</t>
        </is>
      </c>
      <c r="C15" s="65">
        <f>KDV_HESAP_TABANI!G4</f>
        <v/>
      </c>
      <c r="D15" s="65">
        <f>KDV_HESAP_TABANI!H4</f>
        <v/>
      </c>
      <c r="E15" s="65">
        <f>KDV_HESAP_TABANI!I4</f>
        <v/>
      </c>
      <c r="F15" s="65">
        <f>KDV_HESAP_TABANI!J4</f>
        <v/>
      </c>
      <c r="G15" s="64">
        <f>KDV_HESAP_TABANI!K4</f>
        <v/>
      </c>
      <c r="H15" s="64">
        <f>IF(G15="HAREKET YOK","Hareket yok",IF(G15="TUTUYOR","Tolerans içinde",IF(B15="600 %10 Gelir ↔ 391 %10",IF(F15&gt;0,"391 %10 fazla: %20 olması gereken matrah %10 gelirde kalmış / çift KDV / mapping hatası olabilir","391 %10 eksik: gelir 391 KDV hesabına eksik aktarılmış olabilir"),IF(B15="600 %20 Gelir ↔ 391 %20",IF(F15&gt;0,"391 %20 fazla: KDV mükerrer veya fazla tahakkuk etmiş olabilir","391 %20 eksik: %20 gelir 391 hesabına eksik aktarılmış olabilir"),IF(B15="610 %10 İade ↔ 191 %10",IF(F15&gt;0,"191 satış iade KDV fazla: iade KDV mükerrer/manuel fazla olabilir","191 satış iade KDV eksik: iade fişi 191 hesabına bağlanmamış olabilir"),IF(B15="610 %20 İade ↔ 191 %20",IF(F15&gt;0,"191 %20 iade KDV fazla olabilir","191 %20 iade KDV eksik olabilir"),IF(B15="602 %20 Ciro/İskonto ↔ 391 İlave",IF(F15&gt;0,"391 ilave KDV fazla: alış iade/ciro primi mapping kontrol","391 ilave KDV eksik: alış iade/ciro primi mapping kontrol"),IF(B15="646 %10 Kur Kârı ↔ 391 İlave",IF(F15&gt;0,"391 ilave KDV fazla: kur farkı KDV oran/hesap eşleşmesi kontrol","391 ilave KDV eksik: kur farkı KDV mapping kontrol"),"Kontrol tanımı dışı"))))))))</f>
        <v/>
      </c>
      <c r="I15" s="64" t="inlineStr">
        <is>
          <t>KDV1</t>
        </is>
      </c>
      <c r="J15" s="64" t="inlineStr">
        <is>
          <t>600 %20 gelir ve 391 %20 hesaplanan KDV</t>
        </is>
      </c>
    </row>
    <row r="16" ht="48" customHeight="1" s="34">
      <c r="A16" s="62">
        <f>KDV_HESAP_TABANI!A4</f>
        <v/>
      </c>
      <c r="B16" s="62" t="inlineStr">
        <is>
          <t>610 %10 İade ↔ 191 %10</t>
        </is>
      </c>
      <c r="C16" s="63">
        <f>KDV_HESAP_TABANI!L4</f>
        <v/>
      </c>
      <c r="D16" s="63">
        <f>KDV_HESAP_TABANI!M4</f>
        <v/>
      </c>
      <c r="E16" s="63">
        <f>KDV_HESAP_TABANI!N4</f>
        <v/>
      </c>
      <c r="F16" s="63">
        <f>KDV_HESAP_TABANI!O4</f>
        <v/>
      </c>
      <c r="G16" s="62">
        <f>KDV_HESAP_TABANI!P4</f>
        <v/>
      </c>
      <c r="H16" s="62">
        <f>IF(G16="HAREKET YOK","Hareket yok",IF(G16="TUTUYOR","Tolerans içinde",IF(B16="600 %10 Gelir ↔ 391 %10",IF(F16&gt;0,"391 %10 fazla: %20 olması gereken matrah %10 gelirde kalmış / çift KDV / mapping hatası olabilir","391 %10 eksik: gelir 391 KDV hesabına eksik aktarılmış olabilir"),IF(B16="600 %20 Gelir ↔ 391 %20",IF(F16&gt;0,"391 %20 fazla: KDV mükerrer veya fazla tahakkuk etmiş olabilir","391 %20 eksik: %20 gelir 391 hesabına eksik aktarılmış olabilir"),IF(B16="610 %10 İade ↔ 191 %10",IF(F16&gt;0,"191 satış iade KDV fazla: iade KDV mükerrer/manuel fazla olabilir","191 satış iade KDV eksik: iade fişi 191 hesabına bağlanmamış olabilir"),IF(B16="610 %20 İade ↔ 191 %20",IF(F16&gt;0,"191 %20 iade KDV fazla olabilir","191 %20 iade KDV eksik olabilir"),IF(B16="602 %20 Ciro/İskonto ↔ 391 İlave",IF(F16&gt;0,"391 ilave KDV fazla: alış iade/ciro primi mapping kontrol","391 ilave KDV eksik: alış iade/ciro primi mapping kontrol"),IF(B16="646 %10 Kur Kârı ↔ 391 İlave",IF(F16&gt;0,"391 ilave KDV fazla: kur farkı KDV oran/hesap eşleşmesi kontrol","391 ilave KDV eksik: kur farkı KDV mapping kontrol"),"Kontrol tanımı dışı"))))))))</f>
        <v/>
      </c>
      <c r="I16" s="62" t="inlineStr">
        <is>
          <t>KDV1</t>
        </is>
      </c>
      <c r="J16" s="62" t="inlineStr">
        <is>
          <t>610 satış iadesi fişi ve 191 satıştan iade KDV</t>
        </is>
      </c>
    </row>
    <row r="17" ht="48" customHeight="1" s="34">
      <c r="A17" s="64">
        <f>KDV_HESAP_TABANI!A4</f>
        <v/>
      </c>
      <c r="B17" s="64" t="inlineStr">
        <is>
          <t>610 %20 İade ↔ 191 %20</t>
        </is>
      </c>
      <c r="C17" s="65">
        <f>KDV_HESAP_TABANI!Q4</f>
        <v/>
      </c>
      <c r="D17" s="65">
        <f>KDV_HESAP_TABANI!R4</f>
        <v/>
      </c>
      <c r="E17" s="65">
        <f>KDV_HESAP_TABANI!S4</f>
        <v/>
      </c>
      <c r="F17" s="65">
        <f>KDV_HESAP_TABANI!T4</f>
        <v/>
      </c>
      <c r="G17" s="64">
        <f>KDV_HESAP_TABANI!U4</f>
        <v/>
      </c>
      <c r="H17" s="64">
        <f>IF(G17="HAREKET YOK","Hareket yok",IF(G17="TUTUYOR","Tolerans içinde",IF(B17="600 %10 Gelir ↔ 391 %10",IF(F17&gt;0,"391 %10 fazla: %20 olması gereken matrah %10 gelirde kalmış / çift KDV / mapping hatası olabilir","391 %10 eksik: gelir 391 KDV hesabına eksik aktarılmış olabilir"),IF(B17="600 %20 Gelir ↔ 391 %20",IF(F17&gt;0,"391 %20 fazla: KDV mükerrer veya fazla tahakkuk etmiş olabilir","391 %20 eksik: %20 gelir 391 hesabına eksik aktarılmış olabilir"),IF(B17="610 %10 İade ↔ 191 %10",IF(F17&gt;0,"191 satış iade KDV fazla: iade KDV mükerrer/manuel fazla olabilir","191 satış iade KDV eksik: iade fişi 191 hesabına bağlanmamış olabilir"),IF(B17="610 %20 İade ↔ 191 %20",IF(F17&gt;0,"191 %20 iade KDV fazla olabilir","191 %20 iade KDV eksik olabilir"),IF(B17="602 %20 Ciro/İskonto ↔ 391 İlave",IF(F17&gt;0,"391 ilave KDV fazla: alış iade/ciro primi mapping kontrol","391 ilave KDV eksik: alış iade/ciro primi mapping kontrol"),IF(B17="646 %10 Kur Kârı ↔ 391 İlave",IF(F17&gt;0,"391 ilave KDV fazla: kur farkı KDV oran/hesap eşleşmesi kontrol","391 ilave KDV eksik: kur farkı KDV mapping kontrol"),"Kontrol tanımı dışı"))))))))</f>
        <v/>
      </c>
      <c r="I17" s="64" t="inlineStr">
        <is>
          <t>KDV1</t>
        </is>
      </c>
      <c r="J17" s="64" t="inlineStr">
        <is>
          <t>610 %20 satış iadesi fişi ve 191 %20 iade KDV</t>
        </is>
      </c>
    </row>
    <row r="18" ht="48" customHeight="1" s="34">
      <c r="A18" s="62">
        <f>KDV_HESAP_TABANI!A4</f>
        <v/>
      </c>
      <c r="B18" s="62" t="inlineStr">
        <is>
          <t>602 %20 Ciro/İskonto ↔ 391 İlave</t>
        </is>
      </c>
      <c r="C18" s="63">
        <f>KDV_HESAP_TABANI!V4</f>
        <v/>
      </c>
      <c r="D18" s="63">
        <f>KDV_HESAP_TABANI!W4</f>
        <v/>
      </c>
      <c r="E18" s="63">
        <f>KDV_HESAP_TABANI!X4</f>
        <v/>
      </c>
      <c r="F18" s="63">
        <f>KDV_HESAP_TABANI!Y4</f>
        <v/>
      </c>
      <c r="G18" s="62">
        <f>KDV_HESAP_TABANI!Z4</f>
        <v/>
      </c>
      <c r="H18" s="62">
        <f>IF(G18="HAREKET YOK","Hareket yok",IF(G18="TUTUYOR","Tolerans içinde",IF(B18="600 %10 Gelir ↔ 391 %10",IF(F18&gt;0,"391 %10 fazla: %20 olması gereken matrah %10 gelirde kalmış / çift KDV / mapping hatası olabilir","391 %10 eksik: gelir 391 KDV hesabına eksik aktarılmış olabilir"),IF(B18="600 %20 Gelir ↔ 391 %20",IF(F18&gt;0,"391 %20 fazla: KDV mükerrer veya fazla tahakkuk etmiş olabilir","391 %20 eksik: %20 gelir 391 hesabına eksik aktarılmış olabilir"),IF(B18="610 %10 İade ↔ 191 %10",IF(F18&gt;0,"191 satış iade KDV fazla: iade KDV mükerrer/manuel fazla olabilir","191 satış iade KDV eksik: iade fişi 191 hesabına bağlanmamış olabilir"),IF(B18="610 %20 İade ↔ 191 %20",IF(F18&gt;0,"191 %20 iade KDV fazla olabilir","191 %20 iade KDV eksik olabilir"),IF(B18="602 %20 Ciro/İskonto ↔ 391 İlave",IF(F18&gt;0,"391 ilave KDV fazla: alış iade/ciro primi mapping kontrol","391 ilave KDV eksik: alış iade/ciro primi mapping kontrol"),IF(B18="646 %10 Kur Kârı ↔ 391 İlave",IF(F18&gt;0,"391 ilave KDV fazla: kur farkı KDV oran/hesap eşleşmesi kontrol","391 ilave KDV eksik: kur farkı KDV mapping kontrol"),"Kontrol tanımı dışı"))))))))</f>
        <v/>
      </c>
      <c r="I18" s="62" t="inlineStr">
        <is>
          <t>KDV1</t>
        </is>
      </c>
      <c r="J18" s="62" t="inlineStr">
        <is>
          <t>602 ciro/iskonto geliri ve 391 ilave KDV</t>
        </is>
      </c>
    </row>
    <row r="19" ht="48" customHeight="1" s="34">
      <c r="A19" s="64">
        <f>KDV_HESAP_TABANI!A4</f>
        <v/>
      </c>
      <c r="B19" s="64" t="inlineStr">
        <is>
          <t>646 %10 Kur Kârı ↔ 391 İlave</t>
        </is>
      </c>
      <c r="C19" s="65">
        <f>KDV_HESAP_TABANI!AA4</f>
        <v/>
      </c>
      <c r="D19" s="65">
        <f>KDV_HESAP_TABANI!AB4</f>
        <v/>
      </c>
      <c r="E19" s="65">
        <f>KDV_HESAP_TABANI!AC4</f>
        <v/>
      </c>
      <c r="F19" s="65">
        <f>KDV_HESAP_TABANI!AD4</f>
        <v/>
      </c>
      <c r="G19" s="64">
        <f>KDV_HESAP_TABANI!AE4</f>
        <v/>
      </c>
      <c r="H19" s="64">
        <f>IF(G19="HAREKET YOK","Hareket yok",IF(G19="TUTUYOR","Tolerans içinde",IF(B19="600 %10 Gelir ↔ 391 %10",IF(F19&gt;0,"391 %10 fazla: %20 olması gereken matrah %10 gelirde kalmış / çift KDV / mapping hatası olabilir","391 %10 eksik: gelir 391 KDV hesabına eksik aktarılmış olabilir"),IF(B19="600 %20 Gelir ↔ 391 %20",IF(F19&gt;0,"391 %20 fazla: KDV mükerrer veya fazla tahakkuk etmiş olabilir","391 %20 eksik: %20 gelir 391 hesabına eksik aktarılmış olabilir"),IF(B19="610 %10 İade ↔ 191 %10",IF(F19&gt;0,"191 satış iade KDV fazla: iade KDV mükerrer/manuel fazla olabilir","191 satış iade KDV eksik: iade fişi 191 hesabına bağlanmamış olabilir"),IF(B19="610 %20 İade ↔ 191 %20",IF(F19&gt;0,"191 %20 iade KDV fazla olabilir","191 %20 iade KDV eksik olabilir"),IF(B19="602 %20 Ciro/İskonto ↔ 391 İlave",IF(F19&gt;0,"391 ilave KDV fazla: alış iade/ciro primi mapping kontrol","391 ilave KDV eksik: alış iade/ciro primi mapping kontrol"),IF(B19="646 %10 Kur Kârı ↔ 391 İlave",IF(F19&gt;0,"391 ilave KDV fazla: kur farkı KDV oran/hesap eşleşmesi kontrol","391 ilave KDV eksik: kur farkı KDV mapping kontrol"),"Kontrol tanımı dışı"))))))))</f>
        <v/>
      </c>
      <c r="I19" s="64" t="inlineStr">
        <is>
          <t>KDV1</t>
        </is>
      </c>
      <c r="J19" s="64" t="inlineStr">
        <is>
          <t>646 kur farkı ve 391 ilave KDV</t>
        </is>
      </c>
    </row>
    <row r="20" ht="48" customHeight="1" s="34">
      <c r="A20" s="62">
        <f>KDV_HESAP_TABANI!A5</f>
        <v/>
      </c>
      <c r="B20" s="62" t="inlineStr">
        <is>
          <t>600 %10 Gelir ↔ 391 %10</t>
        </is>
      </c>
      <c r="C20" s="63">
        <f>KDV_HESAP_TABANI!B5</f>
        <v/>
      </c>
      <c r="D20" s="63">
        <f>KDV_HESAP_TABANI!C5</f>
        <v/>
      </c>
      <c r="E20" s="63">
        <f>KDV_HESAP_TABANI!D5</f>
        <v/>
      </c>
      <c r="F20" s="63">
        <f>KDV_HESAP_TABANI!E5</f>
        <v/>
      </c>
      <c r="G20" s="62">
        <f>KDV_HESAP_TABANI!F5</f>
        <v/>
      </c>
      <c r="H20" s="62">
        <f>IF(G20="HAREKET YOK","Hareket yok",IF(G20="TUTUYOR","Tolerans içinde",IF(B20="600 %10 Gelir ↔ 391 %10",IF(F20&gt;0,"391 %10 fazla: %20 olması gereken matrah %10 gelirde kalmış / çift KDV / mapping hatası olabilir","391 %10 eksik: gelir 391 KDV hesabına eksik aktarılmış olabilir"),IF(B20="600 %20 Gelir ↔ 391 %20",IF(F20&gt;0,"391 %20 fazla: KDV mükerrer veya fazla tahakkuk etmiş olabilir","391 %20 eksik: %20 gelir 391 hesabına eksik aktarılmış olabilir"),IF(B20="610 %10 İade ↔ 191 %10",IF(F20&gt;0,"191 satış iade KDV fazla: iade KDV mükerrer/manuel fazla olabilir","191 satış iade KDV eksik: iade fişi 191 hesabına bağlanmamış olabilir"),IF(B20="610 %20 İade ↔ 191 %20",IF(F20&gt;0,"191 %20 iade KDV fazla olabilir","191 %20 iade KDV eksik olabilir"),IF(B20="602 %20 Ciro/İskonto ↔ 391 İlave",IF(F20&gt;0,"391 ilave KDV fazla: alış iade/ciro primi mapping kontrol","391 ilave KDV eksik: alış iade/ciro primi mapping kontrol"),IF(B20="646 %10 Kur Kârı ↔ 391 İlave",IF(F20&gt;0,"391 ilave KDV fazla: kur farkı KDV oran/hesap eşleşmesi kontrol","391 ilave KDV eksik: kur farkı KDV mapping kontrol"),"Kontrol tanımı dışı"))))))))</f>
        <v/>
      </c>
      <c r="I20" s="62" t="inlineStr">
        <is>
          <t>KDV1</t>
        </is>
      </c>
      <c r="J20" s="62" t="inlineStr">
        <is>
          <t>600/391 gelir entegrasyon fişi ve ürün-KDV oran mapping</t>
        </is>
      </c>
    </row>
    <row r="21" ht="48" customHeight="1" s="34">
      <c r="A21" s="64">
        <f>KDV_HESAP_TABANI!A5</f>
        <v/>
      </c>
      <c r="B21" s="64" t="inlineStr">
        <is>
          <t>600 %20 Gelir ↔ 391 %20</t>
        </is>
      </c>
      <c r="C21" s="65">
        <f>KDV_HESAP_TABANI!G5</f>
        <v/>
      </c>
      <c r="D21" s="65">
        <f>KDV_HESAP_TABANI!H5</f>
        <v/>
      </c>
      <c r="E21" s="65">
        <f>KDV_HESAP_TABANI!I5</f>
        <v/>
      </c>
      <c r="F21" s="65">
        <f>KDV_HESAP_TABANI!J5</f>
        <v/>
      </c>
      <c r="G21" s="64">
        <f>KDV_HESAP_TABANI!K5</f>
        <v/>
      </c>
      <c r="H21" s="64">
        <f>IF(G21="HAREKET YOK","Hareket yok",IF(G21="TUTUYOR","Tolerans içinde",IF(B21="600 %10 Gelir ↔ 391 %10",IF(F21&gt;0,"391 %10 fazla: %20 olması gereken matrah %10 gelirde kalmış / çift KDV / mapping hatası olabilir","391 %10 eksik: gelir 391 KDV hesabına eksik aktarılmış olabilir"),IF(B21="600 %20 Gelir ↔ 391 %20",IF(F21&gt;0,"391 %20 fazla: KDV mükerrer veya fazla tahakkuk etmiş olabilir","391 %20 eksik: %20 gelir 391 hesabına eksik aktarılmış olabilir"),IF(B21="610 %10 İade ↔ 191 %10",IF(F21&gt;0,"191 satış iade KDV fazla: iade KDV mükerrer/manuel fazla olabilir","191 satış iade KDV eksik: iade fişi 191 hesabına bağlanmamış olabilir"),IF(B21="610 %20 İade ↔ 191 %20",IF(F21&gt;0,"191 %20 iade KDV fazla olabilir","191 %20 iade KDV eksik olabilir"),IF(B21="602 %20 Ciro/İskonto ↔ 391 İlave",IF(F21&gt;0,"391 ilave KDV fazla: alış iade/ciro primi mapping kontrol","391 ilave KDV eksik: alış iade/ciro primi mapping kontrol"),IF(B21="646 %10 Kur Kârı ↔ 391 İlave",IF(F21&gt;0,"391 ilave KDV fazla: kur farkı KDV oran/hesap eşleşmesi kontrol","391 ilave KDV eksik: kur farkı KDV mapping kontrol"),"Kontrol tanımı dışı"))))))))</f>
        <v/>
      </c>
      <c r="I21" s="64" t="inlineStr">
        <is>
          <t>KDV1</t>
        </is>
      </c>
      <c r="J21" s="64" t="inlineStr">
        <is>
          <t>600 %20 gelir ve 391 %20 hesaplanan KDV</t>
        </is>
      </c>
    </row>
    <row r="22" ht="48" customHeight="1" s="34">
      <c r="A22" s="62">
        <f>KDV_HESAP_TABANI!A5</f>
        <v/>
      </c>
      <c r="B22" s="62" t="inlineStr">
        <is>
          <t>610 %10 İade ↔ 191 %10</t>
        </is>
      </c>
      <c r="C22" s="63">
        <f>KDV_HESAP_TABANI!L5</f>
        <v/>
      </c>
      <c r="D22" s="63">
        <f>KDV_HESAP_TABANI!M5</f>
        <v/>
      </c>
      <c r="E22" s="63">
        <f>KDV_HESAP_TABANI!N5</f>
        <v/>
      </c>
      <c r="F22" s="63">
        <f>KDV_HESAP_TABANI!O5</f>
        <v/>
      </c>
      <c r="G22" s="62">
        <f>KDV_HESAP_TABANI!P5</f>
        <v/>
      </c>
      <c r="H22" s="62">
        <f>IF(G22="HAREKET YOK","Hareket yok",IF(G22="TUTUYOR","Tolerans içinde",IF(B22="600 %10 Gelir ↔ 391 %10",IF(F22&gt;0,"391 %10 fazla: %20 olması gereken matrah %10 gelirde kalmış / çift KDV / mapping hatası olabilir","391 %10 eksik: gelir 391 KDV hesabına eksik aktarılmış olabilir"),IF(B22="600 %20 Gelir ↔ 391 %20",IF(F22&gt;0,"391 %20 fazla: KDV mükerrer veya fazla tahakkuk etmiş olabilir","391 %20 eksik: %20 gelir 391 hesabına eksik aktarılmış olabilir"),IF(B22="610 %10 İade ↔ 191 %10",IF(F22&gt;0,"191 satış iade KDV fazla: iade KDV mükerrer/manuel fazla olabilir","191 satış iade KDV eksik: iade fişi 191 hesabına bağlanmamış olabilir"),IF(B22="610 %20 İade ↔ 191 %20",IF(F22&gt;0,"191 %20 iade KDV fazla olabilir","191 %20 iade KDV eksik olabilir"),IF(B22="602 %20 Ciro/İskonto ↔ 391 İlave",IF(F22&gt;0,"391 ilave KDV fazla: alış iade/ciro primi mapping kontrol","391 ilave KDV eksik: alış iade/ciro primi mapping kontrol"),IF(B22="646 %10 Kur Kârı ↔ 391 İlave",IF(F22&gt;0,"391 ilave KDV fazla: kur farkı KDV oran/hesap eşleşmesi kontrol","391 ilave KDV eksik: kur farkı KDV mapping kontrol"),"Kontrol tanımı dışı"))))))))</f>
        <v/>
      </c>
      <c r="I22" s="62" t="inlineStr">
        <is>
          <t>KDV1</t>
        </is>
      </c>
      <c r="J22" s="62" t="inlineStr">
        <is>
          <t>610 satış iadesi fişi ve 191 satıştan iade KDV</t>
        </is>
      </c>
    </row>
    <row r="23" ht="48" customHeight="1" s="34">
      <c r="A23" s="64">
        <f>KDV_HESAP_TABANI!A5</f>
        <v/>
      </c>
      <c r="B23" s="64" t="inlineStr">
        <is>
          <t>610 %20 İade ↔ 191 %20</t>
        </is>
      </c>
      <c r="C23" s="65">
        <f>KDV_HESAP_TABANI!Q5</f>
        <v/>
      </c>
      <c r="D23" s="65">
        <f>KDV_HESAP_TABANI!R5</f>
        <v/>
      </c>
      <c r="E23" s="65">
        <f>KDV_HESAP_TABANI!S5</f>
        <v/>
      </c>
      <c r="F23" s="65">
        <f>KDV_HESAP_TABANI!T5</f>
        <v/>
      </c>
      <c r="G23" s="64">
        <f>KDV_HESAP_TABANI!U5</f>
        <v/>
      </c>
      <c r="H23" s="64">
        <f>IF(G23="HAREKET YOK","Hareket yok",IF(G23="TUTUYOR","Tolerans içinde",IF(B23="600 %10 Gelir ↔ 391 %10",IF(F23&gt;0,"391 %10 fazla: %20 olması gereken matrah %10 gelirde kalmış / çift KDV / mapping hatası olabilir","391 %10 eksik: gelir 391 KDV hesabına eksik aktarılmış olabilir"),IF(B23="600 %20 Gelir ↔ 391 %20",IF(F23&gt;0,"391 %20 fazla: KDV mükerrer veya fazla tahakkuk etmiş olabilir","391 %20 eksik: %20 gelir 391 hesabına eksik aktarılmış olabilir"),IF(B23="610 %10 İade ↔ 191 %10",IF(F23&gt;0,"191 satış iade KDV fazla: iade KDV mükerrer/manuel fazla olabilir","191 satış iade KDV eksik: iade fişi 191 hesabına bağlanmamış olabilir"),IF(B23="610 %20 İade ↔ 191 %20",IF(F23&gt;0,"191 %20 iade KDV fazla olabilir","191 %20 iade KDV eksik olabilir"),IF(B23="602 %20 Ciro/İskonto ↔ 391 İlave",IF(F23&gt;0,"391 ilave KDV fazla: alış iade/ciro primi mapping kontrol","391 ilave KDV eksik: alış iade/ciro primi mapping kontrol"),IF(B23="646 %10 Kur Kârı ↔ 391 İlave",IF(F23&gt;0,"391 ilave KDV fazla: kur farkı KDV oran/hesap eşleşmesi kontrol","391 ilave KDV eksik: kur farkı KDV mapping kontrol"),"Kontrol tanımı dışı"))))))))</f>
        <v/>
      </c>
      <c r="I23" s="64" t="inlineStr">
        <is>
          <t>KDV1</t>
        </is>
      </c>
      <c r="J23" s="64" t="inlineStr">
        <is>
          <t>610 %20 satış iadesi fişi ve 191 %20 iade KDV</t>
        </is>
      </c>
    </row>
    <row r="24" ht="48" customHeight="1" s="34">
      <c r="A24" s="62">
        <f>KDV_HESAP_TABANI!A5</f>
        <v/>
      </c>
      <c r="B24" s="62" t="inlineStr">
        <is>
          <t>602 %20 Ciro/İskonto ↔ 391 İlave</t>
        </is>
      </c>
      <c r="C24" s="63">
        <f>KDV_HESAP_TABANI!V5</f>
        <v/>
      </c>
      <c r="D24" s="63">
        <f>KDV_HESAP_TABANI!W5</f>
        <v/>
      </c>
      <c r="E24" s="63">
        <f>KDV_HESAP_TABANI!X5</f>
        <v/>
      </c>
      <c r="F24" s="63">
        <f>KDV_HESAP_TABANI!Y5</f>
        <v/>
      </c>
      <c r="G24" s="62">
        <f>KDV_HESAP_TABANI!Z5</f>
        <v/>
      </c>
      <c r="H24" s="62">
        <f>IF(G24="HAREKET YOK","Hareket yok",IF(G24="TUTUYOR","Tolerans içinde",IF(B24="600 %10 Gelir ↔ 391 %10",IF(F24&gt;0,"391 %10 fazla: %20 olması gereken matrah %10 gelirde kalmış / çift KDV / mapping hatası olabilir","391 %10 eksik: gelir 391 KDV hesabına eksik aktarılmış olabilir"),IF(B24="600 %20 Gelir ↔ 391 %20",IF(F24&gt;0,"391 %20 fazla: KDV mükerrer veya fazla tahakkuk etmiş olabilir","391 %20 eksik: %20 gelir 391 hesabına eksik aktarılmış olabilir"),IF(B24="610 %10 İade ↔ 191 %10",IF(F24&gt;0,"191 satış iade KDV fazla: iade KDV mükerrer/manuel fazla olabilir","191 satış iade KDV eksik: iade fişi 191 hesabına bağlanmamış olabilir"),IF(B24="610 %20 İade ↔ 191 %20",IF(F24&gt;0,"191 %20 iade KDV fazla olabilir","191 %20 iade KDV eksik olabilir"),IF(B24="602 %20 Ciro/İskonto ↔ 391 İlave",IF(F24&gt;0,"391 ilave KDV fazla: alış iade/ciro primi mapping kontrol","391 ilave KDV eksik: alış iade/ciro primi mapping kontrol"),IF(B24="646 %10 Kur Kârı ↔ 391 İlave",IF(F24&gt;0,"391 ilave KDV fazla: kur farkı KDV oran/hesap eşleşmesi kontrol","391 ilave KDV eksik: kur farkı KDV mapping kontrol"),"Kontrol tanımı dışı"))))))))</f>
        <v/>
      </c>
      <c r="I24" s="62" t="inlineStr">
        <is>
          <t>KDV1</t>
        </is>
      </c>
      <c r="J24" s="62" t="inlineStr">
        <is>
          <t>602 ciro/iskonto geliri ve 391 ilave KDV</t>
        </is>
      </c>
    </row>
    <row r="25" ht="48" customHeight="1" s="34">
      <c r="A25" s="64">
        <f>KDV_HESAP_TABANI!A5</f>
        <v/>
      </c>
      <c r="B25" s="64" t="inlineStr">
        <is>
          <t>646 %10 Kur Kârı ↔ 391 İlave</t>
        </is>
      </c>
      <c r="C25" s="65">
        <f>KDV_HESAP_TABANI!AA5</f>
        <v/>
      </c>
      <c r="D25" s="65">
        <f>KDV_HESAP_TABANI!AB5</f>
        <v/>
      </c>
      <c r="E25" s="65">
        <f>KDV_HESAP_TABANI!AC5</f>
        <v/>
      </c>
      <c r="F25" s="65">
        <f>KDV_HESAP_TABANI!AD5</f>
        <v/>
      </c>
      <c r="G25" s="64">
        <f>KDV_HESAP_TABANI!AE5</f>
        <v/>
      </c>
      <c r="H25" s="64">
        <f>IF(G25="HAREKET YOK","Hareket yok",IF(G25="TUTUYOR","Tolerans içinde",IF(B25="600 %10 Gelir ↔ 391 %10",IF(F25&gt;0,"391 %10 fazla: %20 olması gereken matrah %10 gelirde kalmış / çift KDV / mapping hatası olabilir","391 %10 eksik: gelir 391 KDV hesabına eksik aktarılmış olabilir"),IF(B25="600 %20 Gelir ↔ 391 %20",IF(F25&gt;0,"391 %20 fazla: KDV mükerrer veya fazla tahakkuk etmiş olabilir","391 %20 eksik: %20 gelir 391 hesabına eksik aktarılmış olabilir"),IF(B25="610 %10 İade ↔ 191 %10",IF(F25&gt;0,"191 satış iade KDV fazla: iade KDV mükerrer/manuel fazla olabilir","191 satış iade KDV eksik: iade fişi 191 hesabına bağlanmamış olabilir"),IF(B25="610 %20 İade ↔ 191 %20",IF(F25&gt;0,"191 %20 iade KDV fazla olabilir","191 %20 iade KDV eksik olabilir"),IF(B25="602 %20 Ciro/İskonto ↔ 391 İlave",IF(F25&gt;0,"391 ilave KDV fazla: alış iade/ciro primi mapping kontrol","391 ilave KDV eksik: alış iade/ciro primi mapping kontrol"),IF(B25="646 %10 Kur Kârı ↔ 391 İlave",IF(F25&gt;0,"391 ilave KDV fazla: kur farkı KDV oran/hesap eşleşmesi kontrol","391 ilave KDV eksik: kur farkı KDV mapping kontrol"),"Kontrol tanımı dışı"))))))))</f>
        <v/>
      </c>
      <c r="I25" s="64" t="inlineStr">
        <is>
          <t>KDV1</t>
        </is>
      </c>
      <c r="J25" s="64" t="inlineStr">
        <is>
          <t>646 kur farkı ve 391 ilave KDV</t>
        </is>
      </c>
    </row>
    <row r="26" ht="48" customHeight="1" s="34">
      <c r="A26" s="62">
        <f>KDV_HESAP_TABANI!A6</f>
        <v/>
      </c>
      <c r="B26" s="62" t="inlineStr">
        <is>
          <t>600 %10 Gelir ↔ 391 %10</t>
        </is>
      </c>
      <c r="C26" s="63">
        <f>KDV_HESAP_TABANI!B6</f>
        <v/>
      </c>
      <c r="D26" s="63">
        <f>KDV_HESAP_TABANI!C6</f>
        <v/>
      </c>
      <c r="E26" s="63">
        <f>KDV_HESAP_TABANI!D6</f>
        <v/>
      </c>
      <c r="F26" s="63">
        <f>KDV_HESAP_TABANI!E6</f>
        <v/>
      </c>
      <c r="G26" s="62">
        <f>KDV_HESAP_TABANI!F6</f>
        <v/>
      </c>
      <c r="H26" s="62">
        <f>IF(G26="HAREKET YOK","Hareket yok",IF(G26="TUTUYOR","Tolerans içinde",IF(B26="600 %10 Gelir ↔ 391 %10",IF(F26&gt;0,"391 %10 fazla: %20 olması gereken matrah %10 gelirde kalmış / çift KDV / mapping hatası olabilir","391 %10 eksik: gelir 391 KDV hesabına eksik aktarılmış olabilir"),IF(B26="600 %20 Gelir ↔ 391 %20",IF(F26&gt;0,"391 %20 fazla: KDV mükerrer veya fazla tahakkuk etmiş olabilir","391 %20 eksik: %20 gelir 391 hesabına eksik aktarılmış olabilir"),IF(B26="610 %10 İade ↔ 191 %10",IF(F26&gt;0,"191 satış iade KDV fazla: iade KDV mükerrer/manuel fazla olabilir","191 satış iade KDV eksik: iade fişi 191 hesabına bağlanmamış olabilir"),IF(B26="610 %20 İade ↔ 191 %20",IF(F26&gt;0,"191 %20 iade KDV fazla olabilir","191 %20 iade KDV eksik olabilir"),IF(B26="602 %20 Ciro/İskonto ↔ 391 İlave",IF(F26&gt;0,"391 ilave KDV fazla: alış iade/ciro primi mapping kontrol","391 ilave KDV eksik: alış iade/ciro primi mapping kontrol"),IF(B26="646 %10 Kur Kârı ↔ 391 İlave",IF(F26&gt;0,"391 ilave KDV fazla: kur farkı KDV oran/hesap eşleşmesi kontrol","391 ilave KDV eksik: kur farkı KDV mapping kontrol"),"Kontrol tanımı dışı"))))))))</f>
        <v/>
      </c>
      <c r="I26" s="62" t="inlineStr">
        <is>
          <t>KDV1</t>
        </is>
      </c>
      <c r="J26" s="62" t="inlineStr">
        <is>
          <t>600/391 gelir entegrasyon fişi ve ürün-KDV oran mapping</t>
        </is>
      </c>
    </row>
    <row r="27" ht="48" customHeight="1" s="34">
      <c r="A27" s="64">
        <f>KDV_HESAP_TABANI!A6</f>
        <v/>
      </c>
      <c r="B27" s="64" t="inlineStr">
        <is>
          <t>600 %20 Gelir ↔ 391 %20</t>
        </is>
      </c>
      <c r="C27" s="65">
        <f>KDV_HESAP_TABANI!G6</f>
        <v/>
      </c>
      <c r="D27" s="65">
        <f>KDV_HESAP_TABANI!H6</f>
        <v/>
      </c>
      <c r="E27" s="65">
        <f>KDV_HESAP_TABANI!I6</f>
        <v/>
      </c>
      <c r="F27" s="65">
        <f>KDV_HESAP_TABANI!J6</f>
        <v/>
      </c>
      <c r="G27" s="64">
        <f>KDV_HESAP_TABANI!K6</f>
        <v/>
      </c>
      <c r="H27" s="64">
        <f>IF(G27="HAREKET YOK","Hareket yok",IF(G27="TUTUYOR","Tolerans içinde",IF(B27="600 %10 Gelir ↔ 391 %10",IF(F27&gt;0,"391 %10 fazla: %20 olması gereken matrah %10 gelirde kalmış / çift KDV / mapping hatası olabilir","391 %10 eksik: gelir 391 KDV hesabına eksik aktarılmış olabilir"),IF(B27="600 %20 Gelir ↔ 391 %20",IF(F27&gt;0,"391 %20 fazla: KDV mükerrer veya fazla tahakkuk etmiş olabilir","391 %20 eksik: %20 gelir 391 hesabına eksik aktarılmış olabilir"),IF(B27="610 %10 İade ↔ 191 %10",IF(F27&gt;0,"191 satış iade KDV fazla: iade KDV mükerrer/manuel fazla olabilir","191 satış iade KDV eksik: iade fişi 191 hesabına bağlanmamış olabilir"),IF(B27="610 %20 İade ↔ 191 %20",IF(F27&gt;0,"191 %20 iade KDV fazla olabilir","191 %20 iade KDV eksik olabilir"),IF(B27="602 %20 Ciro/İskonto ↔ 391 İlave",IF(F27&gt;0,"391 ilave KDV fazla: alış iade/ciro primi mapping kontrol","391 ilave KDV eksik: alış iade/ciro primi mapping kontrol"),IF(B27="646 %10 Kur Kârı ↔ 391 İlave",IF(F27&gt;0,"391 ilave KDV fazla: kur farkı KDV oran/hesap eşleşmesi kontrol","391 ilave KDV eksik: kur farkı KDV mapping kontrol"),"Kontrol tanımı dışı"))))))))</f>
        <v/>
      </c>
      <c r="I27" s="64" t="inlineStr">
        <is>
          <t>KDV1</t>
        </is>
      </c>
      <c r="J27" s="64" t="inlineStr">
        <is>
          <t>600 %20 gelir ve 391 %20 hesaplanan KDV</t>
        </is>
      </c>
    </row>
    <row r="28" ht="48" customHeight="1" s="34">
      <c r="A28" s="62">
        <f>KDV_HESAP_TABANI!A6</f>
        <v/>
      </c>
      <c r="B28" s="62" t="inlineStr">
        <is>
          <t>610 %10 İade ↔ 191 %10</t>
        </is>
      </c>
      <c r="C28" s="63">
        <f>KDV_HESAP_TABANI!L6</f>
        <v/>
      </c>
      <c r="D28" s="63">
        <f>KDV_HESAP_TABANI!M6</f>
        <v/>
      </c>
      <c r="E28" s="63">
        <f>KDV_HESAP_TABANI!N6</f>
        <v/>
      </c>
      <c r="F28" s="63">
        <f>KDV_HESAP_TABANI!O6</f>
        <v/>
      </c>
      <c r="G28" s="62">
        <f>KDV_HESAP_TABANI!P6</f>
        <v/>
      </c>
      <c r="H28" s="62">
        <f>IF(G28="HAREKET YOK","Hareket yok",IF(G28="TUTUYOR","Tolerans içinde",IF(B28="600 %10 Gelir ↔ 391 %10",IF(F28&gt;0,"391 %10 fazla: %20 olması gereken matrah %10 gelirde kalmış / çift KDV / mapping hatası olabilir","391 %10 eksik: gelir 391 KDV hesabına eksik aktarılmış olabilir"),IF(B28="600 %20 Gelir ↔ 391 %20",IF(F28&gt;0,"391 %20 fazla: KDV mükerrer veya fazla tahakkuk etmiş olabilir","391 %20 eksik: %20 gelir 391 hesabına eksik aktarılmış olabilir"),IF(B28="610 %10 İade ↔ 191 %10",IF(F28&gt;0,"191 satış iade KDV fazla: iade KDV mükerrer/manuel fazla olabilir","191 satış iade KDV eksik: iade fişi 191 hesabına bağlanmamış olabilir"),IF(B28="610 %20 İade ↔ 191 %20",IF(F28&gt;0,"191 %20 iade KDV fazla olabilir","191 %20 iade KDV eksik olabilir"),IF(B28="602 %20 Ciro/İskonto ↔ 391 İlave",IF(F28&gt;0,"391 ilave KDV fazla: alış iade/ciro primi mapping kontrol","391 ilave KDV eksik: alış iade/ciro primi mapping kontrol"),IF(B28="646 %10 Kur Kârı ↔ 391 İlave",IF(F28&gt;0,"391 ilave KDV fazla: kur farkı KDV oran/hesap eşleşmesi kontrol","391 ilave KDV eksik: kur farkı KDV mapping kontrol"),"Kontrol tanımı dışı"))))))))</f>
        <v/>
      </c>
      <c r="I28" s="62" t="inlineStr">
        <is>
          <t>KDV1</t>
        </is>
      </c>
      <c r="J28" s="62" t="inlineStr">
        <is>
          <t>610 satış iadesi fişi ve 191 satıştan iade KDV</t>
        </is>
      </c>
    </row>
    <row r="29" ht="48" customHeight="1" s="34">
      <c r="A29" s="64">
        <f>KDV_HESAP_TABANI!A6</f>
        <v/>
      </c>
      <c r="B29" s="64" t="inlineStr">
        <is>
          <t>610 %20 İade ↔ 191 %20</t>
        </is>
      </c>
      <c r="C29" s="65">
        <f>KDV_HESAP_TABANI!Q6</f>
        <v/>
      </c>
      <c r="D29" s="65">
        <f>KDV_HESAP_TABANI!R6</f>
        <v/>
      </c>
      <c r="E29" s="65">
        <f>KDV_HESAP_TABANI!S6</f>
        <v/>
      </c>
      <c r="F29" s="65">
        <f>KDV_HESAP_TABANI!T6</f>
        <v/>
      </c>
      <c r="G29" s="64">
        <f>KDV_HESAP_TABANI!U6</f>
        <v/>
      </c>
      <c r="H29" s="64">
        <f>IF(G29="HAREKET YOK","Hareket yok",IF(G29="TUTUYOR","Tolerans içinde",IF(B29="600 %10 Gelir ↔ 391 %10",IF(F29&gt;0,"391 %10 fazla: %20 olması gereken matrah %10 gelirde kalmış / çift KDV / mapping hatası olabilir","391 %10 eksik: gelir 391 KDV hesabına eksik aktarılmış olabilir"),IF(B29="600 %20 Gelir ↔ 391 %20",IF(F29&gt;0,"391 %20 fazla: KDV mükerrer veya fazla tahakkuk etmiş olabilir","391 %20 eksik: %20 gelir 391 hesabına eksik aktarılmış olabilir"),IF(B29="610 %10 İade ↔ 191 %10",IF(F29&gt;0,"191 satış iade KDV fazla: iade KDV mükerrer/manuel fazla olabilir","191 satış iade KDV eksik: iade fişi 191 hesabına bağlanmamış olabilir"),IF(B29="610 %20 İade ↔ 191 %20",IF(F29&gt;0,"191 %20 iade KDV fazla olabilir","191 %20 iade KDV eksik olabilir"),IF(B29="602 %20 Ciro/İskonto ↔ 391 İlave",IF(F29&gt;0,"391 ilave KDV fazla: alış iade/ciro primi mapping kontrol","391 ilave KDV eksik: alış iade/ciro primi mapping kontrol"),IF(B29="646 %10 Kur Kârı ↔ 391 İlave",IF(F29&gt;0,"391 ilave KDV fazla: kur farkı KDV oran/hesap eşleşmesi kontrol","391 ilave KDV eksik: kur farkı KDV mapping kontrol"),"Kontrol tanımı dışı"))))))))</f>
        <v/>
      </c>
      <c r="I29" s="64" t="inlineStr">
        <is>
          <t>KDV1</t>
        </is>
      </c>
      <c r="J29" s="64" t="inlineStr">
        <is>
          <t>610 %20 satış iadesi fişi ve 191 %20 iade KDV</t>
        </is>
      </c>
    </row>
    <row r="30" ht="48" customHeight="1" s="34">
      <c r="A30" s="62">
        <f>KDV_HESAP_TABANI!A6</f>
        <v/>
      </c>
      <c r="B30" s="62" t="inlineStr">
        <is>
          <t>602 %20 Ciro/İskonto ↔ 391 İlave</t>
        </is>
      </c>
      <c r="C30" s="63">
        <f>KDV_HESAP_TABANI!V6</f>
        <v/>
      </c>
      <c r="D30" s="63">
        <f>KDV_HESAP_TABANI!W6</f>
        <v/>
      </c>
      <c r="E30" s="63">
        <f>KDV_HESAP_TABANI!X6</f>
        <v/>
      </c>
      <c r="F30" s="63">
        <f>KDV_HESAP_TABANI!Y6</f>
        <v/>
      </c>
      <c r="G30" s="62">
        <f>KDV_HESAP_TABANI!Z6</f>
        <v/>
      </c>
      <c r="H30" s="62">
        <f>IF(G30="HAREKET YOK","Hareket yok",IF(G30="TUTUYOR","Tolerans içinde",IF(B30="600 %10 Gelir ↔ 391 %10",IF(F30&gt;0,"391 %10 fazla: %20 olması gereken matrah %10 gelirde kalmış / çift KDV / mapping hatası olabilir","391 %10 eksik: gelir 391 KDV hesabına eksik aktarılmış olabilir"),IF(B30="600 %20 Gelir ↔ 391 %20",IF(F30&gt;0,"391 %20 fazla: KDV mükerrer veya fazla tahakkuk etmiş olabilir","391 %20 eksik: %20 gelir 391 hesabına eksik aktarılmış olabilir"),IF(B30="610 %10 İade ↔ 191 %10",IF(F30&gt;0,"191 satış iade KDV fazla: iade KDV mükerrer/manuel fazla olabilir","191 satış iade KDV eksik: iade fişi 191 hesabına bağlanmamış olabilir"),IF(B30="610 %20 İade ↔ 191 %20",IF(F30&gt;0,"191 %20 iade KDV fazla olabilir","191 %20 iade KDV eksik olabilir"),IF(B30="602 %20 Ciro/İskonto ↔ 391 İlave",IF(F30&gt;0,"391 ilave KDV fazla: alış iade/ciro primi mapping kontrol","391 ilave KDV eksik: alış iade/ciro primi mapping kontrol"),IF(B30="646 %10 Kur Kârı ↔ 391 İlave",IF(F30&gt;0,"391 ilave KDV fazla: kur farkı KDV oran/hesap eşleşmesi kontrol","391 ilave KDV eksik: kur farkı KDV mapping kontrol"),"Kontrol tanımı dışı"))))))))</f>
        <v/>
      </c>
      <c r="I30" s="62" t="inlineStr">
        <is>
          <t>KDV1</t>
        </is>
      </c>
      <c r="J30" s="62" t="inlineStr">
        <is>
          <t>602 ciro/iskonto geliri ve 391 ilave KDV</t>
        </is>
      </c>
    </row>
    <row r="31" ht="48" customHeight="1" s="34">
      <c r="A31" s="64">
        <f>KDV_HESAP_TABANI!A6</f>
        <v/>
      </c>
      <c r="B31" s="64" t="inlineStr">
        <is>
          <t>646 %10 Kur Kârı ↔ 391 İlave</t>
        </is>
      </c>
      <c r="C31" s="65">
        <f>KDV_HESAP_TABANI!AA6</f>
        <v/>
      </c>
      <c r="D31" s="65">
        <f>KDV_HESAP_TABANI!AB6</f>
        <v/>
      </c>
      <c r="E31" s="65">
        <f>KDV_HESAP_TABANI!AC6</f>
        <v/>
      </c>
      <c r="F31" s="65">
        <f>KDV_HESAP_TABANI!AD6</f>
        <v/>
      </c>
      <c r="G31" s="64">
        <f>KDV_HESAP_TABANI!AE6</f>
        <v/>
      </c>
      <c r="H31" s="64">
        <f>IF(G31="HAREKET YOK","Hareket yok",IF(G31="TUTUYOR","Tolerans içinde",IF(B31="600 %10 Gelir ↔ 391 %10",IF(F31&gt;0,"391 %10 fazla: %20 olması gereken matrah %10 gelirde kalmış / çift KDV / mapping hatası olabilir","391 %10 eksik: gelir 391 KDV hesabına eksik aktarılmış olabilir"),IF(B31="600 %20 Gelir ↔ 391 %20",IF(F31&gt;0,"391 %20 fazla: KDV mükerrer veya fazla tahakkuk etmiş olabilir","391 %20 eksik: %20 gelir 391 hesabına eksik aktarılmış olabilir"),IF(B31="610 %10 İade ↔ 191 %10",IF(F31&gt;0,"191 satış iade KDV fazla: iade KDV mükerrer/manuel fazla olabilir","191 satış iade KDV eksik: iade fişi 191 hesabına bağlanmamış olabilir"),IF(B31="610 %20 İade ↔ 191 %20",IF(F31&gt;0,"191 %20 iade KDV fazla olabilir","191 %20 iade KDV eksik olabilir"),IF(B31="602 %20 Ciro/İskonto ↔ 391 İlave",IF(F31&gt;0,"391 ilave KDV fazla: alış iade/ciro primi mapping kontrol","391 ilave KDV eksik: alış iade/ciro primi mapping kontrol"),IF(B31="646 %10 Kur Kârı ↔ 391 İlave",IF(F31&gt;0,"391 ilave KDV fazla: kur farkı KDV oran/hesap eşleşmesi kontrol","391 ilave KDV eksik: kur farkı KDV mapping kontrol"),"Kontrol tanımı dışı"))))))))</f>
        <v/>
      </c>
      <c r="I31" s="64" t="inlineStr">
        <is>
          <t>KDV1</t>
        </is>
      </c>
      <c r="J31" s="64" t="inlineStr">
        <is>
          <t>646 kur farkı ve 391 ilave KDV</t>
        </is>
      </c>
    </row>
    <row r="32" ht="48" customHeight="1" s="34">
      <c r="A32" s="62">
        <f>KDV_HESAP_TABANI!A7</f>
        <v/>
      </c>
      <c r="B32" s="62" t="inlineStr">
        <is>
          <t>600 %10 Gelir ↔ 391 %10</t>
        </is>
      </c>
      <c r="C32" s="63">
        <f>KDV_HESAP_TABANI!B7</f>
        <v/>
      </c>
      <c r="D32" s="63">
        <f>KDV_HESAP_TABANI!C7</f>
        <v/>
      </c>
      <c r="E32" s="63">
        <f>KDV_HESAP_TABANI!D7</f>
        <v/>
      </c>
      <c r="F32" s="63">
        <f>KDV_HESAP_TABANI!E7</f>
        <v/>
      </c>
      <c r="G32" s="62">
        <f>KDV_HESAP_TABANI!F7</f>
        <v/>
      </c>
      <c r="H32" s="62">
        <f>IF(G32="HAREKET YOK","Hareket yok",IF(G32="TUTUYOR","Tolerans içinde",IF(B32="600 %10 Gelir ↔ 391 %10",IF(F32&gt;0,"391 %10 fazla: %20 olması gereken matrah %10 gelirde kalmış / çift KDV / mapping hatası olabilir","391 %10 eksik: gelir 391 KDV hesabına eksik aktarılmış olabilir"),IF(B32="600 %20 Gelir ↔ 391 %20",IF(F32&gt;0,"391 %20 fazla: KDV mükerrer veya fazla tahakkuk etmiş olabilir","391 %20 eksik: %20 gelir 391 hesabına eksik aktarılmış olabilir"),IF(B32="610 %10 İade ↔ 191 %10",IF(F32&gt;0,"191 satış iade KDV fazla: iade KDV mükerrer/manuel fazla olabilir","191 satış iade KDV eksik: iade fişi 191 hesabına bağlanmamış olabilir"),IF(B32="610 %20 İade ↔ 191 %20",IF(F32&gt;0,"191 %20 iade KDV fazla olabilir","191 %20 iade KDV eksik olabilir"),IF(B32="602 %20 Ciro/İskonto ↔ 391 İlave",IF(F32&gt;0,"391 ilave KDV fazla: alış iade/ciro primi mapping kontrol","391 ilave KDV eksik: alış iade/ciro primi mapping kontrol"),IF(B32="646 %10 Kur Kârı ↔ 391 İlave",IF(F32&gt;0,"391 ilave KDV fazla: kur farkı KDV oran/hesap eşleşmesi kontrol","391 ilave KDV eksik: kur farkı KDV mapping kontrol"),"Kontrol tanımı dışı"))))))))</f>
        <v/>
      </c>
      <c r="I32" s="62" t="inlineStr">
        <is>
          <t>KDV1</t>
        </is>
      </c>
      <c r="J32" s="62" t="inlineStr">
        <is>
          <t>600/391 gelir entegrasyon fişi ve ürün-KDV oran mapping</t>
        </is>
      </c>
    </row>
    <row r="33" ht="48" customHeight="1" s="34">
      <c r="A33" s="64">
        <f>KDV_HESAP_TABANI!A7</f>
        <v/>
      </c>
      <c r="B33" s="64" t="inlineStr">
        <is>
          <t>600 %20 Gelir ↔ 391 %20</t>
        </is>
      </c>
      <c r="C33" s="65">
        <f>KDV_HESAP_TABANI!G7</f>
        <v/>
      </c>
      <c r="D33" s="65">
        <f>KDV_HESAP_TABANI!H7</f>
        <v/>
      </c>
      <c r="E33" s="65">
        <f>KDV_HESAP_TABANI!I7</f>
        <v/>
      </c>
      <c r="F33" s="65">
        <f>KDV_HESAP_TABANI!J7</f>
        <v/>
      </c>
      <c r="G33" s="64">
        <f>KDV_HESAP_TABANI!K7</f>
        <v/>
      </c>
      <c r="H33" s="64">
        <f>IF(G33="HAREKET YOK","Hareket yok",IF(G33="TUTUYOR","Tolerans içinde",IF(B33="600 %10 Gelir ↔ 391 %10",IF(F33&gt;0,"391 %10 fazla: %20 olması gereken matrah %10 gelirde kalmış / çift KDV / mapping hatası olabilir","391 %10 eksik: gelir 391 KDV hesabına eksik aktarılmış olabilir"),IF(B33="600 %20 Gelir ↔ 391 %20",IF(F33&gt;0,"391 %20 fazla: KDV mükerrer veya fazla tahakkuk etmiş olabilir","391 %20 eksik: %20 gelir 391 hesabına eksik aktarılmış olabilir"),IF(B33="610 %10 İade ↔ 191 %10",IF(F33&gt;0,"191 satış iade KDV fazla: iade KDV mükerrer/manuel fazla olabilir","191 satış iade KDV eksik: iade fişi 191 hesabına bağlanmamış olabilir"),IF(B33="610 %20 İade ↔ 191 %20",IF(F33&gt;0,"191 %20 iade KDV fazla olabilir","191 %20 iade KDV eksik olabilir"),IF(B33="602 %20 Ciro/İskonto ↔ 391 İlave",IF(F33&gt;0,"391 ilave KDV fazla: alış iade/ciro primi mapping kontrol","391 ilave KDV eksik: alış iade/ciro primi mapping kontrol"),IF(B33="646 %10 Kur Kârı ↔ 391 İlave",IF(F33&gt;0,"391 ilave KDV fazla: kur farkı KDV oran/hesap eşleşmesi kontrol","391 ilave KDV eksik: kur farkı KDV mapping kontrol"),"Kontrol tanımı dışı"))))))))</f>
        <v/>
      </c>
      <c r="I33" s="64" t="inlineStr">
        <is>
          <t>KDV1</t>
        </is>
      </c>
      <c r="J33" s="64" t="inlineStr">
        <is>
          <t>600 %20 gelir ve 391 %20 hesaplanan KDV</t>
        </is>
      </c>
    </row>
    <row r="34" ht="48" customHeight="1" s="34">
      <c r="A34" s="62">
        <f>KDV_HESAP_TABANI!A7</f>
        <v/>
      </c>
      <c r="B34" s="62" t="inlineStr">
        <is>
          <t>610 %10 İade ↔ 191 %10</t>
        </is>
      </c>
      <c r="C34" s="63">
        <f>KDV_HESAP_TABANI!L7</f>
        <v/>
      </c>
      <c r="D34" s="63">
        <f>KDV_HESAP_TABANI!M7</f>
        <v/>
      </c>
      <c r="E34" s="63">
        <f>KDV_HESAP_TABANI!N7</f>
        <v/>
      </c>
      <c r="F34" s="63">
        <f>KDV_HESAP_TABANI!O7</f>
        <v/>
      </c>
      <c r="G34" s="62">
        <f>KDV_HESAP_TABANI!P7</f>
        <v/>
      </c>
      <c r="H34" s="62">
        <f>IF(G34="HAREKET YOK","Hareket yok",IF(G34="TUTUYOR","Tolerans içinde",IF(B34="600 %10 Gelir ↔ 391 %10",IF(F34&gt;0,"391 %10 fazla: %20 olması gereken matrah %10 gelirde kalmış / çift KDV / mapping hatası olabilir","391 %10 eksik: gelir 391 KDV hesabına eksik aktarılmış olabilir"),IF(B34="600 %20 Gelir ↔ 391 %20",IF(F34&gt;0,"391 %20 fazla: KDV mükerrer veya fazla tahakkuk etmiş olabilir","391 %20 eksik: %20 gelir 391 hesabına eksik aktarılmış olabilir"),IF(B34="610 %10 İade ↔ 191 %10",IF(F34&gt;0,"191 satış iade KDV fazla: iade KDV mükerrer/manuel fazla olabilir","191 satış iade KDV eksik: iade fişi 191 hesabına bağlanmamış olabilir"),IF(B34="610 %20 İade ↔ 191 %20",IF(F34&gt;0,"191 %20 iade KDV fazla olabilir","191 %20 iade KDV eksik olabilir"),IF(B34="602 %20 Ciro/İskonto ↔ 391 İlave",IF(F34&gt;0,"391 ilave KDV fazla: alış iade/ciro primi mapping kontrol","391 ilave KDV eksik: alış iade/ciro primi mapping kontrol"),IF(B34="646 %10 Kur Kârı ↔ 391 İlave",IF(F34&gt;0,"391 ilave KDV fazla: kur farkı KDV oran/hesap eşleşmesi kontrol","391 ilave KDV eksik: kur farkı KDV mapping kontrol"),"Kontrol tanımı dışı"))))))))</f>
        <v/>
      </c>
      <c r="I34" s="62" t="inlineStr">
        <is>
          <t>KDV1</t>
        </is>
      </c>
      <c r="J34" s="62" t="inlineStr">
        <is>
          <t>610 satış iadesi fişi ve 191 satıştan iade KDV</t>
        </is>
      </c>
    </row>
    <row r="35" ht="48" customHeight="1" s="34">
      <c r="A35" s="64">
        <f>KDV_HESAP_TABANI!A7</f>
        <v/>
      </c>
      <c r="B35" s="64" t="inlineStr">
        <is>
          <t>610 %20 İade ↔ 191 %20</t>
        </is>
      </c>
      <c r="C35" s="65">
        <f>KDV_HESAP_TABANI!Q7</f>
        <v/>
      </c>
      <c r="D35" s="65">
        <f>KDV_HESAP_TABANI!R7</f>
        <v/>
      </c>
      <c r="E35" s="65">
        <f>KDV_HESAP_TABANI!S7</f>
        <v/>
      </c>
      <c r="F35" s="65">
        <f>KDV_HESAP_TABANI!T7</f>
        <v/>
      </c>
      <c r="G35" s="64">
        <f>KDV_HESAP_TABANI!U7</f>
        <v/>
      </c>
      <c r="H35" s="64">
        <f>IF(G35="HAREKET YOK","Hareket yok",IF(G35="TUTUYOR","Tolerans içinde",IF(B35="600 %10 Gelir ↔ 391 %10",IF(F35&gt;0,"391 %10 fazla: %20 olması gereken matrah %10 gelirde kalmış / çift KDV / mapping hatası olabilir","391 %10 eksik: gelir 391 KDV hesabına eksik aktarılmış olabilir"),IF(B35="600 %20 Gelir ↔ 391 %20",IF(F35&gt;0,"391 %20 fazla: KDV mükerrer veya fazla tahakkuk etmiş olabilir","391 %20 eksik: %20 gelir 391 hesabına eksik aktarılmış olabilir"),IF(B35="610 %10 İade ↔ 191 %10",IF(F35&gt;0,"191 satış iade KDV fazla: iade KDV mükerrer/manuel fazla olabilir","191 satış iade KDV eksik: iade fişi 191 hesabına bağlanmamış olabilir"),IF(B35="610 %20 İade ↔ 191 %20",IF(F35&gt;0,"191 %20 iade KDV fazla olabilir","191 %20 iade KDV eksik olabilir"),IF(B35="602 %20 Ciro/İskonto ↔ 391 İlave",IF(F35&gt;0,"391 ilave KDV fazla: alış iade/ciro primi mapping kontrol","391 ilave KDV eksik: alış iade/ciro primi mapping kontrol"),IF(B35="646 %10 Kur Kârı ↔ 391 İlave",IF(F35&gt;0,"391 ilave KDV fazla: kur farkı KDV oran/hesap eşleşmesi kontrol","391 ilave KDV eksik: kur farkı KDV mapping kontrol"),"Kontrol tanımı dışı"))))))))</f>
        <v/>
      </c>
      <c r="I35" s="64" t="inlineStr">
        <is>
          <t>KDV1</t>
        </is>
      </c>
      <c r="J35" s="64" t="inlineStr">
        <is>
          <t>610 %20 satış iadesi fişi ve 191 %20 iade KDV</t>
        </is>
      </c>
    </row>
    <row r="36" ht="48" customHeight="1" s="34">
      <c r="A36" s="62">
        <f>KDV_HESAP_TABANI!A7</f>
        <v/>
      </c>
      <c r="B36" s="62" t="inlineStr">
        <is>
          <t>602 %20 Ciro/İskonto ↔ 391 İlave</t>
        </is>
      </c>
      <c r="C36" s="63">
        <f>KDV_HESAP_TABANI!V7</f>
        <v/>
      </c>
      <c r="D36" s="63">
        <f>KDV_HESAP_TABANI!W7</f>
        <v/>
      </c>
      <c r="E36" s="63">
        <f>KDV_HESAP_TABANI!X7</f>
        <v/>
      </c>
      <c r="F36" s="63">
        <f>KDV_HESAP_TABANI!Y7</f>
        <v/>
      </c>
      <c r="G36" s="62">
        <f>KDV_HESAP_TABANI!Z7</f>
        <v/>
      </c>
      <c r="H36" s="62">
        <f>IF(G36="HAREKET YOK","Hareket yok",IF(G36="TUTUYOR","Tolerans içinde",IF(B36="600 %10 Gelir ↔ 391 %10",IF(F36&gt;0,"391 %10 fazla: %20 olması gereken matrah %10 gelirde kalmış / çift KDV / mapping hatası olabilir","391 %10 eksik: gelir 391 KDV hesabına eksik aktarılmış olabilir"),IF(B36="600 %20 Gelir ↔ 391 %20",IF(F36&gt;0,"391 %20 fazla: KDV mükerrer veya fazla tahakkuk etmiş olabilir","391 %20 eksik: %20 gelir 391 hesabına eksik aktarılmış olabilir"),IF(B36="610 %10 İade ↔ 191 %10",IF(F36&gt;0,"191 satış iade KDV fazla: iade KDV mükerrer/manuel fazla olabilir","191 satış iade KDV eksik: iade fişi 191 hesabına bağlanmamış olabilir"),IF(B36="610 %20 İade ↔ 191 %20",IF(F36&gt;0,"191 %20 iade KDV fazla olabilir","191 %20 iade KDV eksik olabilir"),IF(B36="602 %20 Ciro/İskonto ↔ 391 İlave",IF(F36&gt;0,"391 ilave KDV fazla: alış iade/ciro primi mapping kontrol","391 ilave KDV eksik: alış iade/ciro primi mapping kontrol"),IF(B36="646 %10 Kur Kârı ↔ 391 İlave",IF(F36&gt;0,"391 ilave KDV fazla: kur farkı KDV oran/hesap eşleşmesi kontrol","391 ilave KDV eksik: kur farkı KDV mapping kontrol"),"Kontrol tanımı dışı"))))))))</f>
        <v/>
      </c>
      <c r="I36" s="62" t="inlineStr">
        <is>
          <t>KDV1</t>
        </is>
      </c>
      <c r="J36" s="62" t="inlineStr">
        <is>
          <t>602 ciro/iskonto geliri ve 391 ilave KDV</t>
        </is>
      </c>
    </row>
    <row r="37" ht="48" customHeight="1" s="34">
      <c r="A37" s="64">
        <f>KDV_HESAP_TABANI!A7</f>
        <v/>
      </c>
      <c r="B37" s="64" t="inlineStr">
        <is>
          <t>646 %10 Kur Kârı ↔ 391 İlave</t>
        </is>
      </c>
      <c r="C37" s="65">
        <f>KDV_HESAP_TABANI!AA7</f>
        <v/>
      </c>
      <c r="D37" s="65">
        <f>KDV_HESAP_TABANI!AB7</f>
        <v/>
      </c>
      <c r="E37" s="65">
        <f>KDV_HESAP_TABANI!AC7</f>
        <v/>
      </c>
      <c r="F37" s="65">
        <f>KDV_HESAP_TABANI!AD7</f>
        <v/>
      </c>
      <c r="G37" s="64">
        <f>KDV_HESAP_TABANI!AE7</f>
        <v/>
      </c>
      <c r="H37" s="64">
        <f>IF(G37="HAREKET YOK","Hareket yok",IF(G37="TUTUYOR","Tolerans içinde",IF(B37="600 %10 Gelir ↔ 391 %10",IF(F37&gt;0,"391 %10 fazla: %20 olması gereken matrah %10 gelirde kalmış / çift KDV / mapping hatası olabilir","391 %10 eksik: gelir 391 KDV hesabına eksik aktarılmış olabilir"),IF(B37="600 %20 Gelir ↔ 391 %20",IF(F37&gt;0,"391 %20 fazla: KDV mükerrer veya fazla tahakkuk etmiş olabilir","391 %20 eksik: %20 gelir 391 hesabına eksik aktarılmış olabilir"),IF(B37="610 %10 İade ↔ 191 %10",IF(F37&gt;0,"191 satış iade KDV fazla: iade KDV mükerrer/manuel fazla olabilir","191 satış iade KDV eksik: iade fişi 191 hesabına bağlanmamış olabilir"),IF(B37="610 %20 İade ↔ 191 %20",IF(F37&gt;0,"191 %20 iade KDV fazla olabilir","191 %20 iade KDV eksik olabilir"),IF(B37="602 %20 Ciro/İskonto ↔ 391 İlave",IF(F37&gt;0,"391 ilave KDV fazla: alış iade/ciro primi mapping kontrol","391 ilave KDV eksik: alış iade/ciro primi mapping kontrol"),IF(B37="646 %10 Kur Kârı ↔ 391 İlave",IF(F37&gt;0,"391 ilave KDV fazla: kur farkı KDV oran/hesap eşleşmesi kontrol","391 ilave KDV eksik: kur farkı KDV mapping kontrol"),"Kontrol tanımı dışı"))))))))</f>
        <v/>
      </c>
      <c r="I37" s="64" t="inlineStr">
        <is>
          <t>KDV1</t>
        </is>
      </c>
      <c r="J37" s="64" t="inlineStr">
        <is>
          <t>646 kur farkı ve 391 ilave KDV</t>
        </is>
      </c>
    </row>
  </sheetData>
  <autoFilter ref="A1:J37"/>
  <conditionalFormatting sqref="G2:G37">
    <cfRule type="expression" priority="1" dxfId="4">
      <formula>$G2="TUTUYOR"</formula>
    </cfRule>
    <cfRule type="expression" priority="2" dxfId="5">
      <formula>$G2="KÜÇÜK FARK"</formula>
    </cfRule>
    <cfRule type="expression" priority="3" dxfId="3">
      <formula>$G2="TUTMUYOR"</formula>
    </cfRule>
    <cfRule type="cellIs" priority="5" operator="equal" dxfId="7">
      <formula>"TUTUYOR"</formula>
    </cfRule>
    <cfRule type="cellIs" priority="6" operator="equal" dxfId="6">
      <formula>"TUTMUYOR"</formula>
    </cfRule>
    <cfRule type="cellIs" priority="7" operator="equal" dxfId="8">
      <formula>"KÜÇÜK FARK"</formula>
    </cfRule>
    <cfRule type="cellIs" priority="8" operator="equal" dxfId="9">
      <formula>"HAREKET YOK"</formula>
    </cfRule>
  </conditionalFormatting>
  <conditionalFormatting sqref="H2:H37">
    <cfRule type="expression" priority="4" dxfId="3">
      <formula>AND($G2&lt;&gt;"TUTUYOR",$G2&lt;&gt;"HAREKET YOK")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AT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34" min="1" max="1"/>
    <col width="13" customWidth="1" style="34" min="2" max="2"/>
    <col width="13" customWidth="1" style="34" min="3" max="3"/>
    <col width="13" customWidth="1" style="34" min="4" max="4"/>
    <col width="13" customWidth="1" style="34" min="5" max="5"/>
    <col width="13" customWidth="1" style="34" min="6" max="6"/>
    <col width="13" customWidth="1" style="34" min="7" max="7"/>
    <col width="13" customWidth="1" style="34" min="8" max="8"/>
    <col width="13" customWidth="1" style="34" min="9" max="9"/>
    <col width="13" customWidth="1" style="34" min="10" max="10"/>
    <col width="13" customWidth="1" style="34" min="11" max="11"/>
    <col width="13" customWidth="1" style="34" min="12" max="12"/>
    <col width="13" customWidth="1" style="34" min="13" max="13"/>
    <col width="13" customWidth="1" style="34" min="14" max="14"/>
    <col width="13" customWidth="1" style="34" min="15" max="15"/>
    <col width="13" customWidth="1" style="34" min="16" max="16"/>
    <col width="13" customWidth="1" style="34" min="17" max="17"/>
    <col width="13" customWidth="1" style="34" min="18" max="18"/>
    <col width="13" customWidth="1" style="34" min="19" max="19"/>
    <col width="13" customWidth="1" style="34" min="20" max="20"/>
    <col width="13" customWidth="1" style="34" min="21" max="21"/>
    <col width="13" customWidth="1" style="34" min="22" max="22"/>
    <col width="13" customWidth="1" style="34" min="23" max="23"/>
    <col width="13" customWidth="1" style="34" min="24" max="24"/>
    <col width="13" customWidth="1" style="34" min="25" max="25"/>
    <col width="13" customWidth="1" style="34" min="26" max="26"/>
    <col width="13" customWidth="1" style="34" min="27" max="27"/>
    <col width="13" customWidth="1" style="34" min="28" max="28"/>
    <col width="13" customWidth="1" style="34" min="29" max="29"/>
    <col width="13" customWidth="1" style="34" min="30" max="30"/>
    <col width="13" customWidth="1" style="34" min="31" max="31"/>
    <col width="13" customWidth="1" style="34" min="32" max="32"/>
    <col width="13" customWidth="1" style="34" min="33" max="33"/>
    <col width="13" customWidth="1" style="34" min="34" max="34"/>
    <col width="13" customWidth="1" style="34" min="35" max="35"/>
    <col width="13" customWidth="1" style="34" min="36" max="36"/>
    <col width="13" customWidth="1" style="34" min="37" max="37"/>
    <col width="13" customWidth="1" style="34" min="38" max="38"/>
    <col width="13" customWidth="1" style="34" min="39" max="39"/>
    <col width="13" customWidth="1" style="34" min="40" max="40"/>
    <col width="13" customWidth="1" style="34" min="41" max="41"/>
    <col width="13" customWidth="1" style="34" min="42" max="42"/>
    <col width="13" customWidth="1" style="34" min="43" max="43"/>
    <col width="38" customWidth="1" style="34" min="44" max="44"/>
    <col width="32" customWidth="1" style="34" min="45" max="45"/>
    <col width="13" customWidth="1" style="34" min="46" max="46"/>
  </cols>
  <sheetData>
    <row r="1" ht="32" customHeight="1" s="34">
      <c r="A1" s="66" t="inlineStr">
        <is>
          <t>Şube</t>
        </is>
      </c>
      <c r="B1" s="66" t="inlineStr">
        <is>
          <t>600 %10 Matrah</t>
        </is>
      </c>
      <c r="C1" s="66" t="inlineStr">
        <is>
          <t>Beklenen 391 %10</t>
        </is>
      </c>
      <c r="D1" s="66" t="inlineStr">
        <is>
          <t>Mevcut 391 %10</t>
        </is>
      </c>
      <c r="E1" s="66" t="inlineStr">
        <is>
          <t>Fark %10</t>
        </is>
      </c>
      <c r="F1" s="66" t="inlineStr">
        <is>
          <t>Durum %10</t>
        </is>
      </c>
      <c r="G1" s="66" t="inlineStr">
        <is>
          <t>600 %20 Matrah</t>
        </is>
      </c>
      <c r="H1" s="66" t="inlineStr">
        <is>
          <t>Beklenen 391 %20</t>
        </is>
      </c>
      <c r="I1" s="66" t="inlineStr">
        <is>
          <t>Mevcut 391 %20</t>
        </is>
      </c>
      <c r="J1" s="66" t="inlineStr">
        <is>
          <t>Fark %20</t>
        </is>
      </c>
      <c r="K1" s="66" t="inlineStr">
        <is>
          <t>Durum %20</t>
        </is>
      </c>
      <c r="L1" s="66" t="inlineStr">
        <is>
          <t>610 %10 İade Matrah</t>
        </is>
      </c>
      <c r="M1" s="66" t="inlineStr">
        <is>
          <t>Beklenen 191 %10</t>
        </is>
      </c>
      <c r="N1" s="66" t="inlineStr">
        <is>
          <t>Mevcut 191 %10</t>
        </is>
      </c>
      <c r="O1" s="66" t="inlineStr">
        <is>
          <t>Fark İade %10</t>
        </is>
      </c>
      <c r="P1" s="66" t="inlineStr">
        <is>
          <t>Durum İade %10</t>
        </is>
      </c>
      <c r="Q1" s="66" t="inlineStr">
        <is>
          <t>610 %20 İade Matrah</t>
        </is>
      </c>
      <c r="R1" s="66" t="inlineStr">
        <is>
          <t>Beklenen 191 %20</t>
        </is>
      </c>
      <c r="S1" s="66" t="inlineStr">
        <is>
          <t>Mevcut 191 %20</t>
        </is>
      </c>
      <c r="T1" s="66" t="inlineStr">
        <is>
          <t>Fark İade %20</t>
        </is>
      </c>
      <c r="U1" s="66" t="inlineStr">
        <is>
          <t>Durum İade %20</t>
        </is>
      </c>
      <c r="V1" s="66" t="inlineStr">
        <is>
          <t>602 %20 Matrah</t>
        </is>
      </c>
      <c r="W1" s="66" t="inlineStr">
        <is>
          <t>Beklenen 391 İlave %20</t>
        </is>
      </c>
      <c r="X1" s="66" t="inlineStr">
        <is>
          <t>Mevcut 391 İlave %20</t>
        </is>
      </c>
      <c r="Y1" s="66" t="inlineStr">
        <is>
          <t>Fark 602</t>
        </is>
      </c>
      <c r="Z1" s="66" t="inlineStr">
        <is>
          <t>Durum 602</t>
        </is>
      </c>
      <c r="AA1" s="66" t="inlineStr">
        <is>
          <t>646 %10 Matrah</t>
        </is>
      </c>
      <c r="AB1" s="66" t="inlineStr">
        <is>
          <t>Beklenen 391 İlave %10</t>
        </is>
      </c>
      <c r="AC1" s="66" t="inlineStr">
        <is>
          <t>Mevcut 391 İlave %10</t>
        </is>
      </c>
      <c r="AD1" s="66" t="inlineStr">
        <is>
          <t>Fark 646</t>
        </is>
      </c>
      <c r="AE1" s="66" t="inlineStr">
        <is>
          <t>Durum 646</t>
        </is>
      </c>
      <c r="AF1" s="66" t="inlineStr">
        <is>
          <t>191 İndirilecek %1</t>
        </is>
      </c>
      <c r="AG1" s="66" t="inlineStr">
        <is>
          <t>191 İndirilecek %10</t>
        </is>
      </c>
      <c r="AH1" s="66" t="inlineStr">
        <is>
          <t>191 İndirilecek %20</t>
        </is>
      </c>
      <c r="AI1" s="66" t="inlineStr">
        <is>
          <t>191 Tevkifatlı %20</t>
        </is>
      </c>
      <c r="AJ1" s="66" t="inlineStr">
        <is>
          <t>391 Alış İade/İlave %1</t>
        </is>
      </c>
      <c r="AK1" s="66" t="inlineStr">
        <is>
          <t>391 Alış İade/İlave %20</t>
        </is>
      </c>
      <c r="AL1" s="66" t="inlineStr">
        <is>
          <t>391 İlave %10</t>
        </is>
      </c>
      <c r="AM1" s="66" t="inlineStr">
        <is>
          <t>Toplam 391</t>
        </is>
      </c>
      <c r="AN1" s="66" t="inlineStr">
        <is>
          <t>Toplam 191</t>
        </is>
      </c>
      <c r="AO1" s="66" t="inlineStr">
        <is>
          <t>Net KDV</t>
        </is>
      </c>
      <c r="AP1" s="66" t="inlineStr">
        <is>
          <t>Beyan Sonucu</t>
        </is>
      </c>
      <c r="AQ1" s="66" t="inlineStr">
        <is>
          <t>Kritik Fark</t>
        </is>
      </c>
      <c r="AR1" s="66" t="inlineStr">
        <is>
          <t>Hatalı KDV Nedeni</t>
        </is>
      </c>
      <c r="AS1" s="66" t="inlineStr">
        <is>
          <t>Kontrol Edilecek Alan</t>
        </is>
      </c>
      <c r="AT1" s="66" t="inlineStr">
        <is>
          <t>Öncelik</t>
        </is>
      </c>
    </row>
    <row r="2">
      <c r="A2" s="62" t="inlineStr">
        <is>
          <t>ROYAL ADAM EVE</t>
        </is>
      </c>
      <c r="B2" s="63">
        <f>(SUMIFS('RAW_HESAP_KARTLARI'!$F$2:$F$10000,'RAW_HESAP_KARTLARI'!$A$2:$A$10000,"600.01.01.0001",'RAW_HESAP_KARTLARI'!$D$2:$D$10000,$A2)-SUMIFS('RAW_HESAP_KARTLARI'!$E$2:$E$10000,'RAW_HESAP_KARTLARI'!$A$2:$A$10000,"600.01.01.0001",'RAW_HESAP_KARTLARI'!$D$2:$D$10000,$A2))+(SUMIFS('RAW_HESAP_KARTLARI'!$F$2:$F$10000,'RAW_HESAP_KARTLARI'!$A$2:$A$10000,"600.01.01.0002",'RAW_HESAP_KARTLARI'!$D$2:$D$10000,$A2)-SUMIFS('RAW_HESAP_KARTLARI'!$E$2:$E$10000,'RAW_HESAP_KARTLARI'!$A$2:$A$10000,"600.01.01.0002",'RAW_HESAP_KARTLARI'!$D$2:$D$10000,$A2))+(SUMIFS('RAW_HESAP_KARTLARI'!$F$2:$F$10000,'RAW_HESAP_KARTLARI'!$A$2:$A$10000,"600.01.02.0001",'RAW_HESAP_KARTLARI'!$D$2:$D$10000,$A2)-SUMIFS('RAW_HESAP_KARTLARI'!$E$2:$E$10000,'RAW_HESAP_KARTLARI'!$A$2:$A$10000,"600.01.02.0001",'RAW_HESAP_KARTLARI'!$D$2:$D$10000,$A2))+(SUMIFS('RAW_HESAP_KARTLARI'!$F$2:$F$10000,'RAW_HESAP_KARTLARI'!$A$2:$A$10000,"600.01.02.0002",'RAW_HESAP_KARTLARI'!$D$2:$D$10000,$A2)-SUMIFS('RAW_HESAP_KARTLARI'!$E$2:$E$10000,'RAW_HESAP_KARTLARI'!$A$2:$A$10000,"600.01.02.0002",'RAW_HESAP_KARTLARI'!$D$2:$D$10000,$A2))+(SUMIFS('RAW_HESAP_KARTLARI'!$F$2:$F$10000,'RAW_HESAP_KARTLARI'!$A$2:$A$10000,"600.01.03.0002",'RAW_HESAP_KARTLARI'!$D$2:$D$10000,$A2)-SUMIFS('RAW_HESAP_KARTLARI'!$E$2:$E$10000,'RAW_HESAP_KARTLARI'!$A$2:$A$10000,"600.01.03.0002",'RAW_HESAP_KARTLARI'!$D$2:$D$10000,$A2))</f>
        <v/>
      </c>
      <c r="C2" s="63">
        <f>ROUND(B2*10%,2)</f>
        <v/>
      </c>
      <c r="D2" s="63">
        <f>(SUMIFS('RAW_HESAP_KARTLARI'!$F$2:$F$10000,'RAW_HESAP_KARTLARI'!$A$2:$A$10000,"391.01.01.0002",'RAW_HESAP_KARTLARI'!$D$2:$D$10000,$A2)-SUMIFS('RAW_HESAP_KARTLARI'!$E$2:$E$10000,'RAW_HESAP_KARTLARI'!$A$2:$A$10000,"391.01.01.0002",'RAW_HESAP_KARTLARI'!$D$2:$D$10000,$A2))</f>
        <v/>
      </c>
      <c r="E2" s="63">
        <f>ROUND(D2-C2,2)</f>
        <v/>
      </c>
      <c r="F2" s="69">
        <f>IF(ABS(B2)&lt;0.005,"HAREKET YOK",IF(ABS(E2)&lt;=AYARLAR!$B$2,"TUTUYOR",IF(ABS(E2)&lt;=100,"KÜÇÜK FARK","TUTMUYOR")))</f>
        <v/>
      </c>
      <c r="G2" s="63">
        <f>(SUMIFS('RAW_HESAP_KARTLARI'!$F$2:$F$10000,'RAW_HESAP_KARTLARI'!$A$2:$A$10000,"600.01.02.0003",'RAW_HESAP_KARTLARI'!$D$2:$D$10000,$A2)-SUMIFS('RAW_HESAP_KARTLARI'!$E$2:$E$10000,'RAW_HESAP_KARTLARI'!$A$2:$A$10000,"600.01.02.0003",'RAW_HESAP_KARTLARI'!$D$2:$D$10000,$A2))+(SUMIFS('RAW_HESAP_KARTLARI'!$F$2:$F$10000,'RAW_HESAP_KARTLARI'!$A$2:$A$10000,"600.01.03.0001",'RAW_HESAP_KARTLARI'!$D$2:$D$10000,$A2)-SUMIFS('RAW_HESAP_KARTLARI'!$E$2:$E$10000,'RAW_HESAP_KARTLARI'!$A$2:$A$10000,"600.01.03.0001",'RAW_HESAP_KARTLARI'!$D$2:$D$10000,$A2))</f>
        <v/>
      </c>
      <c r="H2" s="63">
        <f>ROUND(G2*20%,2)</f>
        <v/>
      </c>
      <c r="I2" s="63">
        <f>(SUMIFS('RAW_HESAP_KARTLARI'!$F$2:$F$10000,'RAW_HESAP_KARTLARI'!$A$2:$A$10000,"391.01.01.0003",'RAW_HESAP_KARTLARI'!$D$2:$D$10000,$A2)-SUMIFS('RAW_HESAP_KARTLARI'!$E$2:$E$10000,'RAW_HESAP_KARTLARI'!$A$2:$A$10000,"391.01.01.0003",'RAW_HESAP_KARTLARI'!$D$2:$D$10000,$A2))</f>
        <v/>
      </c>
      <c r="J2" s="63">
        <f>ROUND(I2-H2,2)</f>
        <v/>
      </c>
      <c r="K2" s="69">
        <f>IF(ABS(G2)&lt;0.005,"HAREKET YOK",IF(ABS(J2)&lt;=AYARLAR!$B$2,"TUTUYOR",IF(ABS(J2)&lt;=100,"KÜÇÜK FARK","TUTMUYOR")))</f>
        <v/>
      </c>
      <c r="L2" s="63">
        <f>(SUMIFS('RAW_HESAP_KARTLARI'!$E$2:$E$10000,'RAW_HESAP_KARTLARI'!$A$2:$A$10000,"610.01.01.0001",'RAW_HESAP_KARTLARI'!$D$2:$D$10000,$A2)-SUMIFS('RAW_HESAP_KARTLARI'!$F$2:$F$10000,'RAW_HESAP_KARTLARI'!$A$2:$A$10000,"610.01.01.0001",'RAW_HESAP_KARTLARI'!$D$2:$D$10000,$A2))</f>
        <v/>
      </c>
      <c r="M2" s="63">
        <f>ROUND(L2*10%,2)</f>
        <v/>
      </c>
      <c r="N2" s="63">
        <f>(SUMIFS('RAW_HESAP_KARTLARI'!$E$2:$E$10000,'RAW_HESAP_KARTLARI'!$A$2:$A$10000,"191.01.02.0002",'RAW_HESAP_KARTLARI'!$D$2:$D$10000,$A2)-SUMIFS('RAW_HESAP_KARTLARI'!$F$2:$F$10000,'RAW_HESAP_KARTLARI'!$A$2:$A$10000,"191.01.02.0002",'RAW_HESAP_KARTLARI'!$D$2:$D$10000,$A2))</f>
        <v/>
      </c>
      <c r="O2" s="63">
        <f>ROUND(N2-M2,2)</f>
        <v/>
      </c>
      <c r="P2" s="69">
        <f>IF(ABS(L2)&lt;0.005,"HAREKET YOK",IF(ABS(O2)&lt;=AYARLAR!$B$2,"TUTUYOR",IF(ABS(O2)&lt;=100,"KÜÇÜK FARK","TUTMUYOR")))</f>
        <v/>
      </c>
      <c r="Q2" s="63">
        <f>(SUMIFS('RAW_HESAP_KARTLARI'!$E$2:$E$10000,'RAW_HESAP_KARTLARI'!$A$2:$A$10000,"610.01.01.0002",'RAW_HESAP_KARTLARI'!$D$2:$D$10000,$A2)-SUMIFS('RAW_HESAP_KARTLARI'!$F$2:$F$10000,'RAW_HESAP_KARTLARI'!$A$2:$A$10000,"610.01.01.0002",'RAW_HESAP_KARTLARI'!$D$2:$D$10000,$A2))</f>
        <v/>
      </c>
      <c r="R2" s="63">
        <f>ROUND(Q2*20%,2)</f>
        <v/>
      </c>
      <c r="S2" s="63">
        <f>(SUMIFS('RAW_HESAP_KARTLARI'!$E$2:$E$10000,'RAW_HESAP_KARTLARI'!$A$2:$A$10000,"191.01.02.0003",'RAW_HESAP_KARTLARI'!$D$2:$D$10000,$A2)-SUMIFS('RAW_HESAP_KARTLARI'!$F$2:$F$10000,'RAW_HESAP_KARTLARI'!$A$2:$A$10000,"191.01.02.0003",'RAW_HESAP_KARTLARI'!$D$2:$D$10000,$A2))</f>
        <v/>
      </c>
      <c r="T2" s="63">
        <f>ROUND(S2-R2,2)</f>
        <v/>
      </c>
      <c r="U2" s="69">
        <f>IF(ABS(Q2)&lt;0.005,"HAREKET YOK",IF(ABS(T2)&lt;=AYARLAR!$B$2,"TUTUYOR",IF(ABS(T2)&lt;=100,"KÜÇÜK FARK","TUTMUYOR")))</f>
        <v/>
      </c>
      <c r="V2" s="63">
        <f>(SUMIFS('RAW_HESAP_KARTLARI'!$F$2:$F$10000,'RAW_HESAP_KARTLARI'!$A$2:$A$10000,"602.01.02.0003",'RAW_HESAP_KARTLARI'!$D$2:$D$10000,$A2)-SUMIFS('RAW_HESAP_KARTLARI'!$E$2:$E$10000,'RAW_HESAP_KARTLARI'!$A$2:$A$10000,"602.01.02.0003",'RAW_HESAP_KARTLARI'!$D$2:$D$10000,$A2))</f>
        <v/>
      </c>
      <c r="W2" s="63">
        <f>ROUND(V2*20%,2)</f>
        <v/>
      </c>
      <c r="X2" s="63">
        <f>(SUMIFS('RAW_HESAP_KARTLARI'!$F$2:$F$10000,'RAW_HESAP_KARTLARI'!$A$2:$A$10000,"391.01.03.0008",'RAW_HESAP_KARTLARI'!$D$2:$D$10000,$A2)-SUMIFS('RAW_HESAP_KARTLARI'!$E$2:$E$10000,'RAW_HESAP_KARTLARI'!$A$2:$A$10000,"391.01.03.0008",'RAW_HESAP_KARTLARI'!$D$2:$D$10000,$A2))</f>
        <v/>
      </c>
      <c r="Y2" s="63">
        <f>ROUND(X2-W2,2)</f>
        <v/>
      </c>
      <c r="Z2" s="69">
        <f>IF(ABS(V2)&lt;0.005,"HAREKET YOK",IF(ABS(Y2)&lt;=AYARLAR!$B$2,"TUTUYOR",IF(ABS(Y2)&lt;=100,"KÜÇÜK FARK","TUTMUYOR")))</f>
        <v/>
      </c>
      <c r="AA2" s="63">
        <f>(SUMIFS('RAW_HESAP_KARTLARI'!$F$2:$F$10000,'RAW_HESAP_KARTLARI'!$A$2:$A$10000,"646.01.01.0003",'RAW_HESAP_KARTLARI'!$D$2:$D$10000,$A2)-SUMIFS('RAW_HESAP_KARTLARI'!$E$2:$E$10000,'RAW_HESAP_KARTLARI'!$A$2:$A$10000,"646.01.01.0003",'RAW_HESAP_KARTLARI'!$D$2:$D$10000,$A2))</f>
        <v/>
      </c>
      <c r="AB2" s="63">
        <f>ROUND(AA2*10%,2)</f>
        <v/>
      </c>
      <c r="AC2" s="63">
        <f>(SUMIFS('RAW_HESAP_KARTLARI'!$F$2:$F$10000,'RAW_HESAP_KARTLARI'!$A$2:$A$10000,"391.01.04.0002",'RAW_HESAP_KARTLARI'!$D$2:$D$10000,$A2)-SUMIFS('RAW_HESAP_KARTLARI'!$E$2:$E$10000,'RAW_HESAP_KARTLARI'!$A$2:$A$10000,"391.01.04.0002",'RAW_HESAP_KARTLARI'!$D$2:$D$10000,$A2))</f>
        <v/>
      </c>
      <c r="AD2" s="63">
        <f>ROUND(AC2-AB2,2)</f>
        <v/>
      </c>
      <c r="AE2" s="69">
        <f>IF(ABS(AA2)&lt;0.005,"HAREKET YOK",IF(ABS(AD2)&lt;=AYARLAR!$B$2,"TUTUYOR",IF(ABS(AD2)&lt;=100,"KÜÇÜK FARK","TUTMUYOR")))</f>
        <v/>
      </c>
      <c r="AF2" s="63">
        <f>(SUMIFS('RAW_HESAP_KARTLARI'!$E$2:$E$10000,'RAW_HESAP_KARTLARI'!$A$2:$A$10000,"191.01.01.0001",'RAW_HESAP_KARTLARI'!$D$2:$D$10000,$A2)-SUMIFS('RAW_HESAP_KARTLARI'!$F$2:$F$10000,'RAW_HESAP_KARTLARI'!$A$2:$A$10000,"191.01.01.0001",'RAW_HESAP_KARTLARI'!$D$2:$D$10000,$A2))</f>
        <v/>
      </c>
      <c r="AG2" s="63">
        <f>(SUMIFS('RAW_HESAP_KARTLARI'!$E$2:$E$10000,'RAW_HESAP_KARTLARI'!$A$2:$A$10000,"191.01.01.0002",'RAW_HESAP_KARTLARI'!$D$2:$D$10000,$A2)-SUMIFS('RAW_HESAP_KARTLARI'!$F$2:$F$10000,'RAW_HESAP_KARTLARI'!$A$2:$A$10000,"191.01.01.0002",'RAW_HESAP_KARTLARI'!$D$2:$D$10000,$A2))</f>
        <v/>
      </c>
      <c r="AH2" s="63">
        <f>(SUMIFS('RAW_HESAP_KARTLARI'!$E$2:$E$10000,'RAW_HESAP_KARTLARI'!$A$2:$A$10000,"191.01.01.0003",'RAW_HESAP_KARTLARI'!$D$2:$D$10000,$A2)-SUMIFS('RAW_HESAP_KARTLARI'!$F$2:$F$10000,'RAW_HESAP_KARTLARI'!$A$2:$A$10000,"191.01.01.0003",'RAW_HESAP_KARTLARI'!$D$2:$D$10000,$A2))</f>
        <v/>
      </c>
      <c r="AI2" s="63">
        <f>(SUMIFS('RAW_HESAP_KARTLARI'!$E$2:$E$10000,'RAW_HESAP_KARTLARI'!$A$2:$A$10000,"191.01.01.0006",'RAW_HESAP_KARTLARI'!$D$2:$D$10000,$A2)-SUMIFS('RAW_HESAP_KARTLARI'!$F$2:$F$10000,'RAW_HESAP_KARTLARI'!$A$2:$A$10000,"191.01.01.0006",'RAW_HESAP_KARTLARI'!$D$2:$D$10000,$A2))</f>
        <v/>
      </c>
      <c r="AJ2" s="63">
        <f>(SUMIFS('RAW_HESAP_KARTLARI'!$F$2:$F$10000,'RAW_HESAP_KARTLARI'!$A$2:$A$10000,"391.01.03.0001",'RAW_HESAP_KARTLARI'!$D$2:$D$10000,$A2)-SUMIFS('RAW_HESAP_KARTLARI'!$E$2:$E$10000,'RAW_HESAP_KARTLARI'!$A$2:$A$10000,"391.01.03.0001",'RAW_HESAP_KARTLARI'!$D$2:$D$10000,$A2))</f>
        <v/>
      </c>
      <c r="AK2" s="63">
        <f>(SUMIFS('RAW_HESAP_KARTLARI'!$F$2:$F$10000,'RAW_HESAP_KARTLARI'!$A$2:$A$10000,"391.01.03.0003",'RAW_HESAP_KARTLARI'!$D$2:$D$10000,$A2)-SUMIFS('RAW_HESAP_KARTLARI'!$E$2:$E$10000,'RAW_HESAP_KARTLARI'!$A$2:$A$10000,"391.01.03.0003",'RAW_HESAP_KARTLARI'!$D$2:$D$10000,$A2))+(SUMIFS('RAW_HESAP_KARTLARI'!$F$2:$F$10000,'RAW_HESAP_KARTLARI'!$A$2:$A$10000,"391.01.03.0008",'RAW_HESAP_KARTLARI'!$D$2:$D$10000,$A2)-SUMIFS('RAW_HESAP_KARTLARI'!$E$2:$E$10000,'RAW_HESAP_KARTLARI'!$A$2:$A$10000,"391.01.03.0008",'RAW_HESAP_KARTLARI'!$D$2:$D$10000,$A2))</f>
        <v/>
      </c>
      <c r="AL2" s="69">
        <f>(SUMIFS('RAW_HESAP_KARTLARI'!$F$2:$F$10000,'RAW_HESAP_KARTLARI'!$A$2:$A$10000,"391.01.03.0009",'RAW_HESAP_KARTLARI'!$D$2:$D$10000,$A2)-SUMIFS('RAW_HESAP_KARTLARI'!$E$2:$E$10000,'RAW_HESAP_KARTLARI'!$A$2:$A$10000,"391.01.03.0009",'RAW_HESAP_KARTLARI'!$D$2:$D$10000,$A2))+(SUMIFS('RAW_HESAP_KARTLARI'!$F$2:$F$10000,'RAW_HESAP_KARTLARI'!$A$2:$A$10000,"391.01.04.0002",'RAW_HESAP_KARTLARI'!$D$2:$D$10000,$A2)-SUMIFS('RAW_HESAP_KARTLARI'!$E$2:$E$10000,'RAW_HESAP_KARTLARI'!$A$2:$A$10000,"391.01.04.0002",'RAW_HESAP_KARTLARI'!$D$2:$D$10000,$A2))</f>
        <v/>
      </c>
      <c r="AM2" s="63">
        <f>ROUND(D2+I2+AJ2+AK2+AL2,2)</f>
        <v/>
      </c>
      <c r="AN2" s="63">
        <f>ROUND(AF2+AG2+AH2+AI2+N2+S2,2)</f>
        <v/>
      </c>
      <c r="AO2" s="63">
        <f>ROUND(AM2-AN2,2)</f>
        <v/>
      </c>
      <c r="AP2" s="69">
        <f>IF(AO2&gt;0,"ÖDENECEK KDV",IF(AO2&lt;0,"DEVREDEN KDV","SIFIR"))</f>
        <v/>
      </c>
      <c r="AQ2" s="69">
        <f>COUNTIF(F2:AE2,"TUTMUYOR")+COUNTIF(F2:AE2,"KÜÇÜK FARK")</f>
        <v/>
      </c>
      <c r="AR2" s="62">
        <f>IF($AQ2=0,"Sorun yok / tolerans içinde",TEXTJOIN(" | ",TRUE,IF(AND($F2&lt;&gt;"TUTUYOR",$F2&lt;&gt;"HAREKET YOK"),"600 %10: "&amp;IF($E2&gt;0,"391 %10 fazla; %20 olması gereken matrah %10 gelirde kalmış, çift KDV veya yanlış mapping olabilir","391 %10 eksik; %10 gelir 391 KDV hesabına eksik yansımış olabilir"),""),IF(AND($K2&lt;&gt;"TUTUYOR",$K2&lt;&gt;"HAREKET YOK"),"600 %20: "&amp;IF($J2&gt;0,"391 %20 fazla; %20 KDV mükerrer/fazla çalışmış olabilir","391 %20 eksik; %20 gelir 391 KDV hesabına eksik yansımış olabilir"),""),IF(AND($P2&lt;&gt;"TUTUYOR",$P2&lt;&gt;"HAREKET YOK"),"610 %10: "&amp;IF($O2&gt;0,"191 satış iade KDV fazla; iade KDV mükerrer/manuel fazla olabilir","191 satış iade KDV eksik; satış iadesi KDV hesabına bağlanmamış olabilir"),""),IF(AND($U2&lt;&gt;"TUTUYOR",$U2&lt;&gt;"HAREKET YOK"),"610 %20: "&amp;IF($T2&gt;0,"191 %20 satış iade KDV fazla olabilir","191 %20 satış iade KDV eksik olabilir"),""),IF(AND($Z2&lt;&gt;"TUTUYOR",$Z2&lt;&gt;"HAREKET YOK"),"602/391: "&amp;IF($Y2&gt;0,"391 ilave KDV fazla; alış iade/ciro primi KDV mapping kontrol edilmeli","391 ilave KDV eksik; alış iade/ciro primi KDV mapping kontrol edilmeli"),""),IF(AND($AE2&lt;&gt;"TUTUYOR",$AE2&lt;&gt;"HAREKET YOK"),"646/391: "&amp;IF($AD2&gt;0,"391 ilave KDV fazla; kur farkı KDV oranı veya hesap eşleşmesi kontrol edilmeli","391 ilave KDV eksik; kur farkı KDV mapping kontrol edilmeli"),"")))</f>
        <v/>
      </c>
      <c r="AS2" s="62">
        <f>IF($AQ2=0,"Fiş düzeltmesi gerekmiyor",TEXTJOIN(" / ",TRUE,IF(AND($F2&lt;&gt;"TUTUYOR",$F2&lt;&gt;"HAREKET YOK"),"600-391 gelir entegrasyonu ve KDV oran mapping", ""),IF(AND($K2&lt;&gt;"TUTUYOR",$K2&lt;&gt;"HAREKET YOK"),"600 %20 gelir ve 391 %20 KDV fişi", ""),IF(AND($P2&lt;&gt;"TUTUYOR",$P2&lt;&gt;"HAREKET YOK"),"610 satış iadesi ve 191 satıştan iade KDV", ""),IF(AND($U2&lt;&gt;"TUTUYOR",$U2&lt;&gt;"HAREKET YOK"),"610 %20 iade ve 191 %20 iade KDV", ""),IF(AND($Z2&lt;&gt;"TUTUYOR",$Z2&lt;&gt;"HAREKET YOK"),"602 ciro/iskonto geliri ve 391 ilave KDV", ""),IF(AND($AE2&lt;&gt;"TUTUYOR",$AE2&lt;&gt;"HAREKET YOK"),"646 kur farkı ve 391 ilave KDV", "")))</f>
        <v/>
      </c>
      <c r="AT2" s="62">
        <f>IF(COUNTIF($F2:$AE2,"TUTMUYOR")&gt;0,"YÜKSEK",IF(COUNTIF($F2:$AE2,"KÜÇÜK FARK")&gt;0,"ORTA","DÜŞÜK"))</f>
        <v/>
      </c>
    </row>
    <row r="3">
      <c r="A3" s="64" t="inlineStr">
        <is>
          <t>ROYAL ALHAMBRA</t>
        </is>
      </c>
      <c r="B3" s="65">
        <f>(SUMIFS('RAW_HESAP_KARTLARI'!$F$2:$F$10000,'RAW_HESAP_KARTLARI'!$A$2:$A$10000,"600.01.01.0001",'RAW_HESAP_KARTLARI'!$D$2:$D$10000,$A3)-SUMIFS('RAW_HESAP_KARTLARI'!$E$2:$E$10000,'RAW_HESAP_KARTLARI'!$A$2:$A$10000,"600.01.01.0001",'RAW_HESAP_KARTLARI'!$D$2:$D$10000,$A3))+(SUMIFS('RAW_HESAP_KARTLARI'!$F$2:$F$10000,'RAW_HESAP_KARTLARI'!$A$2:$A$10000,"600.01.01.0002",'RAW_HESAP_KARTLARI'!$D$2:$D$10000,$A3)-SUMIFS('RAW_HESAP_KARTLARI'!$E$2:$E$10000,'RAW_HESAP_KARTLARI'!$A$2:$A$10000,"600.01.01.0002",'RAW_HESAP_KARTLARI'!$D$2:$D$10000,$A3))+(SUMIFS('RAW_HESAP_KARTLARI'!$F$2:$F$10000,'RAW_HESAP_KARTLARI'!$A$2:$A$10000,"600.01.02.0001",'RAW_HESAP_KARTLARI'!$D$2:$D$10000,$A3)-SUMIFS('RAW_HESAP_KARTLARI'!$E$2:$E$10000,'RAW_HESAP_KARTLARI'!$A$2:$A$10000,"600.01.02.0001",'RAW_HESAP_KARTLARI'!$D$2:$D$10000,$A3))+(SUMIFS('RAW_HESAP_KARTLARI'!$F$2:$F$10000,'RAW_HESAP_KARTLARI'!$A$2:$A$10000,"600.01.02.0002",'RAW_HESAP_KARTLARI'!$D$2:$D$10000,$A3)-SUMIFS('RAW_HESAP_KARTLARI'!$E$2:$E$10000,'RAW_HESAP_KARTLARI'!$A$2:$A$10000,"600.01.02.0002",'RAW_HESAP_KARTLARI'!$D$2:$D$10000,$A3))+(SUMIFS('RAW_HESAP_KARTLARI'!$F$2:$F$10000,'RAW_HESAP_KARTLARI'!$A$2:$A$10000,"600.01.03.0002",'RAW_HESAP_KARTLARI'!$D$2:$D$10000,$A3)-SUMIFS('RAW_HESAP_KARTLARI'!$E$2:$E$10000,'RAW_HESAP_KARTLARI'!$A$2:$A$10000,"600.01.03.0002",'RAW_HESAP_KARTLARI'!$D$2:$D$10000,$A3))</f>
        <v/>
      </c>
      <c r="C3" s="65">
        <f>ROUND(B3*10%,2)</f>
        <v/>
      </c>
      <c r="D3" s="65">
        <f>(SUMIFS('RAW_HESAP_KARTLARI'!$F$2:$F$10000,'RAW_HESAP_KARTLARI'!$A$2:$A$10000,"391.01.01.0002",'RAW_HESAP_KARTLARI'!$D$2:$D$10000,$A3)-SUMIFS('RAW_HESAP_KARTLARI'!$E$2:$E$10000,'RAW_HESAP_KARTLARI'!$A$2:$A$10000,"391.01.01.0002",'RAW_HESAP_KARTLARI'!$D$2:$D$10000,$A3))</f>
        <v/>
      </c>
      <c r="E3" s="65">
        <f>ROUND(D3-C3,2)</f>
        <v/>
      </c>
      <c r="F3" s="70">
        <f>IF(ABS(B3)&lt;0.005,"HAREKET YOK",IF(ABS(E3)&lt;=AYARLAR!$B$2,"TUTUYOR",IF(ABS(E3)&lt;=100,"KÜÇÜK FARK","TUTMUYOR")))</f>
        <v/>
      </c>
      <c r="G3" s="65">
        <f>(SUMIFS('RAW_HESAP_KARTLARI'!$F$2:$F$10000,'RAW_HESAP_KARTLARI'!$A$2:$A$10000,"600.01.02.0003",'RAW_HESAP_KARTLARI'!$D$2:$D$10000,$A3)-SUMIFS('RAW_HESAP_KARTLARI'!$E$2:$E$10000,'RAW_HESAP_KARTLARI'!$A$2:$A$10000,"600.01.02.0003",'RAW_HESAP_KARTLARI'!$D$2:$D$10000,$A3))+(SUMIFS('RAW_HESAP_KARTLARI'!$F$2:$F$10000,'RAW_HESAP_KARTLARI'!$A$2:$A$10000,"600.01.03.0001",'RAW_HESAP_KARTLARI'!$D$2:$D$10000,$A3)-SUMIFS('RAW_HESAP_KARTLARI'!$E$2:$E$10000,'RAW_HESAP_KARTLARI'!$A$2:$A$10000,"600.01.03.0001",'RAW_HESAP_KARTLARI'!$D$2:$D$10000,$A3))</f>
        <v/>
      </c>
      <c r="H3" s="65">
        <f>ROUND(G3*20%,2)</f>
        <v/>
      </c>
      <c r="I3" s="65">
        <f>(SUMIFS('RAW_HESAP_KARTLARI'!$F$2:$F$10000,'RAW_HESAP_KARTLARI'!$A$2:$A$10000,"391.01.01.0003",'RAW_HESAP_KARTLARI'!$D$2:$D$10000,$A3)-SUMIFS('RAW_HESAP_KARTLARI'!$E$2:$E$10000,'RAW_HESAP_KARTLARI'!$A$2:$A$10000,"391.01.01.0003",'RAW_HESAP_KARTLARI'!$D$2:$D$10000,$A3))</f>
        <v/>
      </c>
      <c r="J3" s="65">
        <f>ROUND(I3-H3,2)</f>
        <v/>
      </c>
      <c r="K3" s="70">
        <f>IF(ABS(G3)&lt;0.005,"HAREKET YOK",IF(ABS(J3)&lt;=AYARLAR!$B$2,"TUTUYOR",IF(ABS(J3)&lt;=100,"KÜÇÜK FARK","TUTMUYOR")))</f>
        <v/>
      </c>
      <c r="L3" s="65">
        <f>(SUMIFS('RAW_HESAP_KARTLARI'!$E$2:$E$10000,'RAW_HESAP_KARTLARI'!$A$2:$A$10000,"610.01.01.0001",'RAW_HESAP_KARTLARI'!$D$2:$D$10000,$A3)-SUMIFS('RAW_HESAP_KARTLARI'!$F$2:$F$10000,'RAW_HESAP_KARTLARI'!$A$2:$A$10000,"610.01.01.0001",'RAW_HESAP_KARTLARI'!$D$2:$D$10000,$A3))</f>
        <v/>
      </c>
      <c r="M3" s="65">
        <f>ROUND(L3*10%,2)</f>
        <v/>
      </c>
      <c r="N3" s="65">
        <f>(SUMIFS('RAW_HESAP_KARTLARI'!$E$2:$E$10000,'RAW_HESAP_KARTLARI'!$A$2:$A$10000,"191.01.02.0002",'RAW_HESAP_KARTLARI'!$D$2:$D$10000,$A3)-SUMIFS('RAW_HESAP_KARTLARI'!$F$2:$F$10000,'RAW_HESAP_KARTLARI'!$A$2:$A$10000,"191.01.02.0002",'RAW_HESAP_KARTLARI'!$D$2:$D$10000,$A3))</f>
        <v/>
      </c>
      <c r="O3" s="65">
        <f>ROUND(N3-M3,2)</f>
        <v/>
      </c>
      <c r="P3" s="70">
        <f>IF(ABS(L3)&lt;0.005,"HAREKET YOK",IF(ABS(O3)&lt;=AYARLAR!$B$2,"TUTUYOR",IF(ABS(O3)&lt;=100,"KÜÇÜK FARK","TUTMUYOR")))</f>
        <v/>
      </c>
      <c r="Q3" s="65">
        <f>(SUMIFS('RAW_HESAP_KARTLARI'!$E$2:$E$10000,'RAW_HESAP_KARTLARI'!$A$2:$A$10000,"610.01.01.0002",'RAW_HESAP_KARTLARI'!$D$2:$D$10000,$A3)-SUMIFS('RAW_HESAP_KARTLARI'!$F$2:$F$10000,'RAW_HESAP_KARTLARI'!$A$2:$A$10000,"610.01.01.0002",'RAW_HESAP_KARTLARI'!$D$2:$D$10000,$A3))</f>
        <v/>
      </c>
      <c r="R3" s="65">
        <f>ROUND(Q3*20%,2)</f>
        <v/>
      </c>
      <c r="S3" s="65">
        <f>(SUMIFS('RAW_HESAP_KARTLARI'!$E$2:$E$10000,'RAW_HESAP_KARTLARI'!$A$2:$A$10000,"191.01.02.0003",'RAW_HESAP_KARTLARI'!$D$2:$D$10000,$A3)-SUMIFS('RAW_HESAP_KARTLARI'!$F$2:$F$10000,'RAW_HESAP_KARTLARI'!$A$2:$A$10000,"191.01.02.0003",'RAW_HESAP_KARTLARI'!$D$2:$D$10000,$A3))</f>
        <v/>
      </c>
      <c r="T3" s="65">
        <f>ROUND(S3-R3,2)</f>
        <v/>
      </c>
      <c r="U3" s="70">
        <f>IF(ABS(Q3)&lt;0.005,"HAREKET YOK",IF(ABS(T3)&lt;=AYARLAR!$B$2,"TUTUYOR",IF(ABS(T3)&lt;=100,"KÜÇÜK FARK","TUTMUYOR")))</f>
        <v/>
      </c>
      <c r="V3" s="65">
        <f>(SUMIFS('RAW_HESAP_KARTLARI'!$F$2:$F$10000,'RAW_HESAP_KARTLARI'!$A$2:$A$10000,"602.01.02.0003",'RAW_HESAP_KARTLARI'!$D$2:$D$10000,$A3)-SUMIFS('RAW_HESAP_KARTLARI'!$E$2:$E$10000,'RAW_HESAP_KARTLARI'!$A$2:$A$10000,"602.01.02.0003",'RAW_HESAP_KARTLARI'!$D$2:$D$10000,$A3))</f>
        <v/>
      </c>
      <c r="W3" s="65">
        <f>ROUND(V3*20%,2)</f>
        <v/>
      </c>
      <c r="X3" s="65">
        <f>(SUMIFS('RAW_HESAP_KARTLARI'!$F$2:$F$10000,'RAW_HESAP_KARTLARI'!$A$2:$A$10000,"391.01.03.0008",'RAW_HESAP_KARTLARI'!$D$2:$D$10000,$A3)-SUMIFS('RAW_HESAP_KARTLARI'!$E$2:$E$10000,'RAW_HESAP_KARTLARI'!$A$2:$A$10000,"391.01.03.0008",'RAW_HESAP_KARTLARI'!$D$2:$D$10000,$A3))</f>
        <v/>
      </c>
      <c r="Y3" s="65">
        <f>ROUND(X3-W3,2)</f>
        <v/>
      </c>
      <c r="Z3" s="70">
        <f>IF(ABS(V3)&lt;0.005,"HAREKET YOK",IF(ABS(Y3)&lt;=AYARLAR!$B$2,"TUTUYOR",IF(ABS(Y3)&lt;=100,"KÜÇÜK FARK","TUTMUYOR")))</f>
        <v/>
      </c>
      <c r="AA3" s="65">
        <f>(SUMIFS('RAW_HESAP_KARTLARI'!$F$2:$F$10000,'RAW_HESAP_KARTLARI'!$A$2:$A$10000,"646.01.01.0003",'RAW_HESAP_KARTLARI'!$D$2:$D$10000,$A3)-SUMIFS('RAW_HESAP_KARTLARI'!$E$2:$E$10000,'RAW_HESAP_KARTLARI'!$A$2:$A$10000,"646.01.01.0003",'RAW_HESAP_KARTLARI'!$D$2:$D$10000,$A3))</f>
        <v/>
      </c>
      <c r="AB3" s="65">
        <f>ROUND(AA3*10%,2)</f>
        <v/>
      </c>
      <c r="AC3" s="65">
        <f>(SUMIFS('RAW_HESAP_KARTLARI'!$F$2:$F$10000,'RAW_HESAP_KARTLARI'!$A$2:$A$10000,"391.01.04.0002",'RAW_HESAP_KARTLARI'!$D$2:$D$10000,$A3)-SUMIFS('RAW_HESAP_KARTLARI'!$E$2:$E$10000,'RAW_HESAP_KARTLARI'!$A$2:$A$10000,"391.01.04.0002",'RAW_HESAP_KARTLARI'!$D$2:$D$10000,$A3))</f>
        <v/>
      </c>
      <c r="AD3" s="65">
        <f>ROUND(AC3-AB3,2)</f>
        <v/>
      </c>
      <c r="AE3" s="70">
        <f>IF(ABS(AA3)&lt;0.005,"HAREKET YOK",IF(ABS(AD3)&lt;=AYARLAR!$B$2,"TUTUYOR",IF(ABS(AD3)&lt;=100,"KÜÇÜK FARK","TUTMUYOR")))</f>
        <v/>
      </c>
      <c r="AF3" s="65">
        <f>(SUMIFS('RAW_HESAP_KARTLARI'!$E$2:$E$10000,'RAW_HESAP_KARTLARI'!$A$2:$A$10000,"191.01.01.0001",'RAW_HESAP_KARTLARI'!$D$2:$D$10000,$A3)-SUMIFS('RAW_HESAP_KARTLARI'!$F$2:$F$10000,'RAW_HESAP_KARTLARI'!$A$2:$A$10000,"191.01.01.0001",'RAW_HESAP_KARTLARI'!$D$2:$D$10000,$A3))</f>
        <v/>
      </c>
      <c r="AG3" s="65">
        <f>(SUMIFS('RAW_HESAP_KARTLARI'!$E$2:$E$10000,'RAW_HESAP_KARTLARI'!$A$2:$A$10000,"191.01.01.0002",'RAW_HESAP_KARTLARI'!$D$2:$D$10000,$A3)-SUMIFS('RAW_HESAP_KARTLARI'!$F$2:$F$10000,'RAW_HESAP_KARTLARI'!$A$2:$A$10000,"191.01.01.0002",'RAW_HESAP_KARTLARI'!$D$2:$D$10000,$A3))</f>
        <v/>
      </c>
      <c r="AH3" s="65">
        <f>(SUMIFS('RAW_HESAP_KARTLARI'!$E$2:$E$10000,'RAW_HESAP_KARTLARI'!$A$2:$A$10000,"191.01.01.0003",'RAW_HESAP_KARTLARI'!$D$2:$D$10000,$A3)-SUMIFS('RAW_HESAP_KARTLARI'!$F$2:$F$10000,'RAW_HESAP_KARTLARI'!$A$2:$A$10000,"191.01.01.0003",'RAW_HESAP_KARTLARI'!$D$2:$D$10000,$A3))</f>
        <v/>
      </c>
      <c r="AI3" s="65">
        <f>(SUMIFS('RAW_HESAP_KARTLARI'!$E$2:$E$10000,'RAW_HESAP_KARTLARI'!$A$2:$A$10000,"191.01.01.0006",'RAW_HESAP_KARTLARI'!$D$2:$D$10000,$A3)-SUMIFS('RAW_HESAP_KARTLARI'!$F$2:$F$10000,'RAW_HESAP_KARTLARI'!$A$2:$A$10000,"191.01.01.0006",'RAW_HESAP_KARTLARI'!$D$2:$D$10000,$A3))</f>
        <v/>
      </c>
      <c r="AJ3" s="65">
        <f>(SUMIFS('RAW_HESAP_KARTLARI'!$F$2:$F$10000,'RAW_HESAP_KARTLARI'!$A$2:$A$10000,"391.01.03.0001",'RAW_HESAP_KARTLARI'!$D$2:$D$10000,$A3)-SUMIFS('RAW_HESAP_KARTLARI'!$E$2:$E$10000,'RAW_HESAP_KARTLARI'!$A$2:$A$10000,"391.01.03.0001",'RAW_HESAP_KARTLARI'!$D$2:$D$10000,$A3))</f>
        <v/>
      </c>
      <c r="AK3" s="65">
        <f>(SUMIFS('RAW_HESAP_KARTLARI'!$F$2:$F$10000,'RAW_HESAP_KARTLARI'!$A$2:$A$10000,"391.01.03.0003",'RAW_HESAP_KARTLARI'!$D$2:$D$10000,$A3)-SUMIFS('RAW_HESAP_KARTLARI'!$E$2:$E$10000,'RAW_HESAP_KARTLARI'!$A$2:$A$10000,"391.01.03.0003",'RAW_HESAP_KARTLARI'!$D$2:$D$10000,$A3))+(SUMIFS('RAW_HESAP_KARTLARI'!$F$2:$F$10000,'RAW_HESAP_KARTLARI'!$A$2:$A$10000,"391.01.03.0008",'RAW_HESAP_KARTLARI'!$D$2:$D$10000,$A3)-SUMIFS('RAW_HESAP_KARTLARI'!$E$2:$E$10000,'RAW_HESAP_KARTLARI'!$A$2:$A$10000,"391.01.03.0008",'RAW_HESAP_KARTLARI'!$D$2:$D$10000,$A3))</f>
        <v/>
      </c>
      <c r="AL3" s="70">
        <f>(SUMIFS('RAW_HESAP_KARTLARI'!$F$2:$F$10000,'RAW_HESAP_KARTLARI'!$A$2:$A$10000,"391.01.03.0009",'RAW_HESAP_KARTLARI'!$D$2:$D$10000,$A3)-SUMIFS('RAW_HESAP_KARTLARI'!$E$2:$E$10000,'RAW_HESAP_KARTLARI'!$A$2:$A$10000,"391.01.03.0009",'RAW_HESAP_KARTLARI'!$D$2:$D$10000,$A3))+(SUMIFS('RAW_HESAP_KARTLARI'!$F$2:$F$10000,'RAW_HESAP_KARTLARI'!$A$2:$A$10000,"391.01.04.0002",'RAW_HESAP_KARTLARI'!$D$2:$D$10000,$A3)-SUMIFS('RAW_HESAP_KARTLARI'!$E$2:$E$10000,'RAW_HESAP_KARTLARI'!$A$2:$A$10000,"391.01.04.0002",'RAW_HESAP_KARTLARI'!$D$2:$D$10000,$A3))</f>
        <v/>
      </c>
      <c r="AM3" s="65">
        <f>ROUND(D3+I3+AJ3+AK3+AL3,2)</f>
        <v/>
      </c>
      <c r="AN3" s="65">
        <f>ROUND(AF3+AG3+AH3+AI3+N3+S3,2)</f>
        <v/>
      </c>
      <c r="AO3" s="65">
        <f>ROUND(AM3-AN3,2)</f>
        <v/>
      </c>
      <c r="AP3" s="70">
        <f>IF(AO3&gt;0,"ÖDENECEK KDV",IF(AO3&lt;0,"DEVREDEN KDV","SIFIR"))</f>
        <v/>
      </c>
      <c r="AQ3" s="70">
        <f>COUNTIF(F3:AE3,"TUTMUYOR")+COUNTIF(F3:AE3,"KÜÇÜK FARK")</f>
        <v/>
      </c>
      <c r="AR3" s="64">
        <f>IF($AQ3=0,"Sorun yok / tolerans içinde",TEXTJOIN(" | ",TRUE,IF(AND($F3&lt;&gt;"TUTUYOR",$F3&lt;&gt;"HAREKET YOK"),"600 %10: "&amp;IF($E3&gt;0,"391 %10 fazla; %20 olması gereken matrah %10 gelirde kalmış, çift KDV veya yanlış mapping olabilir","391 %10 eksik; %10 gelir 391 KDV hesabına eksik yansımış olabilir"),""),IF(AND($K3&lt;&gt;"TUTUYOR",$K3&lt;&gt;"HAREKET YOK"),"600 %20: "&amp;IF($J3&gt;0,"391 %20 fazla; %20 KDV mükerrer/fazla çalışmış olabilir","391 %20 eksik; %20 gelir 391 KDV hesabına eksik yansımış olabilir"),""),IF(AND($P3&lt;&gt;"TUTUYOR",$P3&lt;&gt;"HAREKET YOK"),"610 %10: "&amp;IF($O3&gt;0,"191 satış iade KDV fazla; iade KDV mükerrer/manuel fazla olabilir","191 satış iade KDV eksik; satış iadesi KDV hesabına bağlanmamış olabilir"),""),IF(AND($U3&lt;&gt;"TUTUYOR",$U3&lt;&gt;"HAREKET YOK"),"610 %20: "&amp;IF($T3&gt;0,"191 %20 satış iade KDV fazla olabilir","191 %20 satış iade KDV eksik olabilir"),""),IF(AND($Z3&lt;&gt;"TUTUYOR",$Z3&lt;&gt;"HAREKET YOK"),"602/391: "&amp;IF($Y3&gt;0,"391 ilave KDV fazla; alış iade/ciro primi KDV mapping kontrol edilmeli","391 ilave KDV eksik; alış iade/ciro primi KDV mapping kontrol edilmeli"),""),IF(AND($AE3&lt;&gt;"TUTUYOR",$AE3&lt;&gt;"HAREKET YOK"),"646/391: "&amp;IF($AD3&gt;0,"391 ilave KDV fazla; kur farkı KDV oranı veya hesap eşleşmesi kontrol edilmeli","391 ilave KDV eksik; kur farkı KDV mapping kontrol edilmeli"),"")))</f>
        <v/>
      </c>
      <c r="AS3" s="64">
        <f>IF($AQ3=0,"Fiş düzeltmesi gerekmiyor",TEXTJOIN(" / ",TRUE,IF(AND($F3&lt;&gt;"TUTUYOR",$F3&lt;&gt;"HAREKET YOK"),"600-391 gelir entegrasyonu ve KDV oran mapping", ""),IF(AND($K3&lt;&gt;"TUTUYOR",$K3&lt;&gt;"HAREKET YOK"),"600 %20 gelir ve 391 %20 KDV fişi", ""),IF(AND($P3&lt;&gt;"TUTUYOR",$P3&lt;&gt;"HAREKET YOK"),"610 satış iadesi ve 191 satıştan iade KDV", ""),IF(AND($U3&lt;&gt;"TUTUYOR",$U3&lt;&gt;"HAREKET YOK"),"610 %20 iade ve 191 %20 iade KDV", ""),IF(AND($Z3&lt;&gt;"TUTUYOR",$Z3&lt;&gt;"HAREKET YOK"),"602 ciro/iskonto geliri ve 391 ilave KDV", ""),IF(AND($AE3&lt;&gt;"TUTUYOR",$AE3&lt;&gt;"HAREKET YOK"),"646 kur farkı ve 391 ilave KDV", "")))</f>
        <v/>
      </c>
      <c r="AT3" s="64">
        <f>IF(COUNTIF($F3:$AE3,"TUTMUYOR")&gt;0,"YÜKSEK",IF(COUNTIF($F3:$AE3,"KÜÇÜK FARK")&gt;0,"ORTA","DÜŞÜK"))</f>
        <v/>
      </c>
    </row>
    <row r="4">
      <c r="A4" s="62" t="inlineStr">
        <is>
          <t>ROYAL DRAGON</t>
        </is>
      </c>
      <c r="B4" s="63">
        <f>(SUMIFS('RAW_HESAP_KARTLARI'!$F$2:$F$10000,'RAW_HESAP_KARTLARI'!$A$2:$A$10000,"600.01.01.0001",'RAW_HESAP_KARTLARI'!$D$2:$D$10000,$A4)-SUMIFS('RAW_HESAP_KARTLARI'!$E$2:$E$10000,'RAW_HESAP_KARTLARI'!$A$2:$A$10000,"600.01.01.0001",'RAW_HESAP_KARTLARI'!$D$2:$D$10000,$A4))+(SUMIFS('RAW_HESAP_KARTLARI'!$F$2:$F$10000,'RAW_HESAP_KARTLARI'!$A$2:$A$10000,"600.01.01.0002",'RAW_HESAP_KARTLARI'!$D$2:$D$10000,$A4)-SUMIFS('RAW_HESAP_KARTLARI'!$E$2:$E$10000,'RAW_HESAP_KARTLARI'!$A$2:$A$10000,"600.01.01.0002",'RAW_HESAP_KARTLARI'!$D$2:$D$10000,$A4))+(SUMIFS('RAW_HESAP_KARTLARI'!$F$2:$F$10000,'RAW_HESAP_KARTLARI'!$A$2:$A$10000,"600.01.02.0001",'RAW_HESAP_KARTLARI'!$D$2:$D$10000,$A4)-SUMIFS('RAW_HESAP_KARTLARI'!$E$2:$E$10000,'RAW_HESAP_KARTLARI'!$A$2:$A$10000,"600.01.02.0001",'RAW_HESAP_KARTLARI'!$D$2:$D$10000,$A4))+(SUMIFS('RAW_HESAP_KARTLARI'!$F$2:$F$10000,'RAW_HESAP_KARTLARI'!$A$2:$A$10000,"600.01.02.0002",'RAW_HESAP_KARTLARI'!$D$2:$D$10000,$A4)-SUMIFS('RAW_HESAP_KARTLARI'!$E$2:$E$10000,'RAW_HESAP_KARTLARI'!$A$2:$A$10000,"600.01.02.0002",'RAW_HESAP_KARTLARI'!$D$2:$D$10000,$A4))+(SUMIFS('RAW_HESAP_KARTLARI'!$F$2:$F$10000,'RAW_HESAP_KARTLARI'!$A$2:$A$10000,"600.01.03.0002",'RAW_HESAP_KARTLARI'!$D$2:$D$10000,$A4)-SUMIFS('RAW_HESAP_KARTLARI'!$E$2:$E$10000,'RAW_HESAP_KARTLARI'!$A$2:$A$10000,"600.01.03.0002",'RAW_HESAP_KARTLARI'!$D$2:$D$10000,$A4))</f>
        <v/>
      </c>
      <c r="C4" s="63">
        <f>ROUND(B4*10%,2)</f>
        <v/>
      </c>
      <c r="D4" s="63">
        <f>(SUMIFS('RAW_HESAP_KARTLARI'!$F$2:$F$10000,'RAW_HESAP_KARTLARI'!$A$2:$A$10000,"391.01.01.0002",'RAW_HESAP_KARTLARI'!$D$2:$D$10000,$A4)-SUMIFS('RAW_HESAP_KARTLARI'!$E$2:$E$10000,'RAW_HESAP_KARTLARI'!$A$2:$A$10000,"391.01.01.0002",'RAW_HESAP_KARTLARI'!$D$2:$D$10000,$A4))</f>
        <v/>
      </c>
      <c r="E4" s="63">
        <f>ROUND(D4-C4,2)</f>
        <v/>
      </c>
      <c r="F4" s="69">
        <f>IF(ABS(B4)&lt;0.005,"HAREKET YOK",IF(ABS(E4)&lt;=AYARLAR!$B$2,"TUTUYOR",IF(ABS(E4)&lt;=100,"KÜÇÜK FARK","TUTMUYOR")))</f>
        <v/>
      </c>
      <c r="G4" s="63">
        <f>(SUMIFS('RAW_HESAP_KARTLARI'!$F$2:$F$10000,'RAW_HESAP_KARTLARI'!$A$2:$A$10000,"600.01.02.0003",'RAW_HESAP_KARTLARI'!$D$2:$D$10000,$A4)-SUMIFS('RAW_HESAP_KARTLARI'!$E$2:$E$10000,'RAW_HESAP_KARTLARI'!$A$2:$A$10000,"600.01.02.0003",'RAW_HESAP_KARTLARI'!$D$2:$D$10000,$A4))+(SUMIFS('RAW_HESAP_KARTLARI'!$F$2:$F$10000,'RAW_HESAP_KARTLARI'!$A$2:$A$10000,"600.01.03.0001",'RAW_HESAP_KARTLARI'!$D$2:$D$10000,$A4)-SUMIFS('RAW_HESAP_KARTLARI'!$E$2:$E$10000,'RAW_HESAP_KARTLARI'!$A$2:$A$10000,"600.01.03.0001",'RAW_HESAP_KARTLARI'!$D$2:$D$10000,$A4))</f>
        <v/>
      </c>
      <c r="H4" s="63">
        <f>ROUND(G4*20%,2)</f>
        <v/>
      </c>
      <c r="I4" s="63">
        <f>(SUMIFS('RAW_HESAP_KARTLARI'!$F$2:$F$10000,'RAW_HESAP_KARTLARI'!$A$2:$A$10000,"391.01.01.0003",'RAW_HESAP_KARTLARI'!$D$2:$D$10000,$A4)-SUMIFS('RAW_HESAP_KARTLARI'!$E$2:$E$10000,'RAW_HESAP_KARTLARI'!$A$2:$A$10000,"391.01.01.0003",'RAW_HESAP_KARTLARI'!$D$2:$D$10000,$A4))</f>
        <v/>
      </c>
      <c r="J4" s="63">
        <f>ROUND(I4-H4,2)</f>
        <v/>
      </c>
      <c r="K4" s="69">
        <f>IF(ABS(G4)&lt;0.005,"HAREKET YOK",IF(ABS(J4)&lt;=AYARLAR!$B$2,"TUTUYOR",IF(ABS(J4)&lt;=100,"KÜÇÜK FARK","TUTMUYOR")))</f>
        <v/>
      </c>
      <c r="L4" s="63">
        <f>(SUMIFS('RAW_HESAP_KARTLARI'!$E$2:$E$10000,'RAW_HESAP_KARTLARI'!$A$2:$A$10000,"610.01.01.0001",'RAW_HESAP_KARTLARI'!$D$2:$D$10000,$A4)-SUMIFS('RAW_HESAP_KARTLARI'!$F$2:$F$10000,'RAW_HESAP_KARTLARI'!$A$2:$A$10000,"610.01.01.0001",'RAW_HESAP_KARTLARI'!$D$2:$D$10000,$A4))</f>
        <v/>
      </c>
      <c r="M4" s="63">
        <f>ROUND(L4*10%,2)</f>
        <v/>
      </c>
      <c r="N4" s="63">
        <f>(SUMIFS('RAW_HESAP_KARTLARI'!$E$2:$E$10000,'RAW_HESAP_KARTLARI'!$A$2:$A$10000,"191.01.02.0002",'RAW_HESAP_KARTLARI'!$D$2:$D$10000,$A4)-SUMIFS('RAW_HESAP_KARTLARI'!$F$2:$F$10000,'RAW_HESAP_KARTLARI'!$A$2:$A$10000,"191.01.02.0002",'RAW_HESAP_KARTLARI'!$D$2:$D$10000,$A4))</f>
        <v/>
      </c>
      <c r="O4" s="63">
        <f>ROUND(N4-M4,2)</f>
        <v/>
      </c>
      <c r="P4" s="69">
        <f>IF(ABS(L4)&lt;0.005,"HAREKET YOK",IF(ABS(O4)&lt;=AYARLAR!$B$2,"TUTUYOR",IF(ABS(O4)&lt;=100,"KÜÇÜK FARK","TUTMUYOR")))</f>
        <v/>
      </c>
      <c r="Q4" s="63">
        <f>(SUMIFS('RAW_HESAP_KARTLARI'!$E$2:$E$10000,'RAW_HESAP_KARTLARI'!$A$2:$A$10000,"610.01.01.0002",'RAW_HESAP_KARTLARI'!$D$2:$D$10000,$A4)-SUMIFS('RAW_HESAP_KARTLARI'!$F$2:$F$10000,'RAW_HESAP_KARTLARI'!$A$2:$A$10000,"610.01.01.0002",'RAW_HESAP_KARTLARI'!$D$2:$D$10000,$A4))</f>
        <v/>
      </c>
      <c r="R4" s="63">
        <f>ROUND(Q4*20%,2)</f>
        <v/>
      </c>
      <c r="S4" s="63">
        <f>(SUMIFS('RAW_HESAP_KARTLARI'!$E$2:$E$10000,'RAW_HESAP_KARTLARI'!$A$2:$A$10000,"191.01.02.0003",'RAW_HESAP_KARTLARI'!$D$2:$D$10000,$A4)-SUMIFS('RAW_HESAP_KARTLARI'!$F$2:$F$10000,'RAW_HESAP_KARTLARI'!$A$2:$A$10000,"191.01.02.0003",'RAW_HESAP_KARTLARI'!$D$2:$D$10000,$A4))</f>
        <v/>
      </c>
      <c r="T4" s="63">
        <f>ROUND(S4-R4,2)</f>
        <v/>
      </c>
      <c r="U4" s="69">
        <f>IF(ABS(Q4)&lt;0.005,"HAREKET YOK",IF(ABS(T4)&lt;=AYARLAR!$B$2,"TUTUYOR",IF(ABS(T4)&lt;=100,"KÜÇÜK FARK","TUTMUYOR")))</f>
        <v/>
      </c>
      <c r="V4" s="63">
        <f>(SUMIFS('RAW_HESAP_KARTLARI'!$F$2:$F$10000,'RAW_HESAP_KARTLARI'!$A$2:$A$10000,"602.01.02.0003",'RAW_HESAP_KARTLARI'!$D$2:$D$10000,$A4)-SUMIFS('RAW_HESAP_KARTLARI'!$E$2:$E$10000,'RAW_HESAP_KARTLARI'!$A$2:$A$10000,"602.01.02.0003",'RAW_HESAP_KARTLARI'!$D$2:$D$10000,$A4))</f>
        <v/>
      </c>
      <c r="W4" s="63">
        <f>ROUND(V4*20%,2)</f>
        <v/>
      </c>
      <c r="X4" s="63">
        <f>(SUMIFS('RAW_HESAP_KARTLARI'!$F$2:$F$10000,'RAW_HESAP_KARTLARI'!$A$2:$A$10000,"391.01.03.0008",'RAW_HESAP_KARTLARI'!$D$2:$D$10000,$A4)-SUMIFS('RAW_HESAP_KARTLARI'!$E$2:$E$10000,'RAW_HESAP_KARTLARI'!$A$2:$A$10000,"391.01.03.0008",'RAW_HESAP_KARTLARI'!$D$2:$D$10000,$A4))</f>
        <v/>
      </c>
      <c r="Y4" s="63">
        <f>ROUND(X4-W4,2)</f>
        <v/>
      </c>
      <c r="Z4" s="69">
        <f>IF(ABS(V4)&lt;0.005,"HAREKET YOK",IF(ABS(Y4)&lt;=AYARLAR!$B$2,"TUTUYOR",IF(ABS(Y4)&lt;=100,"KÜÇÜK FARK","TUTMUYOR")))</f>
        <v/>
      </c>
      <c r="AA4" s="63">
        <f>(SUMIFS('RAW_HESAP_KARTLARI'!$F$2:$F$10000,'RAW_HESAP_KARTLARI'!$A$2:$A$10000,"646.01.01.0003",'RAW_HESAP_KARTLARI'!$D$2:$D$10000,$A4)-SUMIFS('RAW_HESAP_KARTLARI'!$E$2:$E$10000,'RAW_HESAP_KARTLARI'!$A$2:$A$10000,"646.01.01.0003",'RAW_HESAP_KARTLARI'!$D$2:$D$10000,$A4))</f>
        <v/>
      </c>
      <c r="AB4" s="63">
        <f>ROUND(AA4*10%,2)</f>
        <v/>
      </c>
      <c r="AC4" s="63">
        <f>(SUMIFS('RAW_HESAP_KARTLARI'!$F$2:$F$10000,'RAW_HESAP_KARTLARI'!$A$2:$A$10000,"391.01.04.0002",'RAW_HESAP_KARTLARI'!$D$2:$D$10000,$A4)-SUMIFS('RAW_HESAP_KARTLARI'!$E$2:$E$10000,'RAW_HESAP_KARTLARI'!$A$2:$A$10000,"391.01.04.0002",'RAW_HESAP_KARTLARI'!$D$2:$D$10000,$A4))</f>
        <v/>
      </c>
      <c r="AD4" s="63">
        <f>ROUND(AC4-AB4,2)</f>
        <v/>
      </c>
      <c r="AE4" s="69">
        <f>IF(ABS(AA4)&lt;0.005,"HAREKET YOK",IF(ABS(AD4)&lt;=AYARLAR!$B$2,"TUTUYOR",IF(ABS(AD4)&lt;=100,"KÜÇÜK FARK","TUTMUYOR")))</f>
        <v/>
      </c>
      <c r="AF4" s="63">
        <f>(SUMIFS('RAW_HESAP_KARTLARI'!$E$2:$E$10000,'RAW_HESAP_KARTLARI'!$A$2:$A$10000,"191.01.01.0001",'RAW_HESAP_KARTLARI'!$D$2:$D$10000,$A4)-SUMIFS('RAW_HESAP_KARTLARI'!$F$2:$F$10000,'RAW_HESAP_KARTLARI'!$A$2:$A$10000,"191.01.01.0001",'RAW_HESAP_KARTLARI'!$D$2:$D$10000,$A4))</f>
        <v/>
      </c>
      <c r="AG4" s="63">
        <f>(SUMIFS('RAW_HESAP_KARTLARI'!$E$2:$E$10000,'RAW_HESAP_KARTLARI'!$A$2:$A$10000,"191.01.01.0002",'RAW_HESAP_KARTLARI'!$D$2:$D$10000,$A4)-SUMIFS('RAW_HESAP_KARTLARI'!$F$2:$F$10000,'RAW_HESAP_KARTLARI'!$A$2:$A$10000,"191.01.01.0002",'RAW_HESAP_KARTLARI'!$D$2:$D$10000,$A4))</f>
        <v/>
      </c>
      <c r="AH4" s="63">
        <f>(SUMIFS('RAW_HESAP_KARTLARI'!$E$2:$E$10000,'RAW_HESAP_KARTLARI'!$A$2:$A$10000,"191.01.01.0003",'RAW_HESAP_KARTLARI'!$D$2:$D$10000,$A4)-SUMIFS('RAW_HESAP_KARTLARI'!$F$2:$F$10000,'RAW_HESAP_KARTLARI'!$A$2:$A$10000,"191.01.01.0003",'RAW_HESAP_KARTLARI'!$D$2:$D$10000,$A4))</f>
        <v/>
      </c>
      <c r="AI4" s="63">
        <f>(SUMIFS('RAW_HESAP_KARTLARI'!$E$2:$E$10000,'RAW_HESAP_KARTLARI'!$A$2:$A$10000,"191.01.01.0006",'RAW_HESAP_KARTLARI'!$D$2:$D$10000,$A4)-SUMIFS('RAW_HESAP_KARTLARI'!$F$2:$F$10000,'RAW_HESAP_KARTLARI'!$A$2:$A$10000,"191.01.01.0006",'RAW_HESAP_KARTLARI'!$D$2:$D$10000,$A4))</f>
        <v/>
      </c>
      <c r="AJ4" s="63">
        <f>(SUMIFS('RAW_HESAP_KARTLARI'!$F$2:$F$10000,'RAW_HESAP_KARTLARI'!$A$2:$A$10000,"391.01.03.0001",'RAW_HESAP_KARTLARI'!$D$2:$D$10000,$A4)-SUMIFS('RAW_HESAP_KARTLARI'!$E$2:$E$10000,'RAW_HESAP_KARTLARI'!$A$2:$A$10000,"391.01.03.0001",'RAW_HESAP_KARTLARI'!$D$2:$D$10000,$A4))</f>
        <v/>
      </c>
      <c r="AK4" s="63">
        <f>(SUMIFS('RAW_HESAP_KARTLARI'!$F$2:$F$10000,'RAW_HESAP_KARTLARI'!$A$2:$A$10000,"391.01.03.0003",'RAW_HESAP_KARTLARI'!$D$2:$D$10000,$A4)-SUMIFS('RAW_HESAP_KARTLARI'!$E$2:$E$10000,'RAW_HESAP_KARTLARI'!$A$2:$A$10000,"391.01.03.0003",'RAW_HESAP_KARTLARI'!$D$2:$D$10000,$A4))+(SUMIFS('RAW_HESAP_KARTLARI'!$F$2:$F$10000,'RAW_HESAP_KARTLARI'!$A$2:$A$10000,"391.01.03.0008",'RAW_HESAP_KARTLARI'!$D$2:$D$10000,$A4)-SUMIFS('RAW_HESAP_KARTLARI'!$E$2:$E$10000,'RAW_HESAP_KARTLARI'!$A$2:$A$10000,"391.01.03.0008",'RAW_HESAP_KARTLARI'!$D$2:$D$10000,$A4))</f>
        <v/>
      </c>
      <c r="AL4" s="69">
        <f>(SUMIFS('RAW_HESAP_KARTLARI'!$F$2:$F$10000,'RAW_HESAP_KARTLARI'!$A$2:$A$10000,"391.01.03.0009",'RAW_HESAP_KARTLARI'!$D$2:$D$10000,$A4)-SUMIFS('RAW_HESAP_KARTLARI'!$E$2:$E$10000,'RAW_HESAP_KARTLARI'!$A$2:$A$10000,"391.01.03.0009",'RAW_HESAP_KARTLARI'!$D$2:$D$10000,$A4))+(SUMIFS('RAW_HESAP_KARTLARI'!$F$2:$F$10000,'RAW_HESAP_KARTLARI'!$A$2:$A$10000,"391.01.04.0002",'RAW_HESAP_KARTLARI'!$D$2:$D$10000,$A4)-SUMIFS('RAW_HESAP_KARTLARI'!$E$2:$E$10000,'RAW_HESAP_KARTLARI'!$A$2:$A$10000,"391.01.04.0002",'RAW_HESAP_KARTLARI'!$D$2:$D$10000,$A4))</f>
        <v/>
      </c>
      <c r="AM4" s="63">
        <f>ROUND(D4+I4+AJ4+AK4+AL4,2)</f>
        <v/>
      </c>
      <c r="AN4" s="63">
        <f>ROUND(AF4+AG4+AH4+AI4+N4+S4,2)</f>
        <v/>
      </c>
      <c r="AO4" s="63">
        <f>ROUND(AM4-AN4,2)</f>
        <v/>
      </c>
      <c r="AP4" s="69">
        <f>IF(AO4&gt;0,"ÖDENECEK KDV",IF(AO4&lt;0,"DEVREDEN KDV","SIFIR"))</f>
        <v/>
      </c>
      <c r="AQ4" s="69">
        <f>COUNTIF(F4:AE4,"TUTMUYOR")+COUNTIF(F4:AE4,"KÜÇÜK FARK")</f>
        <v/>
      </c>
      <c r="AR4" s="62">
        <f>IF($AQ4=0,"Sorun yok / tolerans içinde",TEXTJOIN(" | ",TRUE,IF(AND($F4&lt;&gt;"TUTUYOR",$F4&lt;&gt;"HAREKET YOK"),"600 %10: "&amp;IF($E4&gt;0,"391 %10 fazla; %20 olması gereken matrah %10 gelirde kalmış, çift KDV veya yanlış mapping olabilir","391 %10 eksik; %10 gelir 391 KDV hesabına eksik yansımış olabilir"),""),IF(AND($K4&lt;&gt;"TUTUYOR",$K4&lt;&gt;"HAREKET YOK"),"600 %20: "&amp;IF($J4&gt;0,"391 %20 fazla; %20 KDV mükerrer/fazla çalışmış olabilir","391 %20 eksik; %20 gelir 391 KDV hesabına eksik yansımış olabilir"),""),IF(AND($P4&lt;&gt;"TUTUYOR",$P4&lt;&gt;"HAREKET YOK"),"610 %10: "&amp;IF($O4&gt;0,"191 satış iade KDV fazla; iade KDV mükerrer/manuel fazla olabilir","191 satış iade KDV eksik; satış iadesi KDV hesabına bağlanmamış olabilir"),""),IF(AND($U4&lt;&gt;"TUTUYOR",$U4&lt;&gt;"HAREKET YOK"),"610 %20: "&amp;IF($T4&gt;0,"191 %20 satış iade KDV fazla olabilir","191 %20 satış iade KDV eksik olabilir"),""),IF(AND($Z4&lt;&gt;"TUTUYOR",$Z4&lt;&gt;"HAREKET YOK"),"602/391: "&amp;IF($Y4&gt;0,"391 ilave KDV fazla; alış iade/ciro primi KDV mapping kontrol edilmeli","391 ilave KDV eksik; alış iade/ciro primi KDV mapping kontrol edilmeli"),""),IF(AND($AE4&lt;&gt;"TUTUYOR",$AE4&lt;&gt;"HAREKET YOK"),"646/391: "&amp;IF($AD4&gt;0,"391 ilave KDV fazla; kur farkı KDV oranı veya hesap eşleşmesi kontrol edilmeli","391 ilave KDV eksik; kur farkı KDV mapping kontrol edilmeli"),"")))</f>
        <v/>
      </c>
      <c r="AS4" s="62">
        <f>IF($AQ4=0,"Fiş düzeltmesi gerekmiyor",TEXTJOIN(" / ",TRUE,IF(AND($F4&lt;&gt;"TUTUYOR",$F4&lt;&gt;"HAREKET YOK"),"600-391 gelir entegrasyonu ve KDV oran mapping", ""),IF(AND($K4&lt;&gt;"TUTUYOR",$K4&lt;&gt;"HAREKET YOK"),"600 %20 gelir ve 391 %20 KDV fişi", ""),IF(AND($P4&lt;&gt;"TUTUYOR",$P4&lt;&gt;"HAREKET YOK"),"610 satış iadesi ve 191 satıştan iade KDV", ""),IF(AND($U4&lt;&gt;"TUTUYOR",$U4&lt;&gt;"HAREKET YOK"),"610 %20 iade ve 191 %20 iade KDV", ""),IF(AND($Z4&lt;&gt;"TUTUYOR",$Z4&lt;&gt;"HAREKET YOK"),"602 ciro/iskonto geliri ve 391 ilave KDV", ""),IF(AND($AE4&lt;&gt;"TUTUYOR",$AE4&lt;&gt;"HAREKET YOK"),"646 kur farkı ve 391 ilave KDV", "")))</f>
        <v/>
      </c>
      <c r="AT4" s="62">
        <f>IF(COUNTIF($F4:$AE4,"TUTMUYOR")&gt;0,"YÜKSEK",IF(COUNTIF($F4:$AE4,"KÜÇÜK FARK")&gt;0,"ORTA","DÜŞÜK"))</f>
        <v/>
      </c>
    </row>
    <row r="5">
      <c r="A5" s="64" t="inlineStr">
        <is>
          <t>ROYAL HOLIDAY</t>
        </is>
      </c>
      <c r="B5" s="65">
        <f>(SUMIFS('RAW_HESAP_KARTLARI'!$F$2:$F$10000,'RAW_HESAP_KARTLARI'!$A$2:$A$10000,"600.01.01.0001",'RAW_HESAP_KARTLARI'!$D$2:$D$10000,$A5)-SUMIFS('RAW_HESAP_KARTLARI'!$E$2:$E$10000,'RAW_HESAP_KARTLARI'!$A$2:$A$10000,"600.01.01.0001",'RAW_HESAP_KARTLARI'!$D$2:$D$10000,$A5))+(SUMIFS('RAW_HESAP_KARTLARI'!$F$2:$F$10000,'RAW_HESAP_KARTLARI'!$A$2:$A$10000,"600.01.01.0002",'RAW_HESAP_KARTLARI'!$D$2:$D$10000,$A5)-SUMIFS('RAW_HESAP_KARTLARI'!$E$2:$E$10000,'RAW_HESAP_KARTLARI'!$A$2:$A$10000,"600.01.01.0002",'RAW_HESAP_KARTLARI'!$D$2:$D$10000,$A5))+(SUMIFS('RAW_HESAP_KARTLARI'!$F$2:$F$10000,'RAW_HESAP_KARTLARI'!$A$2:$A$10000,"600.01.02.0001",'RAW_HESAP_KARTLARI'!$D$2:$D$10000,$A5)-SUMIFS('RAW_HESAP_KARTLARI'!$E$2:$E$10000,'RAW_HESAP_KARTLARI'!$A$2:$A$10000,"600.01.02.0001",'RAW_HESAP_KARTLARI'!$D$2:$D$10000,$A5))+(SUMIFS('RAW_HESAP_KARTLARI'!$F$2:$F$10000,'RAW_HESAP_KARTLARI'!$A$2:$A$10000,"600.01.02.0002",'RAW_HESAP_KARTLARI'!$D$2:$D$10000,$A5)-SUMIFS('RAW_HESAP_KARTLARI'!$E$2:$E$10000,'RAW_HESAP_KARTLARI'!$A$2:$A$10000,"600.01.02.0002",'RAW_HESAP_KARTLARI'!$D$2:$D$10000,$A5))+(SUMIFS('RAW_HESAP_KARTLARI'!$F$2:$F$10000,'RAW_HESAP_KARTLARI'!$A$2:$A$10000,"600.01.03.0002",'RAW_HESAP_KARTLARI'!$D$2:$D$10000,$A5)-SUMIFS('RAW_HESAP_KARTLARI'!$E$2:$E$10000,'RAW_HESAP_KARTLARI'!$A$2:$A$10000,"600.01.03.0002",'RAW_HESAP_KARTLARI'!$D$2:$D$10000,$A5))</f>
        <v/>
      </c>
      <c r="C5" s="65">
        <f>ROUND(B5*10%,2)</f>
        <v/>
      </c>
      <c r="D5" s="65">
        <f>(SUMIFS('RAW_HESAP_KARTLARI'!$F$2:$F$10000,'RAW_HESAP_KARTLARI'!$A$2:$A$10000,"391.01.01.0002",'RAW_HESAP_KARTLARI'!$D$2:$D$10000,$A5)-SUMIFS('RAW_HESAP_KARTLARI'!$E$2:$E$10000,'RAW_HESAP_KARTLARI'!$A$2:$A$10000,"391.01.01.0002",'RAW_HESAP_KARTLARI'!$D$2:$D$10000,$A5))</f>
        <v/>
      </c>
      <c r="E5" s="65">
        <f>ROUND(D5-C5,2)</f>
        <v/>
      </c>
      <c r="F5" s="70">
        <f>IF(ABS(B5)&lt;0.005,"HAREKET YOK",IF(ABS(E5)&lt;=AYARLAR!$B$2,"TUTUYOR",IF(ABS(E5)&lt;=100,"KÜÇÜK FARK","TUTMUYOR")))</f>
        <v/>
      </c>
      <c r="G5" s="65">
        <f>(SUMIFS('RAW_HESAP_KARTLARI'!$F$2:$F$10000,'RAW_HESAP_KARTLARI'!$A$2:$A$10000,"600.01.02.0003",'RAW_HESAP_KARTLARI'!$D$2:$D$10000,$A5)-SUMIFS('RAW_HESAP_KARTLARI'!$E$2:$E$10000,'RAW_HESAP_KARTLARI'!$A$2:$A$10000,"600.01.02.0003",'RAW_HESAP_KARTLARI'!$D$2:$D$10000,$A5))+(SUMIFS('RAW_HESAP_KARTLARI'!$F$2:$F$10000,'RAW_HESAP_KARTLARI'!$A$2:$A$10000,"600.01.03.0001",'RAW_HESAP_KARTLARI'!$D$2:$D$10000,$A5)-SUMIFS('RAW_HESAP_KARTLARI'!$E$2:$E$10000,'RAW_HESAP_KARTLARI'!$A$2:$A$10000,"600.01.03.0001",'RAW_HESAP_KARTLARI'!$D$2:$D$10000,$A5))</f>
        <v/>
      </c>
      <c r="H5" s="65">
        <f>ROUND(G5*20%,2)</f>
        <v/>
      </c>
      <c r="I5" s="65">
        <f>(SUMIFS('RAW_HESAP_KARTLARI'!$F$2:$F$10000,'RAW_HESAP_KARTLARI'!$A$2:$A$10000,"391.01.01.0003",'RAW_HESAP_KARTLARI'!$D$2:$D$10000,$A5)-SUMIFS('RAW_HESAP_KARTLARI'!$E$2:$E$10000,'RAW_HESAP_KARTLARI'!$A$2:$A$10000,"391.01.01.0003",'RAW_HESAP_KARTLARI'!$D$2:$D$10000,$A5))</f>
        <v/>
      </c>
      <c r="J5" s="65">
        <f>ROUND(I5-H5,2)</f>
        <v/>
      </c>
      <c r="K5" s="70">
        <f>IF(ABS(G5)&lt;0.005,"HAREKET YOK",IF(ABS(J5)&lt;=AYARLAR!$B$2,"TUTUYOR",IF(ABS(J5)&lt;=100,"KÜÇÜK FARK","TUTMUYOR")))</f>
        <v/>
      </c>
      <c r="L5" s="65">
        <f>(SUMIFS('RAW_HESAP_KARTLARI'!$E$2:$E$10000,'RAW_HESAP_KARTLARI'!$A$2:$A$10000,"610.01.01.0001",'RAW_HESAP_KARTLARI'!$D$2:$D$10000,$A5)-SUMIFS('RAW_HESAP_KARTLARI'!$F$2:$F$10000,'RAW_HESAP_KARTLARI'!$A$2:$A$10000,"610.01.01.0001",'RAW_HESAP_KARTLARI'!$D$2:$D$10000,$A5))</f>
        <v/>
      </c>
      <c r="M5" s="65">
        <f>ROUND(L5*10%,2)</f>
        <v/>
      </c>
      <c r="N5" s="65">
        <f>(SUMIFS('RAW_HESAP_KARTLARI'!$E$2:$E$10000,'RAW_HESAP_KARTLARI'!$A$2:$A$10000,"191.01.02.0002",'RAW_HESAP_KARTLARI'!$D$2:$D$10000,$A5)-SUMIFS('RAW_HESAP_KARTLARI'!$F$2:$F$10000,'RAW_HESAP_KARTLARI'!$A$2:$A$10000,"191.01.02.0002",'RAW_HESAP_KARTLARI'!$D$2:$D$10000,$A5))</f>
        <v/>
      </c>
      <c r="O5" s="65">
        <f>ROUND(N5-M5,2)</f>
        <v/>
      </c>
      <c r="P5" s="70">
        <f>IF(ABS(L5)&lt;0.005,"HAREKET YOK",IF(ABS(O5)&lt;=AYARLAR!$B$2,"TUTUYOR",IF(ABS(O5)&lt;=100,"KÜÇÜK FARK","TUTMUYOR")))</f>
        <v/>
      </c>
      <c r="Q5" s="65">
        <f>(SUMIFS('RAW_HESAP_KARTLARI'!$E$2:$E$10000,'RAW_HESAP_KARTLARI'!$A$2:$A$10000,"610.01.01.0002",'RAW_HESAP_KARTLARI'!$D$2:$D$10000,$A5)-SUMIFS('RAW_HESAP_KARTLARI'!$F$2:$F$10000,'RAW_HESAP_KARTLARI'!$A$2:$A$10000,"610.01.01.0002",'RAW_HESAP_KARTLARI'!$D$2:$D$10000,$A5))</f>
        <v/>
      </c>
      <c r="R5" s="65">
        <f>ROUND(Q5*20%,2)</f>
        <v/>
      </c>
      <c r="S5" s="65">
        <f>(SUMIFS('RAW_HESAP_KARTLARI'!$E$2:$E$10000,'RAW_HESAP_KARTLARI'!$A$2:$A$10000,"191.01.02.0003",'RAW_HESAP_KARTLARI'!$D$2:$D$10000,$A5)-SUMIFS('RAW_HESAP_KARTLARI'!$F$2:$F$10000,'RAW_HESAP_KARTLARI'!$A$2:$A$10000,"191.01.02.0003",'RAW_HESAP_KARTLARI'!$D$2:$D$10000,$A5))</f>
        <v/>
      </c>
      <c r="T5" s="65">
        <f>ROUND(S5-R5,2)</f>
        <v/>
      </c>
      <c r="U5" s="70">
        <f>IF(ABS(Q5)&lt;0.005,"HAREKET YOK",IF(ABS(T5)&lt;=AYARLAR!$B$2,"TUTUYOR",IF(ABS(T5)&lt;=100,"KÜÇÜK FARK","TUTMUYOR")))</f>
        <v/>
      </c>
      <c r="V5" s="65">
        <f>(SUMIFS('RAW_HESAP_KARTLARI'!$F$2:$F$10000,'RAW_HESAP_KARTLARI'!$A$2:$A$10000,"602.01.02.0003",'RAW_HESAP_KARTLARI'!$D$2:$D$10000,$A5)-SUMIFS('RAW_HESAP_KARTLARI'!$E$2:$E$10000,'RAW_HESAP_KARTLARI'!$A$2:$A$10000,"602.01.02.0003",'RAW_HESAP_KARTLARI'!$D$2:$D$10000,$A5))</f>
        <v/>
      </c>
      <c r="W5" s="65">
        <f>ROUND(V5*20%,2)</f>
        <v/>
      </c>
      <c r="X5" s="65">
        <f>(SUMIFS('RAW_HESAP_KARTLARI'!$F$2:$F$10000,'RAW_HESAP_KARTLARI'!$A$2:$A$10000,"391.01.03.0008",'RAW_HESAP_KARTLARI'!$D$2:$D$10000,$A5)-SUMIFS('RAW_HESAP_KARTLARI'!$E$2:$E$10000,'RAW_HESAP_KARTLARI'!$A$2:$A$10000,"391.01.03.0008",'RAW_HESAP_KARTLARI'!$D$2:$D$10000,$A5))</f>
        <v/>
      </c>
      <c r="Y5" s="65">
        <f>ROUND(X5-W5,2)</f>
        <v/>
      </c>
      <c r="Z5" s="70">
        <f>IF(ABS(V5)&lt;0.005,"HAREKET YOK",IF(ABS(Y5)&lt;=AYARLAR!$B$2,"TUTUYOR",IF(ABS(Y5)&lt;=100,"KÜÇÜK FARK","TUTMUYOR")))</f>
        <v/>
      </c>
      <c r="AA5" s="65">
        <f>(SUMIFS('RAW_HESAP_KARTLARI'!$F$2:$F$10000,'RAW_HESAP_KARTLARI'!$A$2:$A$10000,"646.01.01.0003",'RAW_HESAP_KARTLARI'!$D$2:$D$10000,$A5)-SUMIFS('RAW_HESAP_KARTLARI'!$E$2:$E$10000,'RAW_HESAP_KARTLARI'!$A$2:$A$10000,"646.01.01.0003",'RAW_HESAP_KARTLARI'!$D$2:$D$10000,$A5))</f>
        <v/>
      </c>
      <c r="AB5" s="65">
        <f>ROUND(AA5*10%,2)</f>
        <v/>
      </c>
      <c r="AC5" s="65">
        <f>(SUMIFS('RAW_HESAP_KARTLARI'!$F$2:$F$10000,'RAW_HESAP_KARTLARI'!$A$2:$A$10000,"391.01.04.0002",'RAW_HESAP_KARTLARI'!$D$2:$D$10000,$A5)-SUMIFS('RAW_HESAP_KARTLARI'!$E$2:$E$10000,'RAW_HESAP_KARTLARI'!$A$2:$A$10000,"391.01.04.0002",'RAW_HESAP_KARTLARI'!$D$2:$D$10000,$A5))</f>
        <v/>
      </c>
      <c r="AD5" s="65">
        <f>ROUND(AC5-AB5,2)</f>
        <v/>
      </c>
      <c r="AE5" s="70">
        <f>IF(ABS(AA5)&lt;0.005,"HAREKET YOK",IF(ABS(AD5)&lt;=AYARLAR!$B$2,"TUTUYOR",IF(ABS(AD5)&lt;=100,"KÜÇÜK FARK","TUTMUYOR")))</f>
        <v/>
      </c>
      <c r="AF5" s="65">
        <f>(SUMIFS('RAW_HESAP_KARTLARI'!$E$2:$E$10000,'RAW_HESAP_KARTLARI'!$A$2:$A$10000,"191.01.01.0001",'RAW_HESAP_KARTLARI'!$D$2:$D$10000,$A5)-SUMIFS('RAW_HESAP_KARTLARI'!$F$2:$F$10000,'RAW_HESAP_KARTLARI'!$A$2:$A$10000,"191.01.01.0001",'RAW_HESAP_KARTLARI'!$D$2:$D$10000,$A5))</f>
        <v/>
      </c>
      <c r="AG5" s="65">
        <f>(SUMIFS('RAW_HESAP_KARTLARI'!$E$2:$E$10000,'RAW_HESAP_KARTLARI'!$A$2:$A$10000,"191.01.01.0002",'RAW_HESAP_KARTLARI'!$D$2:$D$10000,$A5)-SUMIFS('RAW_HESAP_KARTLARI'!$F$2:$F$10000,'RAW_HESAP_KARTLARI'!$A$2:$A$10000,"191.01.01.0002",'RAW_HESAP_KARTLARI'!$D$2:$D$10000,$A5))</f>
        <v/>
      </c>
      <c r="AH5" s="65">
        <f>(SUMIFS('RAW_HESAP_KARTLARI'!$E$2:$E$10000,'RAW_HESAP_KARTLARI'!$A$2:$A$10000,"191.01.01.0003",'RAW_HESAP_KARTLARI'!$D$2:$D$10000,$A5)-SUMIFS('RAW_HESAP_KARTLARI'!$F$2:$F$10000,'RAW_HESAP_KARTLARI'!$A$2:$A$10000,"191.01.01.0003",'RAW_HESAP_KARTLARI'!$D$2:$D$10000,$A5))</f>
        <v/>
      </c>
      <c r="AI5" s="65">
        <f>(SUMIFS('RAW_HESAP_KARTLARI'!$E$2:$E$10000,'RAW_HESAP_KARTLARI'!$A$2:$A$10000,"191.01.01.0006",'RAW_HESAP_KARTLARI'!$D$2:$D$10000,$A5)-SUMIFS('RAW_HESAP_KARTLARI'!$F$2:$F$10000,'RAW_HESAP_KARTLARI'!$A$2:$A$10000,"191.01.01.0006",'RAW_HESAP_KARTLARI'!$D$2:$D$10000,$A5))</f>
        <v/>
      </c>
      <c r="AJ5" s="65">
        <f>(SUMIFS('RAW_HESAP_KARTLARI'!$F$2:$F$10000,'RAW_HESAP_KARTLARI'!$A$2:$A$10000,"391.01.03.0001",'RAW_HESAP_KARTLARI'!$D$2:$D$10000,$A5)-SUMIFS('RAW_HESAP_KARTLARI'!$E$2:$E$10000,'RAW_HESAP_KARTLARI'!$A$2:$A$10000,"391.01.03.0001",'RAW_HESAP_KARTLARI'!$D$2:$D$10000,$A5))</f>
        <v/>
      </c>
      <c r="AK5" s="65">
        <f>(SUMIFS('RAW_HESAP_KARTLARI'!$F$2:$F$10000,'RAW_HESAP_KARTLARI'!$A$2:$A$10000,"391.01.03.0003",'RAW_HESAP_KARTLARI'!$D$2:$D$10000,$A5)-SUMIFS('RAW_HESAP_KARTLARI'!$E$2:$E$10000,'RAW_HESAP_KARTLARI'!$A$2:$A$10000,"391.01.03.0003",'RAW_HESAP_KARTLARI'!$D$2:$D$10000,$A5))+(SUMIFS('RAW_HESAP_KARTLARI'!$F$2:$F$10000,'RAW_HESAP_KARTLARI'!$A$2:$A$10000,"391.01.03.0008",'RAW_HESAP_KARTLARI'!$D$2:$D$10000,$A5)-SUMIFS('RAW_HESAP_KARTLARI'!$E$2:$E$10000,'RAW_HESAP_KARTLARI'!$A$2:$A$10000,"391.01.03.0008",'RAW_HESAP_KARTLARI'!$D$2:$D$10000,$A5))</f>
        <v/>
      </c>
      <c r="AL5" s="70">
        <f>(SUMIFS('RAW_HESAP_KARTLARI'!$F$2:$F$10000,'RAW_HESAP_KARTLARI'!$A$2:$A$10000,"391.01.03.0009",'RAW_HESAP_KARTLARI'!$D$2:$D$10000,$A5)-SUMIFS('RAW_HESAP_KARTLARI'!$E$2:$E$10000,'RAW_HESAP_KARTLARI'!$A$2:$A$10000,"391.01.03.0009",'RAW_HESAP_KARTLARI'!$D$2:$D$10000,$A5))+(SUMIFS('RAW_HESAP_KARTLARI'!$F$2:$F$10000,'RAW_HESAP_KARTLARI'!$A$2:$A$10000,"391.01.04.0002",'RAW_HESAP_KARTLARI'!$D$2:$D$10000,$A5)-SUMIFS('RAW_HESAP_KARTLARI'!$E$2:$E$10000,'RAW_HESAP_KARTLARI'!$A$2:$A$10000,"391.01.04.0002",'RAW_HESAP_KARTLARI'!$D$2:$D$10000,$A5))</f>
        <v/>
      </c>
      <c r="AM5" s="65">
        <f>ROUND(D5+I5+AJ5+AK5+AL5,2)</f>
        <v/>
      </c>
      <c r="AN5" s="65">
        <f>ROUND(AF5+AG5+AH5+AI5+N5+S5,2)</f>
        <v/>
      </c>
      <c r="AO5" s="65">
        <f>ROUND(AM5-AN5,2)</f>
        <v/>
      </c>
      <c r="AP5" s="70">
        <f>IF(AO5&gt;0,"ÖDENECEK KDV",IF(AO5&lt;0,"DEVREDEN KDV","SIFIR"))</f>
        <v/>
      </c>
      <c r="AQ5" s="70">
        <f>COUNTIF(F5:AE5,"TUTMUYOR")+COUNTIF(F5:AE5,"KÜÇÜK FARK")</f>
        <v/>
      </c>
      <c r="AR5" s="64">
        <f>IF($AQ5=0,"Sorun yok / tolerans içinde",TEXTJOIN(" | ",TRUE,IF(AND($F5&lt;&gt;"TUTUYOR",$F5&lt;&gt;"HAREKET YOK"),"600 %10: "&amp;IF($E5&gt;0,"391 %10 fazla; %20 olması gereken matrah %10 gelirde kalmış, çift KDV veya yanlış mapping olabilir","391 %10 eksik; %10 gelir 391 KDV hesabına eksik yansımış olabilir"),""),IF(AND($K5&lt;&gt;"TUTUYOR",$K5&lt;&gt;"HAREKET YOK"),"600 %20: "&amp;IF($J5&gt;0,"391 %20 fazla; %20 KDV mükerrer/fazla çalışmış olabilir","391 %20 eksik; %20 gelir 391 KDV hesabına eksik yansımış olabilir"),""),IF(AND($P5&lt;&gt;"TUTUYOR",$P5&lt;&gt;"HAREKET YOK"),"610 %10: "&amp;IF($O5&gt;0,"191 satış iade KDV fazla; iade KDV mükerrer/manuel fazla olabilir","191 satış iade KDV eksik; satış iadesi KDV hesabına bağlanmamış olabilir"),""),IF(AND($U5&lt;&gt;"TUTUYOR",$U5&lt;&gt;"HAREKET YOK"),"610 %20: "&amp;IF($T5&gt;0,"191 %20 satış iade KDV fazla olabilir","191 %20 satış iade KDV eksik olabilir"),""),IF(AND($Z5&lt;&gt;"TUTUYOR",$Z5&lt;&gt;"HAREKET YOK"),"602/391: "&amp;IF($Y5&gt;0,"391 ilave KDV fazla; alış iade/ciro primi KDV mapping kontrol edilmeli","391 ilave KDV eksik; alış iade/ciro primi KDV mapping kontrol edilmeli"),""),IF(AND($AE5&lt;&gt;"TUTUYOR",$AE5&lt;&gt;"HAREKET YOK"),"646/391: "&amp;IF($AD5&gt;0,"391 ilave KDV fazla; kur farkı KDV oranı veya hesap eşleşmesi kontrol edilmeli","391 ilave KDV eksik; kur farkı KDV mapping kontrol edilmeli"),"")))</f>
        <v/>
      </c>
      <c r="AS5" s="64">
        <f>IF($AQ5=0,"Fiş düzeltmesi gerekmiyor",TEXTJOIN(" / ",TRUE,IF(AND($F5&lt;&gt;"TUTUYOR",$F5&lt;&gt;"HAREKET YOK"),"600-391 gelir entegrasyonu ve KDV oran mapping", ""),IF(AND($K5&lt;&gt;"TUTUYOR",$K5&lt;&gt;"HAREKET YOK"),"600 %20 gelir ve 391 %20 KDV fişi", ""),IF(AND($P5&lt;&gt;"TUTUYOR",$P5&lt;&gt;"HAREKET YOK"),"610 satış iadesi ve 191 satıştan iade KDV", ""),IF(AND($U5&lt;&gt;"TUTUYOR",$U5&lt;&gt;"HAREKET YOK"),"610 %20 iade ve 191 %20 iade KDV", ""),IF(AND($Z5&lt;&gt;"TUTUYOR",$Z5&lt;&gt;"HAREKET YOK"),"602 ciro/iskonto geliri ve 391 ilave KDV", ""),IF(AND($AE5&lt;&gt;"TUTUYOR",$AE5&lt;&gt;"HAREKET YOK"),"646 kur farkı ve 391 ilave KDV", "")))</f>
        <v/>
      </c>
      <c r="AT5" s="64">
        <f>IF(COUNTIF($F5:$AE5,"TUTMUYOR")&gt;0,"YÜKSEK",IF(COUNTIF($F5:$AE5,"KÜÇÜK FARK")&gt;0,"ORTA","DÜŞÜK"))</f>
        <v/>
      </c>
    </row>
    <row r="6">
      <c r="A6" s="62" t="inlineStr">
        <is>
          <t>ROYAL SEGINUS</t>
        </is>
      </c>
      <c r="B6" s="63">
        <f>(SUMIFS('RAW_HESAP_KARTLARI'!$F$2:$F$10000,'RAW_HESAP_KARTLARI'!$A$2:$A$10000,"600.01.01.0001",'RAW_HESAP_KARTLARI'!$D$2:$D$10000,$A6)-SUMIFS('RAW_HESAP_KARTLARI'!$E$2:$E$10000,'RAW_HESAP_KARTLARI'!$A$2:$A$10000,"600.01.01.0001",'RAW_HESAP_KARTLARI'!$D$2:$D$10000,$A6))+(SUMIFS('RAW_HESAP_KARTLARI'!$F$2:$F$10000,'RAW_HESAP_KARTLARI'!$A$2:$A$10000,"600.01.01.0002",'RAW_HESAP_KARTLARI'!$D$2:$D$10000,$A6)-SUMIFS('RAW_HESAP_KARTLARI'!$E$2:$E$10000,'RAW_HESAP_KARTLARI'!$A$2:$A$10000,"600.01.01.0002",'RAW_HESAP_KARTLARI'!$D$2:$D$10000,$A6))+(SUMIFS('RAW_HESAP_KARTLARI'!$F$2:$F$10000,'RAW_HESAP_KARTLARI'!$A$2:$A$10000,"600.01.02.0001",'RAW_HESAP_KARTLARI'!$D$2:$D$10000,$A6)-SUMIFS('RAW_HESAP_KARTLARI'!$E$2:$E$10000,'RAW_HESAP_KARTLARI'!$A$2:$A$10000,"600.01.02.0001",'RAW_HESAP_KARTLARI'!$D$2:$D$10000,$A6))+(SUMIFS('RAW_HESAP_KARTLARI'!$F$2:$F$10000,'RAW_HESAP_KARTLARI'!$A$2:$A$10000,"600.01.02.0002",'RAW_HESAP_KARTLARI'!$D$2:$D$10000,$A6)-SUMIFS('RAW_HESAP_KARTLARI'!$E$2:$E$10000,'RAW_HESAP_KARTLARI'!$A$2:$A$10000,"600.01.02.0002",'RAW_HESAP_KARTLARI'!$D$2:$D$10000,$A6))+(SUMIFS('RAW_HESAP_KARTLARI'!$F$2:$F$10000,'RAW_HESAP_KARTLARI'!$A$2:$A$10000,"600.01.03.0002",'RAW_HESAP_KARTLARI'!$D$2:$D$10000,$A6)-SUMIFS('RAW_HESAP_KARTLARI'!$E$2:$E$10000,'RAW_HESAP_KARTLARI'!$A$2:$A$10000,"600.01.03.0002",'RAW_HESAP_KARTLARI'!$D$2:$D$10000,$A6))</f>
        <v/>
      </c>
      <c r="C6" s="63">
        <f>ROUND(B6*10%,2)</f>
        <v/>
      </c>
      <c r="D6" s="63">
        <f>(SUMIFS('RAW_HESAP_KARTLARI'!$F$2:$F$10000,'RAW_HESAP_KARTLARI'!$A$2:$A$10000,"391.01.01.0002",'RAW_HESAP_KARTLARI'!$D$2:$D$10000,$A6)-SUMIFS('RAW_HESAP_KARTLARI'!$E$2:$E$10000,'RAW_HESAP_KARTLARI'!$A$2:$A$10000,"391.01.01.0002",'RAW_HESAP_KARTLARI'!$D$2:$D$10000,$A6))</f>
        <v/>
      </c>
      <c r="E6" s="63">
        <f>ROUND(D6-C6,2)</f>
        <v/>
      </c>
      <c r="F6" s="69">
        <f>IF(ABS(B6)&lt;0.005,"HAREKET YOK",IF(ABS(E6)&lt;=AYARLAR!$B$2,"TUTUYOR",IF(ABS(E6)&lt;=100,"KÜÇÜK FARK","TUTMUYOR")))</f>
        <v/>
      </c>
      <c r="G6" s="63">
        <f>(SUMIFS('RAW_HESAP_KARTLARI'!$F$2:$F$10000,'RAW_HESAP_KARTLARI'!$A$2:$A$10000,"600.01.02.0003",'RAW_HESAP_KARTLARI'!$D$2:$D$10000,$A6)-SUMIFS('RAW_HESAP_KARTLARI'!$E$2:$E$10000,'RAW_HESAP_KARTLARI'!$A$2:$A$10000,"600.01.02.0003",'RAW_HESAP_KARTLARI'!$D$2:$D$10000,$A6))+(SUMIFS('RAW_HESAP_KARTLARI'!$F$2:$F$10000,'RAW_HESAP_KARTLARI'!$A$2:$A$10000,"600.01.03.0001",'RAW_HESAP_KARTLARI'!$D$2:$D$10000,$A6)-SUMIFS('RAW_HESAP_KARTLARI'!$E$2:$E$10000,'RAW_HESAP_KARTLARI'!$A$2:$A$10000,"600.01.03.0001",'RAW_HESAP_KARTLARI'!$D$2:$D$10000,$A6))</f>
        <v/>
      </c>
      <c r="H6" s="63">
        <f>ROUND(G6*20%,2)</f>
        <v/>
      </c>
      <c r="I6" s="63">
        <f>(SUMIFS('RAW_HESAP_KARTLARI'!$F$2:$F$10000,'RAW_HESAP_KARTLARI'!$A$2:$A$10000,"391.01.01.0003",'RAW_HESAP_KARTLARI'!$D$2:$D$10000,$A6)-SUMIFS('RAW_HESAP_KARTLARI'!$E$2:$E$10000,'RAW_HESAP_KARTLARI'!$A$2:$A$10000,"391.01.01.0003",'RAW_HESAP_KARTLARI'!$D$2:$D$10000,$A6))</f>
        <v/>
      </c>
      <c r="J6" s="63">
        <f>ROUND(I6-H6,2)</f>
        <v/>
      </c>
      <c r="K6" s="69">
        <f>IF(ABS(G6)&lt;0.005,"HAREKET YOK",IF(ABS(J6)&lt;=AYARLAR!$B$2,"TUTUYOR",IF(ABS(J6)&lt;=100,"KÜÇÜK FARK","TUTMUYOR")))</f>
        <v/>
      </c>
      <c r="L6" s="63">
        <f>(SUMIFS('RAW_HESAP_KARTLARI'!$E$2:$E$10000,'RAW_HESAP_KARTLARI'!$A$2:$A$10000,"610.01.01.0001",'RAW_HESAP_KARTLARI'!$D$2:$D$10000,$A6)-SUMIFS('RAW_HESAP_KARTLARI'!$F$2:$F$10000,'RAW_HESAP_KARTLARI'!$A$2:$A$10000,"610.01.01.0001",'RAW_HESAP_KARTLARI'!$D$2:$D$10000,$A6))</f>
        <v/>
      </c>
      <c r="M6" s="63">
        <f>ROUND(L6*10%,2)</f>
        <v/>
      </c>
      <c r="N6" s="63">
        <f>(SUMIFS('RAW_HESAP_KARTLARI'!$E$2:$E$10000,'RAW_HESAP_KARTLARI'!$A$2:$A$10000,"191.01.02.0002",'RAW_HESAP_KARTLARI'!$D$2:$D$10000,$A6)-SUMIFS('RAW_HESAP_KARTLARI'!$F$2:$F$10000,'RAW_HESAP_KARTLARI'!$A$2:$A$10000,"191.01.02.0002",'RAW_HESAP_KARTLARI'!$D$2:$D$10000,$A6))</f>
        <v/>
      </c>
      <c r="O6" s="63">
        <f>ROUND(N6-M6,2)</f>
        <v/>
      </c>
      <c r="P6" s="69">
        <f>IF(ABS(L6)&lt;0.005,"HAREKET YOK",IF(ABS(O6)&lt;=AYARLAR!$B$2,"TUTUYOR",IF(ABS(O6)&lt;=100,"KÜÇÜK FARK","TUTMUYOR")))</f>
        <v/>
      </c>
      <c r="Q6" s="63">
        <f>(SUMIFS('RAW_HESAP_KARTLARI'!$E$2:$E$10000,'RAW_HESAP_KARTLARI'!$A$2:$A$10000,"610.01.01.0002",'RAW_HESAP_KARTLARI'!$D$2:$D$10000,$A6)-SUMIFS('RAW_HESAP_KARTLARI'!$F$2:$F$10000,'RAW_HESAP_KARTLARI'!$A$2:$A$10000,"610.01.01.0002",'RAW_HESAP_KARTLARI'!$D$2:$D$10000,$A6))</f>
        <v/>
      </c>
      <c r="R6" s="63">
        <f>ROUND(Q6*20%,2)</f>
        <v/>
      </c>
      <c r="S6" s="63">
        <f>(SUMIFS('RAW_HESAP_KARTLARI'!$E$2:$E$10000,'RAW_HESAP_KARTLARI'!$A$2:$A$10000,"191.01.02.0003",'RAW_HESAP_KARTLARI'!$D$2:$D$10000,$A6)-SUMIFS('RAW_HESAP_KARTLARI'!$F$2:$F$10000,'RAW_HESAP_KARTLARI'!$A$2:$A$10000,"191.01.02.0003",'RAW_HESAP_KARTLARI'!$D$2:$D$10000,$A6))</f>
        <v/>
      </c>
      <c r="T6" s="63">
        <f>ROUND(S6-R6,2)</f>
        <v/>
      </c>
      <c r="U6" s="69">
        <f>IF(ABS(Q6)&lt;0.005,"HAREKET YOK",IF(ABS(T6)&lt;=AYARLAR!$B$2,"TUTUYOR",IF(ABS(T6)&lt;=100,"KÜÇÜK FARK","TUTMUYOR")))</f>
        <v/>
      </c>
      <c r="V6" s="63">
        <f>(SUMIFS('RAW_HESAP_KARTLARI'!$F$2:$F$10000,'RAW_HESAP_KARTLARI'!$A$2:$A$10000,"602.01.02.0003",'RAW_HESAP_KARTLARI'!$D$2:$D$10000,$A6)-SUMIFS('RAW_HESAP_KARTLARI'!$E$2:$E$10000,'RAW_HESAP_KARTLARI'!$A$2:$A$10000,"602.01.02.0003",'RAW_HESAP_KARTLARI'!$D$2:$D$10000,$A6))</f>
        <v/>
      </c>
      <c r="W6" s="63">
        <f>ROUND(V6*20%,2)</f>
        <v/>
      </c>
      <c r="X6" s="63">
        <f>(SUMIFS('RAW_HESAP_KARTLARI'!$F$2:$F$10000,'RAW_HESAP_KARTLARI'!$A$2:$A$10000,"391.01.03.0008",'RAW_HESAP_KARTLARI'!$D$2:$D$10000,$A6)-SUMIFS('RAW_HESAP_KARTLARI'!$E$2:$E$10000,'RAW_HESAP_KARTLARI'!$A$2:$A$10000,"391.01.03.0008",'RAW_HESAP_KARTLARI'!$D$2:$D$10000,$A6))</f>
        <v/>
      </c>
      <c r="Y6" s="63">
        <f>ROUND(X6-W6,2)</f>
        <v/>
      </c>
      <c r="Z6" s="69">
        <f>IF(ABS(V6)&lt;0.005,"HAREKET YOK",IF(ABS(Y6)&lt;=AYARLAR!$B$2,"TUTUYOR",IF(ABS(Y6)&lt;=100,"KÜÇÜK FARK","TUTMUYOR")))</f>
        <v/>
      </c>
      <c r="AA6" s="63">
        <f>(SUMIFS('RAW_HESAP_KARTLARI'!$F$2:$F$10000,'RAW_HESAP_KARTLARI'!$A$2:$A$10000,"646.01.01.0003",'RAW_HESAP_KARTLARI'!$D$2:$D$10000,$A6)-SUMIFS('RAW_HESAP_KARTLARI'!$E$2:$E$10000,'RAW_HESAP_KARTLARI'!$A$2:$A$10000,"646.01.01.0003",'RAW_HESAP_KARTLARI'!$D$2:$D$10000,$A6))</f>
        <v/>
      </c>
      <c r="AB6" s="63">
        <f>ROUND(AA6*10%,2)</f>
        <v/>
      </c>
      <c r="AC6" s="63">
        <f>(SUMIFS('RAW_HESAP_KARTLARI'!$F$2:$F$10000,'RAW_HESAP_KARTLARI'!$A$2:$A$10000,"391.01.04.0002",'RAW_HESAP_KARTLARI'!$D$2:$D$10000,$A6)-SUMIFS('RAW_HESAP_KARTLARI'!$E$2:$E$10000,'RAW_HESAP_KARTLARI'!$A$2:$A$10000,"391.01.04.0002",'RAW_HESAP_KARTLARI'!$D$2:$D$10000,$A6))</f>
        <v/>
      </c>
      <c r="AD6" s="63">
        <f>ROUND(AC6-AB6,2)</f>
        <v/>
      </c>
      <c r="AE6" s="69">
        <f>IF(ABS(AA6)&lt;0.005,"HAREKET YOK",IF(ABS(AD6)&lt;=AYARLAR!$B$2,"TUTUYOR",IF(ABS(AD6)&lt;=100,"KÜÇÜK FARK","TUTMUYOR")))</f>
        <v/>
      </c>
      <c r="AF6" s="63">
        <f>(SUMIFS('RAW_HESAP_KARTLARI'!$E$2:$E$10000,'RAW_HESAP_KARTLARI'!$A$2:$A$10000,"191.01.01.0001",'RAW_HESAP_KARTLARI'!$D$2:$D$10000,$A6)-SUMIFS('RAW_HESAP_KARTLARI'!$F$2:$F$10000,'RAW_HESAP_KARTLARI'!$A$2:$A$10000,"191.01.01.0001",'RAW_HESAP_KARTLARI'!$D$2:$D$10000,$A6))</f>
        <v/>
      </c>
      <c r="AG6" s="63">
        <f>(SUMIFS('RAW_HESAP_KARTLARI'!$E$2:$E$10000,'RAW_HESAP_KARTLARI'!$A$2:$A$10000,"191.01.01.0002",'RAW_HESAP_KARTLARI'!$D$2:$D$10000,$A6)-SUMIFS('RAW_HESAP_KARTLARI'!$F$2:$F$10000,'RAW_HESAP_KARTLARI'!$A$2:$A$10000,"191.01.01.0002",'RAW_HESAP_KARTLARI'!$D$2:$D$10000,$A6))</f>
        <v/>
      </c>
      <c r="AH6" s="63">
        <f>(SUMIFS('RAW_HESAP_KARTLARI'!$E$2:$E$10000,'RAW_HESAP_KARTLARI'!$A$2:$A$10000,"191.01.01.0003",'RAW_HESAP_KARTLARI'!$D$2:$D$10000,$A6)-SUMIFS('RAW_HESAP_KARTLARI'!$F$2:$F$10000,'RAW_HESAP_KARTLARI'!$A$2:$A$10000,"191.01.01.0003",'RAW_HESAP_KARTLARI'!$D$2:$D$10000,$A6))</f>
        <v/>
      </c>
      <c r="AI6" s="63">
        <f>(SUMIFS('RAW_HESAP_KARTLARI'!$E$2:$E$10000,'RAW_HESAP_KARTLARI'!$A$2:$A$10000,"191.01.01.0006",'RAW_HESAP_KARTLARI'!$D$2:$D$10000,$A6)-SUMIFS('RAW_HESAP_KARTLARI'!$F$2:$F$10000,'RAW_HESAP_KARTLARI'!$A$2:$A$10000,"191.01.01.0006",'RAW_HESAP_KARTLARI'!$D$2:$D$10000,$A6))</f>
        <v/>
      </c>
      <c r="AJ6" s="63">
        <f>(SUMIFS('RAW_HESAP_KARTLARI'!$F$2:$F$10000,'RAW_HESAP_KARTLARI'!$A$2:$A$10000,"391.01.03.0001",'RAW_HESAP_KARTLARI'!$D$2:$D$10000,$A6)-SUMIFS('RAW_HESAP_KARTLARI'!$E$2:$E$10000,'RAW_HESAP_KARTLARI'!$A$2:$A$10000,"391.01.03.0001",'RAW_HESAP_KARTLARI'!$D$2:$D$10000,$A6))</f>
        <v/>
      </c>
      <c r="AK6" s="63">
        <f>(SUMIFS('RAW_HESAP_KARTLARI'!$F$2:$F$10000,'RAW_HESAP_KARTLARI'!$A$2:$A$10000,"391.01.03.0003",'RAW_HESAP_KARTLARI'!$D$2:$D$10000,$A6)-SUMIFS('RAW_HESAP_KARTLARI'!$E$2:$E$10000,'RAW_HESAP_KARTLARI'!$A$2:$A$10000,"391.01.03.0003",'RAW_HESAP_KARTLARI'!$D$2:$D$10000,$A6))+(SUMIFS('RAW_HESAP_KARTLARI'!$F$2:$F$10000,'RAW_HESAP_KARTLARI'!$A$2:$A$10000,"391.01.03.0008",'RAW_HESAP_KARTLARI'!$D$2:$D$10000,$A6)-SUMIFS('RAW_HESAP_KARTLARI'!$E$2:$E$10000,'RAW_HESAP_KARTLARI'!$A$2:$A$10000,"391.01.03.0008",'RAW_HESAP_KARTLARI'!$D$2:$D$10000,$A6))</f>
        <v/>
      </c>
      <c r="AL6" s="69">
        <f>(SUMIFS('RAW_HESAP_KARTLARI'!$F$2:$F$10000,'RAW_HESAP_KARTLARI'!$A$2:$A$10000,"391.01.03.0009",'RAW_HESAP_KARTLARI'!$D$2:$D$10000,$A6)-SUMIFS('RAW_HESAP_KARTLARI'!$E$2:$E$10000,'RAW_HESAP_KARTLARI'!$A$2:$A$10000,"391.01.03.0009",'RAW_HESAP_KARTLARI'!$D$2:$D$10000,$A6))+(SUMIFS('RAW_HESAP_KARTLARI'!$F$2:$F$10000,'RAW_HESAP_KARTLARI'!$A$2:$A$10000,"391.01.04.0002",'RAW_HESAP_KARTLARI'!$D$2:$D$10000,$A6)-SUMIFS('RAW_HESAP_KARTLARI'!$E$2:$E$10000,'RAW_HESAP_KARTLARI'!$A$2:$A$10000,"391.01.04.0002",'RAW_HESAP_KARTLARI'!$D$2:$D$10000,$A6))</f>
        <v/>
      </c>
      <c r="AM6" s="63">
        <f>ROUND(D6+I6+AJ6+AK6+AL6,2)</f>
        <v/>
      </c>
      <c r="AN6" s="63">
        <f>ROUND(AF6+AG6+AH6+AI6+N6+S6,2)</f>
        <v/>
      </c>
      <c r="AO6" s="63">
        <f>ROUND(AM6-AN6,2)</f>
        <v/>
      </c>
      <c r="AP6" s="69">
        <f>IF(AO6&gt;0,"ÖDENECEK KDV",IF(AO6&lt;0,"DEVREDEN KDV","SIFIR"))</f>
        <v/>
      </c>
      <c r="AQ6" s="69">
        <f>COUNTIF(F6:AE6,"TUTMUYOR")+COUNTIF(F6:AE6,"KÜÇÜK FARK")</f>
        <v/>
      </c>
      <c r="AR6" s="62">
        <f>IF($AQ6=0,"Sorun yok / tolerans içinde",TEXTJOIN(" | ",TRUE,IF(AND($F6&lt;&gt;"TUTUYOR",$F6&lt;&gt;"HAREKET YOK"),"600 %10: "&amp;IF($E6&gt;0,"391 %10 fazla; %20 olması gereken matrah %10 gelirde kalmış, çift KDV veya yanlış mapping olabilir","391 %10 eksik; %10 gelir 391 KDV hesabına eksik yansımış olabilir"),""),IF(AND($K6&lt;&gt;"TUTUYOR",$K6&lt;&gt;"HAREKET YOK"),"600 %20: "&amp;IF($J6&gt;0,"391 %20 fazla; %20 KDV mükerrer/fazla çalışmış olabilir","391 %20 eksik; %20 gelir 391 KDV hesabına eksik yansımış olabilir"),""),IF(AND($P6&lt;&gt;"TUTUYOR",$P6&lt;&gt;"HAREKET YOK"),"610 %10: "&amp;IF($O6&gt;0,"191 satış iade KDV fazla; iade KDV mükerrer/manuel fazla olabilir","191 satış iade KDV eksik; satış iadesi KDV hesabına bağlanmamış olabilir"),""),IF(AND($U6&lt;&gt;"TUTUYOR",$U6&lt;&gt;"HAREKET YOK"),"610 %20: "&amp;IF($T6&gt;0,"191 %20 satış iade KDV fazla olabilir","191 %20 satış iade KDV eksik olabilir"),""),IF(AND($Z6&lt;&gt;"TUTUYOR",$Z6&lt;&gt;"HAREKET YOK"),"602/391: "&amp;IF($Y6&gt;0,"391 ilave KDV fazla; alış iade/ciro primi KDV mapping kontrol edilmeli","391 ilave KDV eksik; alış iade/ciro primi KDV mapping kontrol edilmeli"),""),IF(AND($AE6&lt;&gt;"TUTUYOR",$AE6&lt;&gt;"HAREKET YOK"),"646/391: "&amp;IF($AD6&gt;0,"391 ilave KDV fazla; kur farkı KDV oranı veya hesap eşleşmesi kontrol edilmeli","391 ilave KDV eksik; kur farkı KDV mapping kontrol edilmeli"),"")))</f>
        <v/>
      </c>
      <c r="AS6" s="62">
        <f>IF($AQ6=0,"Fiş düzeltmesi gerekmiyor",TEXTJOIN(" / ",TRUE,IF(AND($F6&lt;&gt;"TUTUYOR",$F6&lt;&gt;"HAREKET YOK"),"600-391 gelir entegrasyonu ve KDV oran mapping", ""),IF(AND($K6&lt;&gt;"TUTUYOR",$K6&lt;&gt;"HAREKET YOK"),"600 %20 gelir ve 391 %20 KDV fişi", ""),IF(AND($P6&lt;&gt;"TUTUYOR",$P6&lt;&gt;"HAREKET YOK"),"610 satış iadesi ve 191 satıştan iade KDV", ""),IF(AND($U6&lt;&gt;"TUTUYOR",$U6&lt;&gt;"HAREKET YOK"),"610 %20 iade ve 191 %20 iade KDV", ""),IF(AND($Z6&lt;&gt;"TUTUYOR",$Z6&lt;&gt;"HAREKET YOK"),"602 ciro/iskonto geliri ve 391 ilave KDV", ""),IF(AND($AE6&lt;&gt;"TUTUYOR",$AE6&lt;&gt;"HAREKET YOK"),"646 kur farkı ve 391 ilave KDV", "")))</f>
        <v/>
      </c>
      <c r="AT6" s="62">
        <f>IF(COUNTIF($F6:$AE6,"TUTMUYOR")&gt;0,"YÜKSEK",IF(COUNTIF($F6:$AE6,"KÜÇÜK FARK")&gt;0,"ORTA","DÜŞÜK"))</f>
        <v/>
      </c>
    </row>
    <row r="7">
      <c r="A7" s="64" t="inlineStr">
        <is>
          <t>STONE ÇARŞI</t>
        </is>
      </c>
      <c r="B7" s="65">
        <f>(SUMIFS('RAW_HESAP_KARTLARI'!$F$2:$F$10000,'RAW_HESAP_KARTLARI'!$A$2:$A$10000,"600.01.01.0001",'RAW_HESAP_KARTLARI'!$D$2:$D$10000,$A7)-SUMIFS('RAW_HESAP_KARTLARI'!$E$2:$E$10000,'RAW_HESAP_KARTLARI'!$A$2:$A$10000,"600.01.01.0001",'RAW_HESAP_KARTLARI'!$D$2:$D$10000,$A7))+(SUMIFS('RAW_HESAP_KARTLARI'!$F$2:$F$10000,'RAW_HESAP_KARTLARI'!$A$2:$A$10000,"600.01.01.0002",'RAW_HESAP_KARTLARI'!$D$2:$D$10000,$A7)-SUMIFS('RAW_HESAP_KARTLARI'!$E$2:$E$10000,'RAW_HESAP_KARTLARI'!$A$2:$A$10000,"600.01.01.0002",'RAW_HESAP_KARTLARI'!$D$2:$D$10000,$A7))+(SUMIFS('RAW_HESAP_KARTLARI'!$F$2:$F$10000,'RAW_HESAP_KARTLARI'!$A$2:$A$10000,"600.01.02.0001",'RAW_HESAP_KARTLARI'!$D$2:$D$10000,$A7)-SUMIFS('RAW_HESAP_KARTLARI'!$E$2:$E$10000,'RAW_HESAP_KARTLARI'!$A$2:$A$10000,"600.01.02.0001",'RAW_HESAP_KARTLARI'!$D$2:$D$10000,$A7))+(SUMIFS('RAW_HESAP_KARTLARI'!$F$2:$F$10000,'RAW_HESAP_KARTLARI'!$A$2:$A$10000,"600.01.02.0002",'RAW_HESAP_KARTLARI'!$D$2:$D$10000,$A7)-SUMIFS('RAW_HESAP_KARTLARI'!$E$2:$E$10000,'RAW_HESAP_KARTLARI'!$A$2:$A$10000,"600.01.02.0002",'RAW_HESAP_KARTLARI'!$D$2:$D$10000,$A7))+(SUMIFS('RAW_HESAP_KARTLARI'!$F$2:$F$10000,'RAW_HESAP_KARTLARI'!$A$2:$A$10000,"600.01.03.0002",'RAW_HESAP_KARTLARI'!$D$2:$D$10000,$A7)-SUMIFS('RAW_HESAP_KARTLARI'!$E$2:$E$10000,'RAW_HESAP_KARTLARI'!$A$2:$A$10000,"600.01.03.0002",'RAW_HESAP_KARTLARI'!$D$2:$D$10000,$A7))</f>
        <v/>
      </c>
      <c r="C7" s="65">
        <f>ROUND(B7*10%,2)</f>
        <v/>
      </c>
      <c r="D7" s="65">
        <f>(SUMIFS('RAW_HESAP_KARTLARI'!$F$2:$F$10000,'RAW_HESAP_KARTLARI'!$A$2:$A$10000,"391.01.01.0002",'RAW_HESAP_KARTLARI'!$D$2:$D$10000,$A7)-SUMIFS('RAW_HESAP_KARTLARI'!$E$2:$E$10000,'RAW_HESAP_KARTLARI'!$A$2:$A$10000,"391.01.01.0002",'RAW_HESAP_KARTLARI'!$D$2:$D$10000,$A7))</f>
        <v/>
      </c>
      <c r="E7" s="65">
        <f>ROUND(D7-C7,2)</f>
        <v/>
      </c>
      <c r="F7" s="70">
        <f>IF(ABS(B7)&lt;0.005,"HAREKET YOK",IF(ABS(E7)&lt;=AYARLAR!$B$2,"TUTUYOR",IF(ABS(E7)&lt;=100,"KÜÇÜK FARK","TUTMUYOR")))</f>
        <v/>
      </c>
      <c r="G7" s="65">
        <f>(SUMIFS('RAW_HESAP_KARTLARI'!$F$2:$F$10000,'RAW_HESAP_KARTLARI'!$A$2:$A$10000,"600.01.02.0003",'RAW_HESAP_KARTLARI'!$D$2:$D$10000,$A7)-SUMIFS('RAW_HESAP_KARTLARI'!$E$2:$E$10000,'RAW_HESAP_KARTLARI'!$A$2:$A$10000,"600.01.02.0003",'RAW_HESAP_KARTLARI'!$D$2:$D$10000,$A7))+(SUMIFS('RAW_HESAP_KARTLARI'!$F$2:$F$10000,'RAW_HESAP_KARTLARI'!$A$2:$A$10000,"600.01.03.0001",'RAW_HESAP_KARTLARI'!$D$2:$D$10000,$A7)-SUMIFS('RAW_HESAP_KARTLARI'!$E$2:$E$10000,'RAW_HESAP_KARTLARI'!$A$2:$A$10000,"600.01.03.0001",'RAW_HESAP_KARTLARI'!$D$2:$D$10000,$A7))</f>
        <v/>
      </c>
      <c r="H7" s="65">
        <f>ROUND(G7*20%,2)</f>
        <v/>
      </c>
      <c r="I7" s="65">
        <f>(SUMIFS('RAW_HESAP_KARTLARI'!$F$2:$F$10000,'RAW_HESAP_KARTLARI'!$A$2:$A$10000,"391.01.01.0003",'RAW_HESAP_KARTLARI'!$D$2:$D$10000,$A7)-SUMIFS('RAW_HESAP_KARTLARI'!$E$2:$E$10000,'RAW_HESAP_KARTLARI'!$A$2:$A$10000,"391.01.01.0003",'RAW_HESAP_KARTLARI'!$D$2:$D$10000,$A7))</f>
        <v/>
      </c>
      <c r="J7" s="65">
        <f>ROUND(I7-H7,2)</f>
        <v/>
      </c>
      <c r="K7" s="70">
        <f>IF(ABS(G7)&lt;0.005,"HAREKET YOK",IF(ABS(J7)&lt;=AYARLAR!$B$2,"TUTUYOR",IF(ABS(J7)&lt;=100,"KÜÇÜK FARK","TUTMUYOR")))</f>
        <v/>
      </c>
      <c r="L7" s="65">
        <f>(SUMIFS('RAW_HESAP_KARTLARI'!$E$2:$E$10000,'RAW_HESAP_KARTLARI'!$A$2:$A$10000,"610.01.01.0001",'RAW_HESAP_KARTLARI'!$D$2:$D$10000,$A7)-SUMIFS('RAW_HESAP_KARTLARI'!$F$2:$F$10000,'RAW_HESAP_KARTLARI'!$A$2:$A$10000,"610.01.01.0001",'RAW_HESAP_KARTLARI'!$D$2:$D$10000,$A7))</f>
        <v/>
      </c>
      <c r="M7" s="65">
        <f>ROUND(L7*10%,2)</f>
        <v/>
      </c>
      <c r="N7" s="65">
        <f>(SUMIFS('RAW_HESAP_KARTLARI'!$E$2:$E$10000,'RAW_HESAP_KARTLARI'!$A$2:$A$10000,"191.01.02.0002",'RAW_HESAP_KARTLARI'!$D$2:$D$10000,$A7)-SUMIFS('RAW_HESAP_KARTLARI'!$F$2:$F$10000,'RAW_HESAP_KARTLARI'!$A$2:$A$10000,"191.01.02.0002",'RAW_HESAP_KARTLARI'!$D$2:$D$10000,$A7))</f>
        <v/>
      </c>
      <c r="O7" s="65">
        <f>ROUND(N7-M7,2)</f>
        <v/>
      </c>
      <c r="P7" s="70">
        <f>IF(ABS(L7)&lt;0.005,"HAREKET YOK",IF(ABS(O7)&lt;=AYARLAR!$B$2,"TUTUYOR",IF(ABS(O7)&lt;=100,"KÜÇÜK FARK","TUTMUYOR")))</f>
        <v/>
      </c>
      <c r="Q7" s="65">
        <f>(SUMIFS('RAW_HESAP_KARTLARI'!$E$2:$E$10000,'RAW_HESAP_KARTLARI'!$A$2:$A$10000,"610.01.01.0002",'RAW_HESAP_KARTLARI'!$D$2:$D$10000,$A7)-SUMIFS('RAW_HESAP_KARTLARI'!$F$2:$F$10000,'RAW_HESAP_KARTLARI'!$A$2:$A$10000,"610.01.01.0002",'RAW_HESAP_KARTLARI'!$D$2:$D$10000,$A7))</f>
        <v/>
      </c>
      <c r="R7" s="65">
        <f>ROUND(Q7*20%,2)</f>
        <v/>
      </c>
      <c r="S7" s="65">
        <f>(SUMIFS('RAW_HESAP_KARTLARI'!$E$2:$E$10000,'RAW_HESAP_KARTLARI'!$A$2:$A$10000,"191.01.02.0003",'RAW_HESAP_KARTLARI'!$D$2:$D$10000,$A7)-SUMIFS('RAW_HESAP_KARTLARI'!$F$2:$F$10000,'RAW_HESAP_KARTLARI'!$A$2:$A$10000,"191.01.02.0003",'RAW_HESAP_KARTLARI'!$D$2:$D$10000,$A7))</f>
        <v/>
      </c>
      <c r="T7" s="65">
        <f>ROUND(S7-R7,2)</f>
        <v/>
      </c>
      <c r="U7" s="70">
        <f>IF(ABS(Q7)&lt;0.005,"HAREKET YOK",IF(ABS(T7)&lt;=AYARLAR!$B$2,"TUTUYOR",IF(ABS(T7)&lt;=100,"KÜÇÜK FARK","TUTMUYOR")))</f>
        <v/>
      </c>
      <c r="V7" s="65">
        <f>(SUMIFS('RAW_HESAP_KARTLARI'!$F$2:$F$10000,'RAW_HESAP_KARTLARI'!$A$2:$A$10000,"602.01.02.0003",'RAW_HESAP_KARTLARI'!$D$2:$D$10000,$A7)-SUMIFS('RAW_HESAP_KARTLARI'!$E$2:$E$10000,'RAW_HESAP_KARTLARI'!$A$2:$A$10000,"602.01.02.0003",'RAW_HESAP_KARTLARI'!$D$2:$D$10000,$A7))</f>
        <v/>
      </c>
      <c r="W7" s="65">
        <f>ROUND(V7*20%,2)</f>
        <v/>
      </c>
      <c r="X7" s="65">
        <f>(SUMIFS('RAW_HESAP_KARTLARI'!$F$2:$F$10000,'RAW_HESAP_KARTLARI'!$A$2:$A$10000,"391.01.03.0008",'RAW_HESAP_KARTLARI'!$D$2:$D$10000,$A7)-SUMIFS('RAW_HESAP_KARTLARI'!$E$2:$E$10000,'RAW_HESAP_KARTLARI'!$A$2:$A$10000,"391.01.03.0008",'RAW_HESAP_KARTLARI'!$D$2:$D$10000,$A7))</f>
        <v/>
      </c>
      <c r="Y7" s="65">
        <f>ROUND(X7-W7,2)</f>
        <v/>
      </c>
      <c r="Z7" s="70">
        <f>IF(ABS(V7)&lt;0.005,"HAREKET YOK",IF(ABS(Y7)&lt;=AYARLAR!$B$2,"TUTUYOR",IF(ABS(Y7)&lt;=100,"KÜÇÜK FARK","TUTMUYOR")))</f>
        <v/>
      </c>
      <c r="AA7" s="65">
        <f>(SUMIFS('RAW_HESAP_KARTLARI'!$F$2:$F$10000,'RAW_HESAP_KARTLARI'!$A$2:$A$10000,"646.01.01.0003",'RAW_HESAP_KARTLARI'!$D$2:$D$10000,$A7)-SUMIFS('RAW_HESAP_KARTLARI'!$E$2:$E$10000,'RAW_HESAP_KARTLARI'!$A$2:$A$10000,"646.01.01.0003",'RAW_HESAP_KARTLARI'!$D$2:$D$10000,$A7))</f>
        <v/>
      </c>
      <c r="AB7" s="65">
        <f>ROUND(AA7*10%,2)</f>
        <v/>
      </c>
      <c r="AC7" s="65">
        <f>(SUMIFS('RAW_HESAP_KARTLARI'!$F$2:$F$10000,'RAW_HESAP_KARTLARI'!$A$2:$A$10000,"391.01.04.0002",'RAW_HESAP_KARTLARI'!$D$2:$D$10000,$A7)-SUMIFS('RAW_HESAP_KARTLARI'!$E$2:$E$10000,'RAW_HESAP_KARTLARI'!$A$2:$A$10000,"391.01.04.0002",'RAW_HESAP_KARTLARI'!$D$2:$D$10000,$A7))</f>
        <v/>
      </c>
      <c r="AD7" s="65">
        <f>ROUND(AC7-AB7,2)</f>
        <v/>
      </c>
      <c r="AE7" s="70">
        <f>IF(ABS(AA7)&lt;0.005,"HAREKET YOK",IF(ABS(AD7)&lt;=AYARLAR!$B$2,"TUTUYOR",IF(ABS(AD7)&lt;=100,"KÜÇÜK FARK","TUTMUYOR")))</f>
        <v/>
      </c>
      <c r="AF7" s="65">
        <f>(SUMIFS('RAW_HESAP_KARTLARI'!$E$2:$E$10000,'RAW_HESAP_KARTLARI'!$A$2:$A$10000,"191.01.01.0001",'RAW_HESAP_KARTLARI'!$D$2:$D$10000,$A7)-SUMIFS('RAW_HESAP_KARTLARI'!$F$2:$F$10000,'RAW_HESAP_KARTLARI'!$A$2:$A$10000,"191.01.01.0001",'RAW_HESAP_KARTLARI'!$D$2:$D$10000,$A7))</f>
        <v/>
      </c>
      <c r="AG7" s="65">
        <f>(SUMIFS('RAW_HESAP_KARTLARI'!$E$2:$E$10000,'RAW_HESAP_KARTLARI'!$A$2:$A$10000,"191.01.01.0002",'RAW_HESAP_KARTLARI'!$D$2:$D$10000,$A7)-SUMIFS('RAW_HESAP_KARTLARI'!$F$2:$F$10000,'RAW_HESAP_KARTLARI'!$A$2:$A$10000,"191.01.01.0002",'RAW_HESAP_KARTLARI'!$D$2:$D$10000,$A7))</f>
        <v/>
      </c>
      <c r="AH7" s="65">
        <f>(SUMIFS('RAW_HESAP_KARTLARI'!$E$2:$E$10000,'RAW_HESAP_KARTLARI'!$A$2:$A$10000,"191.01.01.0003",'RAW_HESAP_KARTLARI'!$D$2:$D$10000,$A7)-SUMIFS('RAW_HESAP_KARTLARI'!$F$2:$F$10000,'RAW_HESAP_KARTLARI'!$A$2:$A$10000,"191.01.01.0003",'RAW_HESAP_KARTLARI'!$D$2:$D$10000,$A7))</f>
        <v/>
      </c>
      <c r="AI7" s="65">
        <f>(SUMIFS('RAW_HESAP_KARTLARI'!$E$2:$E$10000,'RAW_HESAP_KARTLARI'!$A$2:$A$10000,"191.01.01.0006",'RAW_HESAP_KARTLARI'!$D$2:$D$10000,$A7)-SUMIFS('RAW_HESAP_KARTLARI'!$F$2:$F$10000,'RAW_HESAP_KARTLARI'!$A$2:$A$10000,"191.01.01.0006",'RAW_HESAP_KARTLARI'!$D$2:$D$10000,$A7))</f>
        <v/>
      </c>
      <c r="AJ7" s="65">
        <f>(SUMIFS('RAW_HESAP_KARTLARI'!$F$2:$F$10000,'RAW_HESAP_KARTLARI'!$A$2:$A$10000,"391.01.03.0001",'RAW_HESAP_KARTLARI'!$D$2:$D$10000,$A7)-SUMIFS('RAW_HESAP_KARTLARI'!$E$2:$E$10000,'RAW_HESAP_KARTLARI'!$A$2:$A$10000,"391.01.03.0001",'RAW_HESAP_KARTLARI'!$D$2:$D$10000,$A7))</f>
        <v/>
      </c>
      <c r="AK7" s="65">
        <f>(SUMIFS('RAW_HESAP_KARTLARI'!$F$2:$F$10000,'RAW_HESAP_KARTLARI'!$A$2:$A$10000,"391.01.03.0003",'RAW_HESAP_KARTLARI'!$D$2:$D$10000,$A7)-SUMIFS('RAW_HESAP_KARTLARI'!$E$2:$E$10000,'RAW_HESAP_KARTLARI'!$A$2:$A$10000,"391.01.03.0003",'RAW_HESAP_KARTLARI'!$D$2:$D$10000,$A7))+(SUMIFS('RAW_HESAP_KARTLARI'!$F$2:$F$10000,'RAW_HESAP_KARTLARI'!$A$2:$A$10000,"391.01.03.0008",'RAW_HESAP_KARTLARI'!$D$2:$D$10000,$A7)-SUMIFS('RAW_HESAP_KARTLARI'!$E$2:$E$10000,'RAW_HESAP_KARTLARI'!$A$2:$A$10000,"391.01.03.0008",'RAW_HESAP_KARTLARI'!$D$2:$D$10000,$A7))</f>
        <v/>
      </c>
      <c r="AL7" s="70">
        <f>(SUMIFS('RAW_HESAP_KARTLARI'!$F$2:$F$10000,'RAW_HESAP_KARTLARI'!$A$2:$A$10000,"391.01.03.0009",'RAW_HESAP_KARTLARI'!$D$2:$D$10000,$A7)-SUMIFS('RAW_HESAP_KARTLARI'!$E$2:$E$10000,'RAW_HESAP_KARTLARI'!$A$2:$A$10000,"391.01.03.0009",'RAW_HESAP_KARTLARI'!$D$2:$D$10000,$A7))+(SUMIFS('RAW_HESAP_KARTLARI'!$F$2:$F$10000,'RAW_HESAP_KARTLARI'!$A$2:$A$10000,"391.01.04.0002",'RAW_HESAP_KARTLARI'!$D$2:$D$10000,$A7)-SUMIFS('RAW_HESAP_KARTLARI'!$E$2:$E$10000,'RAW_HESAP_KARTLARI'!$A$2:$A$10000,"391.01.04.0002",'RAW_HESAP_KARTLARI'!$D$2:$D$10000,$A7))</f>
        <v/>
      </c>
      <c r="AM7" s="65">
        <f>ROUND(D7+I7+AJ7+AK7+AL7,2)</f>
        <v/>
      </c>
      <c r="AN7" s="65">
        <f>ROUND(AF7+AG7+AH7+AI7+N7+S7,2)</f>
        <v/>
      </c>
      <c r="AO7" s="65">
        <f>ROUND(AM7-AN7,2)</f>
        <v/>
      </c>
      <c r="AP7" s="70">
        <f>IF(AO7&gt;0,"ÖDENECEK KDV",IF(AO7&lt;0,"DEVREDEN KDV","SIFIR"))</f>
        <v/>
      </c>
      <c r="AQ7" s="70">
        <f>COUNTIF(F7:AE7,"TUTMUYOR")+COUNTIF(F7:AE7,"KÜÇÜK FARK")</f>
        <v/>
      </c>
      <c r="AR7" s="64">
        <f>IF($AQ7=0,"Sorun yok / tolerans içinde",TEXTJOIN(" | ",TRUE,IF(AND($F7&lt;&gt;"TUTUYOR",$F7&lt;&gt;"HAREKET YOK"),"600 %10: "&amp;IF($E7&gt;0,"391 %10 fazla; %20 olması gereken matrah %10 gelirde kalmış, çift KDV veya yanlış mapping olabilir","391 %10 eksik; %10 gelir 391 KDV hesabına eksik yansımış olabilir"),""),IF(AND($K7&lt;&gt;"TUTUYOR",$K7&lt;&gt;"HAREKET YOK"),"600 %20: "&amp;IF($J7&gt;0,"391 %20 fazla; %20 KDV mükerrer/fazla çalışmış olabilir","391 %20 eksik; %20 gelir 391 KDV hesabına eksik yansımış olabilir"),""),IF(AND($P7&lt;&gt;"TUTUYOR",$P7&lt;&gt;"HAREKET YOK"),"610 %10: "&amp;IF($O7&gt;0,"191 satış iade KDV fazla; iade KDV mükerrer/manuel fazla olabilir","191 satış iade KDV eksik; satış iadesi KDV hesabına bağlanmamış olabilir"),""),IF(AND($U7&lt;&gt;"TUTUYOR",$U7&lt;&gt;"HAREKET YOK"),"610 %20: "&amp;IF($T7&gt;0,"191 %20 satış iade KDV fazla olabilir","191 %20 satış iade KDV eksik olabilir"),""),IF(AND($Z7&lt;&gt;"TUTUYOR",$Z7&lt;&gt;"HAREKET YOK"),"602/391: "&amp;IF($Y7&gt;0,"391 ilave KDV fazla; alış iade/ciro primi KDV mapping kontrol edilmeli","391 ilave KDV eksik; alış iade/ciro primi KDV mapping kontrol edilmeli"),""),IF(AND($AE7&lt;&gt;"TUTUYOR",$AE7&lt;&gt;"HAREKET YOK"),"646/391: "&amp;IF($AD7&gt;0,"391 ilave KDV fazla; kur farkı KDV oranı veya hesap eşleşmesi kontrol edilmeli","391 ilave KDV eksik; kur farkı KDV mapping kontrol edilmeli"),"")))</f>
        <v/>
      </c>
      <c r="AS7" s="64">
        <f>IF($AQ7=0,"Fiş düzeltmesi gerekmiyor",TEXTJOIN(" / ",TRUE,IF(AND($F7&lt;&gt;"TUTUYOR",$F7&lt;&gt;"HAREKET YOK"),"600-391 gelir entegrasyonu ve KDV oran mapping", ""),IF(AND($K7&lt;&gt;"TUTUYOR",$K7&lt;&gt;"HAREKET YOK"),"600 %20 gelir ve 391 %20 KDV fişi", ""),IF(AND($P7&lt;&gt;"TUTUYOR",$P7&lt;&gt;"HAREKET YOK"),"610 satış iadesi ve 191 satıştan iade KDV", ""),IF(AND($U7&lt;&gt;"TUTUYOR",$U7&lt;&gt;"HAREKET YOK"),"610 %20 iade ve 191 %20 iade KDV", ""),IF(AND($Z7&lt;&gt;"TUTUYOR",$Z7&lt;&gt;"HAREKET YOK"),"602 ciro/iskonto geliri ve 391 ilave KDV", ""),IF(AND($AE7&lt;&gt;"TUTUYOR",$AE7&lt;&gt;"HAREKET YOK"),"646 kur farkı ve 391 ilave KDV", "")))</f>
        <v/>
      </c>
      <c r="AT7" s="64">
        <f>IF(COUNTIF($F7:$AE7,"TUTMUYOR")&gt;0,"YÜKSEK",IF(COUNTIF($F7:$AE7,"KÜÇÜK FARK")&gt;0,"ORTA","DÜŞÜK"))</f>
        <v/>
      </c>
    </row>
  </sheetData>
  <autoFilter ref="A1:AT7"/>
  <conditionalFormatting sqref="F2:F7">
    <cfRule type="expression" priority="1" dxfId="2">
      <formula>F2="TUTMUYOR"</formula>
    </cfRule>
    <cfRule type="expression" priority="2" dxfId="0">
      <formula>F2="KÜÇÜK FARK"</formula>
    </cfRule>
    <cfRule type="expression" priority="3" dxfId="1">
      <formula>F2="TUTUYOR"</formula>
    </cfRule>
  </conditionalFormatting>
  <conditionalFormatting sqref="K2:K7">
    <cfRule type="expression" priority="4" dxfId="2">
      <formula>K2="TUTMUYOR"</formula>
    </cfRule>
    <cfRule type="expression" priority="5" dxfId="0">
      <formula>K2="KÜÇÜK FARK"</formula>
    </cfRule>
    <cfRule type="expression" priority="6" dxfId="1">
      <formula>K2="TUTUYOR"</formula>
    </cfRule>
  </conditionalFormatting>
  <conditionalFormatting sqref="P2:P7">
    <cfRule type="expression" priority="7" dxfId="2">
      <formula>P2="TUTMUYOR"</formula>
    </cfRule>
    <cfRule type="expression" priority="8" dxfId="0">
      <formula>P2="KÜÇÜK FARK"</formula>
    </cfRule>
    <cfRule type="expression" priority="9" dxfId="1">
      <formula>P2="TUTUYOR"</formula>
    </cfRule>
  </conditionalFormatting>
  <conditionalFormatting sqref="U2:U7">
    <cfRule type="expression" priority="10" dxfId="2">
      <formula>U2="TUTMUYOR"</formula>
    </cfRule>
    <cfRule type="expression" priority="11" dxfId="0">
      <formula>U2="KÜÇÜK FARK"</formula>
    </cfRule>
    <cfRule type="expression" priority="12" dxfId="1">
      <formula>U2="TUTUYOR"</formula>
    </cfRule>
  </conditionalFormatting>
  <conditionalFormatting sqref="Z2:Z7">
    <cfRule type="expression" priority="13" dxfId="2">
      <formula>Z2="TUTMUYOR"</formula>
    </cfRule>
    <cfRule type="expression" priority="14" dxfId="0">
      <formula>Z2="KÜÇÜK FARK"</formula>
    </cfRule>
    <cfRule type="expression" priority="15" dxfId="1">
      <formula>Z2="TUTUYOR"</formula>
    </cfRule>
  </conditionalFormatting>
  <conditionalFormatting sqref="AE2:AE7">
    <cfRule type="expression" priority="16" dxfId="2">
      <formula>AE2="TUTMUYOR"</formula>
    </cfRule>
    <cfRule type="expression" priority="17" dxfId="0">
      <formula>AE2="KÜÇÜK FARK"</formula>
    </cfRule>
    <cfRule type="expression" priority="18" dxfId="1">
      <formula>AE2="TUTUYOR"</formula>
    </cfRule>
  </conditionalFormatting>
  <conditionalFormatting sqref="F2:F7 K2:K7 P2:P7 U2:U7 Z2:Z7 AE2:AE7">
    <cfRule type="cellIs" priority="19" operator="equal" dxfId="7">
      <formula>"TUTUYOR"</formula>
    </cfRule>
    <cfRule type="cellIs" priority="20" operator="equal" dxfId="6">
      <formula>"TUTMUYOR"</formula>
    </cfRule>
    <cfRule type="cellIs" priority="21" operator="equal" dxfId="8">
      <formula>"KÜÇÜK FARK"</formula>
    </cfRule>
    <cfRule type="cellIs" priority="22" operator="equal" dxfId="9">
      <formula>"HAREKET YOK"</formula>
    </cfRule>
  </conditionalFormatting>
  <conditionalFormatting sqref="AP2:AP7">
    <cfRule type="cellIs" priority="23" operator="equal" dxfId="10">
      <formula>"ÖDENECEK KDV"</formula>
    </cfRule>
    <cfRule type="cellIs" priority="24" operator="equal" dxfId="7">
      <formula>"DEVREDEN KDV"</formula>
    </cfRule>
    <cfRule type="cellIs" priority="25" operator="equal" dxfId="9">
      <formula>"SIFIR"</formula>
    </cfRule>
  </conditionalFormatting>
  <conditionalFormatting sqref="AT2:AT7">
    <cfRule type="cellIs" priority="26" operator="equal" dxfId="6">
      <formula>"YÜKSEK"</formula>
    </cfRule>
    <cfRule type="cellIs" priority="27" operator="equal" dxfId="10">
      <formula>"ORTA"</formula>
    </cfRule>
    <cfRule type="cellIs" priority="28" operator="equal" dxfId="7">
      <formula>"DÜŞÜK"</formula>
    </cfRule>
  </conditionalFormatting>
  <conditionalFormatting sqref="AQ2:AQ7">
    <cfRule type="cellIs" priority="29" operator="greaterThan" dxfId="6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4" min="1" max="1"/>
    <col width="18" customWidth="1" style="34" min="2" max="2"/>
    <col width="18" customWidth="1" style="34" min="3" max="3"/>
    <col width="14" customWidth="1" style="34" min="4" max="4"/>
    <col width="14" customWidth="1" style="34" min="5" max="5"/>
    <col width="14" customWidth="1" style="34" min="6" max="6"/>
    <col width="12" customWidth="1" style="34" min="7" max="7"/>
    <col width="60" customWidth="1" style="34" min="8" max="8"/>
  </cols>
  <sheetData>
    <row r="1" ht="28" customHeight="1" s="34">
      <c r="A1" s="54" t="inlineStr">
        <is>
          <t>7’Lİ GİDER HESAPLARI / 191 İNDİRİLECEK KDV RİSK ÖZETİ</t>
        </is>
      </c>
      <c r="B1" s="55" t="n"/>
      <c r="C1" s="55" t="n"/>
      <c r="D1" s="55" t="n"/>
      <c r="E1" s="55" t="n"/>
      <c r="F1" s="55" t="n"/>
      <c r="G1" s="55" t="n"/>
      <c r="H1" s="56" t="n"/>
    </row>
    <row r="3" ht="32" customHeight="1" s="34">
      <c r="A3" s="59" t="inlineStr">
        <is>
          <t>Şube</t>
        </is>
      </c>
      <c r="B3" s="59" t="inlineStr">
        <is>
          <t>7xx Gider Net Borç</t>
        </is>
      </c>
      <c r="C3" s="59" t="inlineStr">
        <is>
          <t>191 İndirilecek Toplam</t>
        </is>
      </c>
      <c r="D3" s="59" t="inlineStr">
        <is>
          <t>191 Tevkifatlı</t>
        </is>
      </c>
      <c r="E3" s="59" t="inlineStr">
        <is>
          <t>7xx Tahmini %10</t>
        </is>
      </c>
      <c r="F3" s="59" t="inlineStr">
        <is>
          <t>7xx Tahmini %20</t>
        </is>
      </c>
      <c r="G3" s="59" t="inlineStr">
        <is>
          <t>Beyanname</t>
        </is>
      </c>
      <c r="H3" s="59" t="inlineStr">
        <is>
          <t>Açıklama</t>
        </is>
      </c>
    </row>
    <row r="4">
      <c r="A4" s="62">
        <f>KDV_HESAP_TABANI!A2</f>
        <v/>
      </c>
      <c r="B4" s="63">
        <f>SUMIFS('RAW_HESAP_KARTLARI'!$E$2:$E$10000,'RAW_HESAP_KARTLARI'!$A$2:$A$10000,"7*",'RAW_HESAP_KARTLARI'!$D$2:$D$10000,A4)-SUMIFS('RAW_HESAP_KARTLARI'!$F$2:$F$10000,'RAW_HESAP_KARTLARI'!$A$2:$A$10000,"7*",'RAW_HESAP_KARTLARI'!$D$2:$D$10000,A4)</f>
        <v/>
      </c>
      <c r="C4" s="63">
        <f>KDV_HESAP_TABANI!AF2+KDV_HESAP_TABANI!AG2+KDV_HESAP_TABANI!AH2</f>
        <v/>
      </c>
      <c r="D4" s="63">
        <f>KDV_HESAP_TABANI!AI2</f>
        <v/>
      </c>
      <c r="E4" s="63">
        <f>ROUND(B4*10%,2)</f>
        <v/>
      </c>
      <c r="F4" s="63">
        <f>ROUND(B4*20%,2)</f>
        <v/>
      </c>
      <c r="G4" s="62" t="inlineStr">
        <is>
          <t>KDV1</t>
        </is>
      </c>
      <c r="H4" s="62" t="inlineStr">
        <is>
          <t>191 sadece 7xx giderlerden oluşmak zorunda değildir; stok, demirbaş, avans, düzeltme ve tevkifat kaynakları ayrıca kontrol edilir.</t>
        </is>
      </c>
    </row>
    <row r="5">
      <c r="A5" s="64">
        <f>KDV_HESAP_TABANI!A3</f>
        <v/>
      </c>
      <c r="B5" s="65">
        <f>SUMIFS('RAW_HESAP_KARTLARI'!$E$2:$E$10000,'RAW_HESAP_KARTLARI'!$A$2:$A$10000,"7*",'RAW_HESAP_KARTLARI'!$D$2:$D$10000,A5)-SUMIFS('RAW_HESAP_KARTLARI'!$F$2:$F$10000,'RAW_HESAP_KARTLARI'!$A$2:$A$10000,"7*",'RAW_HESAP_KARTLARI'!$D$2:$D$10000,A5)</f>
        <v/>
      </c>
      <c r="C5" s="65">
        <f>KDV_HESAP_TABANI!AF3+KDV_HESAP_TABANI!AG3+KDV_HESAP_TABANI!AH3</f>
        <v/>
      </c>
      <c r="D5" s="65">
        <f>KDV_HESAP_TABANI!AI3</f>
        <v/>
      </c>
      <c r="E5" s="65">
        <f>ROUND(B5*10%,2)</f>
        <v/>
      </c>
      <c r="F5" s="65">
        <f>ROUND(B5*20%,2)</f>
        <v/>
      </c>
      <c r="G5" s="64" t="inlineStr">
        <is>
          <t>KDV1</t>
        </is>
      </c>
      <c r="H5" s="64" t="inlineStr">
        <is>
          <t>191 sadece 7xx giderlerden oluşmak zorunda değildir; stok, demirbaş, avans, düzeltme ve tevkifat kaynakları ayrıca kontrol edilir.</t>
        </is>
      </c>
    </row>
    <row r="6">
      <c r="A6" s="62">
        <f>KDV_HESAP_TABANI!A4</f>
        <v/>
      </c>
      <c r="B6" s="63">
        <f>SUMIFS('RAW_HESAP_KARTLARI'!$E$2:$E$10000,'RAW_HESAP_KARTLARI'!$A$2:$A$10000,"7*",'RAW_HESAP_KARTLARI'!$D$2:$D$10000,A6)-SUMIFS('RAW_HESAP_KARTLARI'!$F$2:$F$10000,'RAW_HESAP_KARTLARI'!$A$2:$A$10000,"7*",'RAW_HESAP_KARTLARI'!$D$2:$D$10000,A6)</f>
        <v/>
      </c>
      <c r="C6" s="63">
        <f>KDV_HESAP_TABANI!AF4+KDV_HESAP_TABANI!AG4+KDV_HESAP_TABANI!AH4</f>
        <v/>
      </c>
      <c r="D6" s="63">
        <f>KDV_HESAP_TABANI!AI4</f>
        <v/>
      </c>
      <c r="E6" s="63">
        <f>ROUND(B6*10%,2)</f>
        <v/>
      </c>
      <c r="F6" s="63">
        <f>ROUND(B6*20%,2)</f>
        <v/>
      </c>
      <c r="G6" s="62" t="inlineStr">
        <is>
          <t>KDV1</t>
        </is>
      </c>
      <c r="H6" s="62" t="inlineStr">
        <is>
          <t>191 sadece 7xx giderlerden oluşmak zorunda değildir; stok, demirbaş, avans, düzeltme ve tevkifat kaynakları ayrıca kontrol edilir.</t>
        </is>
      </c>
    </row>
    <row r="7">
      <c r="A7" s="64">
        <f>KDV_HESAP_TABANI!A5</f>
        <v/>
      </c>
      <c r="B7" s="65">
        <f>SUMIFS('RAW_HESAP_KARTLARI'!$E$2:$E$10000,'RAW_HESAP_KARTLARI'!$A$2:$A$10000,"7*",'RAW_HESAP_KARTLARI'!$D$2:$D$10000,A7)-SUMIFS('RAW_HESAP_KARTLARI'!$F$2:$F$10000,'RAW_HESAP_KARTLARI'!$A$2:$A$10000,"7*",'RAW_HESAP_KARTLARI'!$D$2:$D$10000,A7)</f>
        <v/>
      </c>
      <c r="C7" s="65">
        <f>KDV_HESAP_TABANI!AF5+KDV_HESAP_TABANI!AG5+KDV_HESAP_TABANI!AH5</f>
        <v/>
      </c>
      <c r="D7" s="65">
        <f>KDV_HESAP_TABANI!AI5</f>
        <v/>
      </c>
      <c r="E7" s="65">
        <f>ROUND(B7*10%,2)</f>
        <v/>
      </c>
      <c r="F7" s="65">
        <f>ROUND(B7*20%,2)</f>
        <v/>
      </c>
      <c r="G7" s="64" t="inlineStr">
        <is>
          <t>KDV1</t>
        </is>
      </c>
      <c r="H7" s="64" t="inlineStr">
        <is>
          <t>191 sadece 7xx giderlerden oluşmak zorunda değildir; stok, demirbaş, avans, düzeltme ve tevkifat kaynakları ayrıca kontrol edilir.</t>
        </is>
      </c>
    </row>
    <row r="8">
      <c r="A8" s="62">
        <f>KDV_HESAP_TABANI!A6</f>
        <v/>
      </c>
      <c r="B8" s="63">
        <f>SUMIFS('RAW_HESAP_KARTLARI'!$E$2:$E$10000,'RAW_HESAP_KARTLARI'!$A$2:$A$10000,"7*",'RAW_HESAP_KARTLARI'!$D$2:$D$10000,A8)-SUMIFS('RAW_HESAP_KARTLARI'!$F$2:$F$10000,'RAW_HESAP_KARTLARI'!$A$2:$A$10000,"7*",'RAW_HESAP_KARTLARI'!$D$2:$D$10000,A8)</f>
        <v/>
      </c>
      <c r="C8" s="63">
        <f>KDV_HESAP_TABANI!AF6+KDV_HESAP_TABANI!AG6+KDV_HESAP_TABANI!AH6</f>
        <v/>
      </c>
      <c r="D8" s="63">
        <f>KDV_HESAP_TABANI!AI6</f>
        <v/>
      </c>
      <c r="E8" s="63">
        <f>ROUND(B8*10%,2)</f>
        <v/>
      </c>
      <c r="F8" s="63">
        <f>ROUND(B8*20%,2)</f>
        <v/>
      </c>
      <c r="G8" s="62" t="inlineStr">
        <is>
          <t>KDV1</t>
        </is>
      </c>
      <c r="H8" s="62" t="inlineStr">
        <is>
          <t>191 sadece 7xx giderlerden oluşmak zorunda değildir; stok, demirbaş, avans, düzeltme ve tevkifat kaynakları ayrıca kontrol edilir.</t>
        </is>
      </c>
    </row>
    <row r="9">
      <c r="A9" s="64">
        <f>KDV_HESAP_TABANI!A7</f>
        <v/>
      </c>
      <c r="B9" s="65">
        <f>SUMIFS('RAW_HESAP_KARTLARI'!$E$2:$E$10000,'RAW_HESAP_KARTLARI'!$A$2:$A$10000,"7*",'RAW_HESAP_KARTLARI'!$D$2:$D$10000,A9)-SUMIFS('RAW_HESAP_KARTLARI'!$F$2:$F$10000,'RAW_HESAP_KARTLARI'!$A$2:$A$10000,"7*",'RAW_HESAP_KARTLARI'!$D$2:$D$10000,A9)</f>
        <v/>
      </c>
      <c r="C9" s="65">
        <f>KDV_HESAP_TABANI!AF7+KDV_HESAP_TABANI!AG7+KDV_HESAP_TABANI!AH7</f>
        <v/>
      </c>
      <c r="D9" s="65">
        <f>KDV_HESAP_TABANI!AI7</f>
        <v/>
      </c>
      <c r="E9" s="65">
        <f>ROUND(B9*10%,2)</f>
        <v/>
      </c>
      <c r="F9" s="65">
        <f>ROUND(B9*20%,2)</f>
        <v/>
      </c>
      <c r="G9" s="64" t="inlineStr">
        <is>
          <t>KDV1</t>
        </is>
      </c>
      <c r="H9" s="64" t="inlineStr">
        <is>
          <t>191 sadece 7xx giderlerden oluşmak zorunda değildir; stok, demirbaş, avans, düzeltme ve tevkifat kaynakları ayrıca kontrol edilir.</t>
        </is>
      </c>
    </row>
  </sheetData>
  <mergeCells count="1">
    <mergeCell ref="A1:H1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3F5A78"/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34" min="1" max="1"/>
    <col width="30" customWidth="1" style="34" min="2" max="2"/>
    <col width="30" customWidth="1" style="34" min="3" max="3"/>
    <col width="12" customWidth="1" style="34" min="4" max="4"/>
    <col width="16" customWidth="1" style="34" min="5" max="5"/>
    <col width="16" customWidth="1" style="34" min="6" max="6"/>
    <col width="40" customWidth="1" style="34" min="7" max="7"/>
    <col width="40" customWidth="1" style="34" min="8" max="8"/>
  </cols>
  <sheetData>
    <row r="1" ht="28" customHeight="1" s="34">
      <c r="A1" s="54" t="inlineStr">
        <is>
          <t>KDV NEYE GÖRE / NASIL HESAPLANIR?</t>
        </is>
      </c>
      <c r="B1" s="55" t="n"/>
      <c r="C1" s="55" t="n"/>
      <c r="D1" s="55" t="n"/>
      <c r="E1" s="55" t="n"/>
      <c r="F1" s="55" t="n"/>
      <c r="G1" s="55" t="n"/>
      <c r="H1" s="56" t="n"/>
    </row>
    <row r="3" ht="32" customHeight="1" s="34">
      <c r="A3" s="59" t="inlineStr">
        <is>
          <t>Konu</t>
        </is>
      </c>
      <c r="B3" s="59" t="inlineStr">
        <is>
          <t>Formül</t>
        </is>
      </c>
      <c r="C3" s="59" t="inlineStr">
        <is>
          <t>Örnek / Robot Mantığı</t>
        </is>
      </c>
      <c r="D3" s="59" t="inlineStr">
        <is>
          <t>Beyanname</t>
        </is>
      </c>
      <c r="E3" s="59" t="inlineStr">
        <is>
          <t>Hesap Grubu</t>
        </is>
      </c>
      <c r="F3" s="59" t="inlineStr">
        <is>
          <t>Borç-Alacak Mantığı</t>
        </is>
      </c>
      <c r="G3" s="59" t="inlineStr">
        <is>
          <t>Kontrol Cümlesi</t>
        </is>
      </c>
      <c r="H3" s="59" t="inlineStr">
        <is>
          <t>Not</t>
        </is>
      </c>
    </row>
    <row r="4">
      <c r="A4" s="62" t="inlineStr">
        <is>
          <t>KDV hariç matrahtan KDV</t>
        </is>
      </c>
      <c r="B4" s="62" t="inlineStr">
        <is>
          <t>KDV = Matrah x KDV Oranı</t>
        </is>
      </c>
      <c r="C4" s="62" t="inlineStr">
        <is>
          <t>100.000 TL x %10 = 10.000 TL</t>
        </is>
      </c>
      <c r="D4" s="62" t="inlineStr">
        <is>
          <t>KDV1</t>
        </is>
      </c>
      <c r="E4" s="62" t="inlineStr">
        <is>
          <t>600 / 391</t>
        </is>
      </c>
      <c r="F4" s="62" t="inlineStr">
        <is>
          <t>600 Alacak; 391 Alacak</t>
        </is>
      </c>
      <c r="G4" s="62" t="inlineStr">
        <is>
          <t>600 matrahın KDV’si 391’de aynı oranla oluşmalı.</t>
        </is>
      </c>
      <c r="H4" s="62" t="inlineStr">
        <is>
          <t>Otel gelirlerinde oran, ürün/hizmet mahiyetine göre belirlenir.</t>
        </is>
      </c>
    </row>
    <row r="5">
      <c r="A5" s="64" t="inlineStr">
        <is>
          <t>KDV dahil tutardan KDV ayırma</t>
        </is>
      </c>
      <c r="B5" s="64" t="inlineStr">
        <is>
          <t>KDV = KDV Dahil Tutar x Oran / (1+Oran)</t>
        </is>
      </c>
      <c r="C5" s="64" t="inlineStr">
        <is>
          <t>110.000 x 10/110 = 10.000 TL</t>
        </is>
      </c>
      <c r="D5" s="64" t="inlineStr">
        <is>
          <t>KDV1</t>
        </is>
      </c>
      <c r="E5" s="64" t="inlineStr">
        <is>
          <t>Satış / Folio</t>
        </is>
      </c>
      <c r="F5" s="64" t="inlineStr">
        <is>
          <t>Toplamdan matrah ayrıştırılır</t>
        </is>
      </c>
      <c r="G5" s="64" t="inlineStr">
        <is>
          <t>Folio KDV dahilse önce matrah ayrılır.</t>
        </is>
      </c>
      <c r="H5" s="64" t="inlineStr">
        <is>
          <t>Robot hesap kartındaki matrah hesaplarını esas alır.</t>
        </is>
      </c>
    </row>
    <row r="6">
      <c r="A6" s="62" t="inlineStr">
        <is>
          <t>%10 gelir kontrolü</t>
        </is>
      </c>
      <c r="B6" s="62" t="inlineStr">
        <is>
          <t>Beklenen KDV = 600 %10 Matrah x %10</t>
        </is>
      </c>
      <c r="C6" s="62" t="inlineStr">
        <is>
          <t>600 %10 gelir grubu</t>
        </is>
      </c>
      <c r="D6" s="62" t="inlineStr">
        <is>
          <t>KDV1</t>
        </is>
      </c>
      <c r="E6" s="62" t="inlineStr">
        <is>
          <t>600 ↔ 391</t>
        </is>
      </c>
      <c r="F6" s="62" t="inlineStr">
        <is>
          <t>Alacak-Borç</t>
        </is>
      </c>
      <c r="G6" s="62" t="inlineStr">
        <is>
          <t>Fark varsa yanlış oran, mapping veya yuvarlama aranır.</t>
        </is>
      </c>
      <c r="H6" s="62" t="inlineStr"/>
    </row>
    <row r="7">
      <c r="A7" s="64" t="inlineStr">
        <is>
          <t>%20 gelir kontrolü</t>
        </is>
      </c>
      <c r="B7" s="64" t="inlineStr">
        <is>
          <t>Beklenen KDV = 600 %20 Matrah x %20</t>
        </is>
      </c>
      <c r="C7" s="64" t="inlineStr">
        <is>
          <t>%20 diğer gelir / genel oran</t>
        </is>
      </c>
      <c r="D7" s="64" t="inlineStr">
        <is>
          <t>KDV1</t>
        </is>
      </c>
      <c r="E7" s="64" t="inlineStr">
        <is>
          <t>600 ↔ 391</t>
        </is>
      </c>
      <c r="F7" s="64" t="inlineStr">
        <is>
          <t>Alacak-Borç</t>
        </is>
      </c>
      <c r="G7" s="64" t="inlineStr">
        <is>
          <t>%20 matrah 391 %20 hesabına gitmeli.</t>
        </is>
      </c>
      <c r="H7" s="64" t="inlineStr"/>
    </row>
    <row r="8">
      <c r="A8" s="62" t="inlineStr">
        <is>
          <t>Satış iadesi</t>
        </is>
      </c>
      <c r="B8" s="62" t="inlineStr">
        <is>
          <t>Beklenen KDV = 610 İade Matrahı x oran</t>
        </is>
      </c>
      <c r="C8" s="62" t="inlineStr">
        <is>
          <t>610 borç, 191 satıştan iade KDV</t>
        </is>
      </c>
      <c r="D8" s="62" t="inlineStr">
        <is>
          <t>KDV1</t>
        </is>
      </c>
      <c r="E8" s="62" t="inlineStr">
        <is>
          <t>610 ↔ 191</t>
        </is>
      </c>
      <c r="F8" s="62" t="inlineStr">
        <is>
          <t>Borç-Alacak</t>
        </is>
      </c>
      <c r="G8" s="62" t="inlineStr">
        <is>
          <t>İade KDV’si 191 satıştan iade hesabında olmalı.</t>
        </is>
      </c>
      <c r="H8" s="62" t="inlineStr"/>
    </row>
    <row r="9">
      <c r="A9" s="64" t="inlineStr">
        <is>
          <t>İndirilecek KDV</t>
        </is>
      </c>
      <c r="B9" s="64" t="inlineStr">
        <is>
          <t>Fatura KDV tutarı 191’e borç kaydedilir</t>
        </is>
      </c>
      <c r="C9" s="64" t="inlineStr">
        <is>
          <t>Yurtiçi alış/gider faturaları</t>
        </is>
      </c>
      <c r="D9" s="64" t="inlineStr">
        <is>
          <t>KDV1</t>
        </is>
      </c>
      <c r="E9" s="64" t="inlineStr">
        <is>
          <t>191</t>
        </is>
      </c>
      <c r="F9" s="64" t="inlineStr">
        <is>
          <t>Borç-Alacak</t>
        </is>
      </c>
      <c r="G9" s="64" t="inlineStr">
        <is>
          <t>191 indirilecek KDV, KDV1 indirim bölümüne gider.</t>
        </is>
      </c>
      <c r="H9" s="64" t="inlineStr">
        <is>
          <t>7xx ile birebir olmak zorunda değildir.</t>
        </is>
      </c>
    </row>
    <row r="10">
      <c r="A10" s="62" t="inlineStr">
        <is>
          <t>İlave edilecek KDV / alıştan iade</t>
        </is>
      </c>
      <c r="B10" s="62" t="inlineStr">
        <is>
          <t>İlave KDV 391’e alacak kaydedilir</t>
        </is>
      </c>
      <c r="C10" s="62" t="inlineStr">
        <is>
          <t>Alış iadesi, ciro primi, kur farkı vb.</t>
        </is>
      </c>
      <c r="D10" s="62" t="inlineStr">
        <is>
          <t>KDV1</t>
        </is>
      </c>
      <c r="E10" s="62" t="inlineStr">
        <is>
          <t>391.01.03 / 391.01.04</t>
        </is>
      </c>
      <c r="F10" s="62" t="inlineStr">
        <is>
          <t>Alacak-Borç</t>
        </is>
      </c>
      <c r="G10" s="62" t="inlineStr">
        <is>
          <t>İlave KDV 391 tarafında net KDV’yi artırır.</t>
        </is>
      </c>
      <c r="H10" s="62" t="inlineStr"/>
    </row>
    <row r="11">
      <c r="A11" s="64" t="inlineStr">
        <is>
          <t>Tevkifat / sorumlu sıfatı</t>
        </is>
      </c>
      <c r="B11" s="64" t="inlineStr">
        <is>
          <t>KDV2 ile beyan; şartları varsa KDV1’de indirim</t>
        </is>
      </c>
      <c r="C11" s="64" t="inlineStr">
        <is>
          <t>Tevkifatlı alış/fatura varsa</t>
        </is>
      </c>
      <c r="D11" s="64" t="inlineStr">
        <is>
          <t>KDV2 + KDV1</t>
        </is>
      </c>
      <c r="E11" s="64" t="inlineStr">
        <is>
          <t>191 tevkifatlı</t>
        </is>
      </c>
      <c r="F11" s="64" t="inlineStr">
        <is>
          <t>Borç-Alacak</t>
        </is>
      </c>
      <c r="G11" s="64" t="inlineStr">
        <is>
          <t>KDV2 beyan/ödeme ve KDV1 indirim eşleşmesi ayrıca kontrol edilir.</t>
        </is>
      </c>
      <c r="H11" s="64" t="inlineStr"/>
    </row>
    <row r="14" ht="32" customHeight="1" s="34">
      <c r="A14" s="71" t="inlineStr">
        <is>
          <t>Mini Hesap Makinesi</t>
        </is>
      </c>
      <c r="B14" s="71" t="inlineStr">
        <is>
          <t>Matrah / KDV Dahil</t>
        </is>
      </c>
      <c r="C14" s="71" t="inlineStr">
        <is>
          <t>Oran</t>
        </is>
      </c>
      <c r="D14" s="71" t="inlineStr">
        <is>
          <t>KDV</t>
        </is>
      </c>
      <c r="E14" s="71" t="inlineStr">
        <is>
          <t>Net / Toplam</t>
        </is>
      </c>
    </row>
    <row r="15">
      <c r="A15" s="62" t="inlineStr">
        <is>
          <t>%10 matrahtan KDV</t>
        </is>
      </c>
      <c r="B15" s="63" t="n">
        <v>100000</v>
      </c>
      <c r="C15" s="72" t="n">
        <v>0.1</v>
      </c>
      <c r="D15" s="63">
        <f>B15*C15</f>
        <v/>
      </c>
      <c r="E15" s="63">
        <f>B15+D15</f>
        <v/>
      </c>
    </row>
    <row r="16">
      <c r="A16" s="64" t="inlineStr">
        <is>
          <t>%20 matrahtan KDV</t>
        </is>
      </c>
      <c r="B16" s="65" t="n">
        <v>100000</v>
      </c>
      <c r="C16" s="73" t="n">
        <v>0.2</v>
      </c>
      <c r="D16" s="65">
        <f>B16*C16</f>
        <v/>
      </c>
      <c r="E16" s="65">
        <f>B16+D16</f>
        <v/>
      </c>
    </row>
    <row r="17">
      <c r="A17" s="62" t="inlineStr">
        <is>
          <t>KDV dahil ayırma</t>
        </is>
      </c>
      <c r="B17" s="63" t="n">
        <v>110000</v>
      </c>
      <c r="C17" s="72" t="n">
        <v>0.1</v>
      </c>
      <c r="D17" s="63">
        <f>B17*C17/(1+C17)</f>
        <v/>
      </c>
      <c r="E17" s="63">
        <f>B17-D17</f>
        <v/>
      </c>
    </row>
  </sheetData>
  <mergeCells count="1">
    <mergeCell ref="A1:H1"/>
  </mergeCell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3F5A78"/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34" min="1" max="1"/>
    <col width="34" customWidth="1" style="34" min="2" max="2"/>
    <col width="22" customWidth="1" style="34" min="3" max="3"/>
    <col width="14" customWidth="1" style="34" min="4" max="4"/>
    <col width="28" customWidth="1" style="34" min="5" max="5"/>
    <col width="44" customWidth="1" style="34" min="6" max="6"/>
  </cols>
  <sheetData>
    <row r="1" ht="28" customHeight="1" s="34">
      <c r="A1" s="54" t="inlineStr">
        <is>
          <t>KDV BEYANNAME YOL HARİTASI - HANGİ KDV HANGİ BEYANNAMENİN KONUSU?</t>
        </is>
      </c>
      <c r="B1" s="55" t="n"/>
      <c r="C1" s="55" t="n"/>
      <c r="D1" s="55" t="n"/>
      <c r="E1" s="55" t="n"/>
      <c r="F1" s="56" t="n"/>
    </row>
    <row r="3" ht="32" customHeight="1" s="34">
      <c r="A3" s="59" t="inlineStr">
        <is>
          <t>Hesap / İşlem</t>
        </is>
      </c>
      <c r="B3" s="59" t="inlineStr">
        <is>
          <t>Robotta Okunan Hesaplar</t>
        </is>
      </c>
      <c r="C3" s="59" t="inlineStr">
        <is>
          <t>KDV Hesaplama Mantığı</t>
        </is>
      </c>
      <c r="D3" s="59" t="inlineStr">
        <is>
          <t>Beyanname</t>
        </is>
      </c>
      <c r="E3" s="59" t="inlineStr">
        <is>
          <t>Beyanname Bölümü</t>
        </is>
      </c>
      <c r="F3" s="59" t="inlineStr">
        <is>
          <t>Kontrol / Açıklama</t>
        </is>
      </c>
    </row>
    <row r="4">
      <c r="A4" s="62" t="inlineStr">
        <is>
          <t>Otel satış gelirleri %10</t>
        </is>
      </c>
      <c r="B4" s="62" t="inlineStr">
        <is>
          <t>600 %10 gelir hesapları + 391.01.01.0002</t>
        </is>
      </c>
      <c r="C4" s="62" t="inlineStr">
        <is>
          <t>Matrah x %10</t>
        </is>
      </c>
      <c r="D4" s="62" t="inlineStr">
        <is>
          <t>KDV1</t>
        </is>
      </c>
      <c r="E4" s="62" t="inlineStr">
        <is>
          <t>Matrah / Hesaplanan KDV</t>
        </is>
      </c>
      <c r="F4" s="62" t="inlineStr">
        <is>
          <t>600 %10 toplamı ile 391 %10 aynı olmalı.</t>
        </is>
      </c>
    </row>
    <row r="5">
      <c r="A5" s="64" t="inlineStr">
        <is>
          <t>Genel orana tabi satışlar %20</t>
        </is>
      </c>
      <c r="B5" s="64" t="inlineStr">
        <is>
          <t>600 %20 gelir hesapları + 391.01.01.0003</t>
        </is>
      </c>
      <c r="C5" s="64" t="inlineStr">
        <is>
          <t>Matrah x %20</t>
        </is>
      </c>
      <c r="D5" s="64" t="inlineStr">
        <is>
          <t>KDV1</t>
        </is>
      </c>
      <c r="E5" s="64" t="inlineStr">
        <is>
          <t>Matrah / Hesaplanan KDV</t>
        </is>
      </c>
      <c r="F5" s="64" t="inlineStr">
        <is>
          <t>Alkollü içecek, logolu ürün, genel oranlı diğer satışlar bu gruba düşebilir.</t>
        </is>
      </c>
    </row>
    <row r="6">
      <c r="A6" s="62" t="inlineStr">
        <is>
          <t>Satıştan iadeler %10/%20</t>
        </is>
      </c>
      <c r="B6" s="62" t="inlineStr">
        <is>
          <t>610 satış iade hesapları + 191.01.02 hesapları</t>
        </is>
      </c>
      <c r="C6" s="62" t="inlineStr">
        <is>
          <t>İade matrahı x oran</t>
        </is>
      </c>
      <c r="D6" s="62" t="inlineStr">
        <is>
          <t>KDV1</t>
        </is>
      </c>
      <c r="E6" s="62" t="inlineStr">
        <is>
          <t>İndirimler / satıştan iadeler</t>
        </is>
      </c>
      <c r="F6" s="62" t="inlineStr">
        <is>
          <t>İade KDV’si 191 satıştan iade hesabında takip edilir.</t>
        </is>
      </c>
    </row>
    <row r="7">
      <c r="A7" s="64" t="inlineStr">
        <is>
          <t>Yurtiçi alış/gider KDV</t>
        </is>
      </c>
      <c r="B7" s="64" t="inlineStr">
        <is>
          <t>191.01.01.0001 / 0002 / 0003</t>
        </is>
      </c>
      <c r="C7" s="64" t="inlineStr">
        <is>
          <t>Fatura KDV tutarı</t>
        </is>
      </c>
      <c r="D7" s="64" t="inlineStr">
        <is>
          <t>KDV1</t>
        </is>
      </c>
      <c r="E7" s="64" t="inlineStr">
        <is>
          <t>İndirilecek KDV</t>
        </is>
      </c>
      <c r="F7" s="64" t="inlineStr">
        <is>
          <t>İndirim hakkı için belge ve dönem şartı ayrıca kontrol edilir.</t>
        </is>
      </c>
    </row>
    <row r="8">
      <c r="A8" s="62" t="inlineStr">
        <is>
          <t>Tevkifatlı indirilecek KDV</t>
        </is>
      </c>
      <c r="B8" s="62" t="inlineStr">
        <is>
          <t>191.01.01.0006</t>
        </is>
      </c>
      <c r="C8" s="62" t="inlineStr">
        <is>
          <t>Tevkifatlı faturadaki indirilecek kısım</t>
        </is>
      </c>
      <c r="D8" s="62" t="inlineStr">
        <is>
          <t>KDV1 + KDV2 teyit</t>
        </is>
      </c>
      <c r="E8" s="62" t="inlineStr">
        <is>
          <t>KDV1 indirim / KDV2 sorumlu sıfatı</t>
        </is>
      </c>
      <c r="F8" s="62" t="inlineStr">
        <is>
          <t>Tevkifat sorumluluğu varsa KDV2 beyanı ve ödeme durumu ayrıca kontrol edilmeli.</t>
        </is>
      </c>
    </row>
    <row r="9">
      <c r="A9" s="64" t="inlineStr">
        <is>
          <t>Alıştan iade / ilave KDV</t>
        </is>
      </c>
      <c r="B9" s="64" t="inlineStr">
        <is>
          <t>391.01.03.* / 391.01.04.*</t>
        </is>
      </c>
      <c r="C9" s="64" t="inlineStr">
        <is>
          <t>İade/ilave edilecek KDV tutarı</t>
        </is>
      </c>
      <c r="D9" s="64" t="inlineStr">
        <is>
          <t>KDV1</t>
        </is>
      </c>
      <c r="E9" s="64" t="inlineStr">
        <is>
          <t>İlave edilecek KDV</t>
        </is>
      </c>
      <c r="F9" s="64" t="inlineStr">
        <is>
          <t>Net ödenecek KDV’yi artırır.</t>
        </is>
      </c>
    </row>
    <row r="10">
      <c r="A10" s="62" t="inlineStr">
        <is>
          <t>Ciro primi / alış iskonto geliri</t>
        </is>
      </c>
      <c r="B10" s="62" t="inlineStr">
        <is>
          <t>602.01.02.0003 + 391.01.03.0008</t>
        </is>
      </c>
      <c r="C10" s="62" t="inlineStr">
        <is>
          <t>Matrah x %20</t>
        </is>
      </c>
      <c r="D10" s="62" t="inlineStr">
        <is>
          <t>KDV1</t>
        </is>
      </c>
      <c r="E10" s="62" t="inlineStr">
        <is>
          <t>İlave KDV / hesaplanan KDV mantığı</t>
        </is>
      </c>
      <c r="F10" s="62" t="inlineStr">
        <is>
          <t>602 matrahının KDV karşılığı 391 ilave KDV ile uyumlu olmalı.</t>
        </is>
      </c>
    </row>
    <row r="11">
      <c r="A11" s="64" t="inlineStr">
        <is>
          <t>Kur farkı / ilave KDV</t>
        </is>
      </c>
      <c r="B11" s="64" t="inlineStr">
        <is>
          <t>646.01.01.0003 + 391.01.04.0002</t>
        </is>
      </c>
      <c r="C11" s="64" t="inlineStr">
        <is>
          <t>Matrah x oran</t>
        </is>
      </c>
      <c r="D11" s="64" t="inlineStr">
        <is>
          <t>KDV1</t>
        </is>
      </c>
      <c r="E11" s="64" t="inlineStr">
        <is>
          <t>İlave edilecek KDV</t>
        </is>
      </c>
      <c r="F11" s="64" t="inlineStr">
        <is>
          <t>Kur farkı KDV hesaplanan işlem ise 391 ilave KDV ile kontrol edilir.</t>
        </is>
      </c>
    </row>
    <row r="12">
      <c r="A12" s="62" t="inlineStr">
        <is>
          <t>Merkez şubeler</t>
        </is>
      </c>
      <c r="B12" s="62" t="inlineStr">
        <is>
          <t>GİTAŞ MERKEZ / SERTAŞ MERKEZ</t>
        </is>
      </c>
      <c r="C12" s="62" t="inlineStr">
        <is>
          <t>Robot kapsam dışı</t>
        </is>
      </c>
      <c r="D12" s="62" t="inlineStr">
        <is>
          <t>-</t>
        </is>
      </c>
      <c r="E12" s="62" t="inlineStr">
        <is>
          <t>-</t>
        </is>
      </c>
      <c r="F12" s="62" t="inlineStr">
        <is>
          <t>Bu dosyada merkezler hariç tutulmuştur.</t>
        </is>
      </c>
    </row>
  </sheetData>
  <mergeCells count="1">
    <mergeCell ref="A1:F1"/>
  </mergeCell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style="34" min="1" max="1"/>
    <col width="48" customWidth="1" style="34" min="2" max="2"/>
    <col width="3" customWidth="1" style="34" min="3" max="3"/>
    <col width="28" customWidth="1" style="34" min="4" max="4"/>
  </cols>
  <sheetData>
    <row r="1" ht="28" customHeight="1" s="34">
      <c r="A1" s="54" t="inlineStr">
        <is>
          <t>AYARLAR</t>
        </is>
      </c>
      <c r="B1" s="56" t="n"/>
      <c r="C1" s="36" t="inlineStr"/>
      <c r="D1" s="74" t="inlineStr">
        <is>
          <t>ŞUBE LİSTESİ (MERKEZLER HARİÇ)</t>
        </is>
      </c>
    </row>
    <row r="2">
      <c r="A2" s="75" t="inlineStr">
        <is>
          <t>Tolerans TL</t>
        </is>
      </c>
      <c r="B2" s="76" t="n">
        <v>1</v>
      </c>
      <c r="D2" s="77" t="inlineStr">
        <is>
          <t>ROYAL ADAM EVE</t>
        </is>
      </c>
    </row>
    <row r="3">
      <c r="A3" s="75" t="inlineStr">
        <is>
          <t>RAW aralığı</t>
        </is>
      </c>
      <c r="B3" s="76" t="inlineStr">
        <is>
          <t>A2:L10000</t>
        </is>
      </c>
      <c r="D3" s="78" t="inlineStr">
        <is>
          <t>ROYAL ALHAMBRA</t>
        </is>
      </c>
    </row>
    <row r="4">
      <c r="A4" s="75" t="inlineStr">
        <is>
          <t>Merkezler</t>
        </is>
      </c>
      <c r="B4" s="76" t="inlineStr">
        <is>
          <t>GİTAŞ MERKEZ / SERTAŞ MERKEZ dahil edilmez</t>
        </is>
      </c>
      <c r="D4" s="77" t="inlineStr">
        <is>
          <t>ROYAL DRAGON</t>
        </is>
      </c>
    </row>
    <row r="5">
      <c r="A5" s="75" t="inlineStr">
        <is>
          <t>Kredi tabiatlı hesaplar</t>
        </is>
      </c>
      <c r="B5" s="76" t="inlineStr">
        <is>
          <t>Alacak - Borç</t>
        </is>
      </c>
      <c r="D5" s="78" t="inlineStr">
        <is>
          <t>ROYAL HOLIDAY</t>
        </is>
      </c>
    </row>
    <row r="6">
      <c r="A6" s="75" t="inlineStr">
        <is>
          <t>Borç tabiatlı hesaplar</t>
        </is>
      </c>
      <c r="B6" s="76" t="inlineStr">
        <is>
          <t>Borç - Alacak</t>
        </is>
      </c>
      <c r="D6" s="77" t="inlineStr">
        <is>
          <t>ROYAL SEGINUS</t>
        </is>
      </c>
    </row>
    <row r="7">
      <c r="A7" s="75" t="inlineStr">
        <is>
          <t>KDV1</t>
        </is>
      </c>
      <c r="B7" s="76" t="inlineStr">
        <is>
          <t>600 / 610 / 191 / 391 hesaplarından beyanname icmali</t>
        </is>
      </c>
      <c r="D7" s="78" t="inlineStr">
        <is>
          <t>STONE ÇARŞI</t>
        </is>
      </c>
    </row>
    <row r="8">
      <c r="A8" s="75" t="inlineStr">
        <is>
          <t>KDV2</t>
        </is>
      </c>
      <c r="B8" s="76" t="inlineStr">
        <is>
          <t>Tevkifat / sorumlu sıfatıyla işlem varsa ayrıca kontrol edilir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34" min="1" max="1"/>
    <col width="30" customWidth="1" style="34" min="2" max="2"/>
    <col width="52" customWidth="1" style="34" min="3" max="3"/>
    <col width="40" customWidth="1" style="34" min="4" max="4"/>
  </cols>
  <sheetData>
    <row r="1" ht="28" customHeight="1" s="34">
      <c r="A1" s="54" t="inlineStr">
        <is>
          <t>KAYNAKLAR / MEVZUAT NOTLARI</t>
        </is>
      </c>
      <c r="B1" s="55" t="n"/>
      <c r="C1" s="55" t="n"/>
      <c r="D1" s="56" t="n"/>
    </row>
    <row r="3" ht="32" customHeight="1" s="34">
      <c r="A3" s="59" t="inlineStr">
        <is>
          <t>Konu</t>
        </is>
      </c>
      <c r="B3" s="59" t="inlineStr">
        <is>
          <t>Kaynak</t>
        </is>
      </c>
      <c r="C3" s="59" t="inlineStr">
        <is>
          <t>URL</t>
        </is>
      </c>
      <c r="D3" s="59" t="inlineStr">
        <is>
          <t>Robotta Kullanım</t>
        </is>
      </c>
    </row>
    <row r="4">
      <c r="A4" s="62" t="inlineStr">
        <is>
          <t>KDV1 ve KDV2 beyanname formları</t>
        </is>
      </c>
      <c r="B4" s="62" t="inlineStr">
        <is>
          <t>Gelir İdaresi Başkanlığı</t>
        </is>
      </c>
      <c r="C4" s="79" t="inlineStr">
        <is>
          <t>https://www.gib.gov.tr/yardim-kaynaklar/beyanname-formlari-ve-bildirimler</t>
        </is>
      </c>
      <c r="D4" s="62" t="inlineStr">
        <is>
          <t>KDV1/KDV2 ayrımı ve beyanname yol haritası</t>
        </is>
      </c>
    </row>
    <row r="5">
      <c r="A5" s="64" t="inlineStr">
        <is>
          <t>Güncel KDV oranları listesi</t>
        </is>
      </c>
      <c r="B5" s="64" t="inlineStr">
        <is>
          <t>Gelir İdaresi Başkanlığı</t>
        </is>
      </c>
      <c r="C5" s="80" t="inlineStr">
        <is>
          <t>https://www.gib.gov.tr/yardim-ve-kaynaklar/yararli-bilgiler/kdv-oranlari-listesi</t>
        </is>
      </c>
      <c r="D5" s="64" t="inlineStr">
        <is>
          <t>%1 / %10 / %20 oran mantığı</t>
        </is>
      </c>
    </row>
    <row r="6">
      <c r="A6" s="62" t="inlineStr">
        <is>
          <t>KDV Kanunu</t>
        </is>
      </c>
      <c r="B6" s="62" t="inlineStr">
        <is>
          <t>3065 sayılı Katma Değer Vergisi Kanunu</t>
        </is>
      </c>
      <c r="C6" s="79" t="inlineStr">
        <is>
          <t>https://www.gib.gov.tr/mevzuat/kanun/436</t>
        </is>
      </c>
      <c r="D6" s="62" t="inlineStr">
        <is>
          <t>KDV’nin konusu, indirim ve sorumlu sıfatıyla beyan mantığı</t>
        </is>
      </c>
    </row>
    <row r="7">
      <c r="A7" s="64" t="inlineStr">
        <is>
          <t>e-Beyan KDV1 teknik doküman</t>
        </is>
      </c>
      <c r="B7" s="64" t="inlineStr">
        <is>
          <t>GİB e-Beyan KDV1</t>
        </is>
      </c>
      <c r="C7" s="80" t="inlineStr">
        <is>
          <t>https://ebeyan.gib.gov.tr/entegrator/docs/kdv1/</t>
        </is>
      </c>
      <c r="D7" s="64" t="inlineStr">
        <is>
          <t>KDV1 içinde sorumlu sıfatıyla ödenen KDV / indirim teyidi</t>
        </is>
      </c>
    </row>
    <row r="8">
      <c r="A8" s="62" t="inlineStr">
        <is>
          <t>e-Beyan KDV2 teknik doküman</t>
        </is>
      </c>
      <c r="B8" s="62" t="inlineStr">
        <is>
          <t>GİB e-Beyan KDV2</t>
        </is>
      </c>
      <c r="C8" s="79" t="inlineStr">
        <is>
          <t>https://ebeyan.gib.gov.tr/entegrator/docs/kdv2</t>
        </is>
      </c>
      <c r="D8" s="62" t="inlineStr">
        <is>
          <t>KDV2 sorumlu sıfatıyla beyan mantığı</t>
        </is>
      </c>
    </row>
  </sheetData>
  <mergeCells count="1">
    <mergeCell ref="A1:D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34" min="1" max="1"/>
    <col width="40" customWidth="1" style="34" min="2" max="2"/>
    <col width="70" customWidth="1" style="34" min="3" max="3"/>
    <col width="12" customWidth="1" style="34" min="4" max="4"/>
    <col width="12" customWidth="1" style="34" min="5" max="5"/>
  </cols>
  <sheetData>
    <row r="1" ht="28" customHeight="1" s="34">
      <c r="A1" s="54" t="inlineStr">
        <is>
          <t>KULLANIM TALİMATI</t>
        </is>
      </c>
      <c r="B1" s="55" t="n"/>
      <c r="C1" s="56" t="n"/>
      <c r="D1" s="36" t="inlineStr"/>
      <c r="E1" s="36" t="inlineStr"/>
    </row>
    <row r="3" ht="32" customHeight="1" s="34">
      <c r="A3" s="59" t="inlineStr">
        <is>
          <t>Adım</t>
        </is>
      </c>
      <c r="B3" s="59" t="inlineStr">
        <is>
          <t>Başlık</t>
        </is>
      </c>
      <c r="C3" s="59" t="inlineStr">
        <is>
          <t>Açıklama</t>
        </is>
      </c>
      <c r="D3" s="39" t="inlineStr"/>
      <c r="E3" s="39" t="inlineStr"/>
    </row>
    <row r="4">
      <c r="A4" s="62" t="inlineStr">
        <is>
          <t>1</t>
        </is>
      </c>
      <c r="B4" s="62" t="inlineStr">
        <is>
          <t>RAW_HESAP_KARTLARI sayfasına git.</t>
        </is>
      </c>
      <c r="C4" s="62" t="inlineStr">
        <is>
          <t>Yeni Hesap Kartları Rakamları raporunu A1 hücresinden itibaren başlıklarıyla birlikte yapıştır.</t>
        </is>
      </c>
      <c r="D4" s="40" t="inlineStr"/>
      <c r="E4" s="40" t="inlineStr"/>
    </row>
    <row r="5">
      <c r="A5" s="64" t="inlineStr">
        <is>
          <t>2</t>
        </is>
      </c>
      <c r="B5" s="64" t="inlineStr">
        <is>
          <t>Merkezler hariç kontrol edilir.</t>
        </is>
      </c>
      <c r="C5" s="64" t="inlineStr">
        <is>
          <t>GİTAŞ MERKEZ ve SERTAŞ MERKEZ robot kapsamına alınmaz.</t>
        </is>
      </c>
      <c r="D5" s="40" t="inlineStr"/>
      <c r="E5" s="40" t="inlineStr"/>
    </row>
    <row r="6">
      <c r="A6" s="62" t="inlineStr">
        <is>
          <t>3</t>
        </is>
      </c>
      <c r="B6" s="62" t="inlineStr">
        <is>
          <t>Dashboard otomatik okur.</t>
        </is>
      </c>
      <c r="C6" s="62" t="inlineStr">
        <is>
          <t>Excel hesaplama otomatik değilse F9 tuşuna bas.</t>
        </is>
      </c>
      <c r="D6" s="40" t="inlineStr"/>
      <c r="E6" s="40" t="inlineStr"/>
    </row>
    <row r="7">
      <c r="A7" s="64" t="inlineStr">
        <is>
          <t>4</t>
        </is>
      </c>
      <c r="B7" s="64" t="inlineStr">
        <is>
          <t>KDV_BEYAN_ICMAL sayfasını oku.</t>
        </is>
      </c>
      <c r="C7" s="64" t="inlineStr">
        <is>
          <t>Şube şube hesaplanan, indirilecek, ilave, iade ve net KDV burada çıkar.</t>
        </is>
      </c>
      <c r="D7" s="40" t="inlineStr"/>
      <c r="E7" s="40" t="inlineStr"/>
    </row>
    <row r="8">
      <c r="A8" s="62" t="inlineStr">
        <is>
          <t>5</t>
        </is>
      </c>
      <c r="B8" s="62" t="inlineStr">
        <is>
          <t>KDV_ORAN_KONTROL sayfasını incele.</t>
        </is>
      </c>
      <c r="C8" s="62" t="inlineStr">
        <is>
          <t>Fark veren satırda hangi hesap grubu hatalı yazıyor.</t>
        </is>
      </c>
      <c r="D8" s="40" t="inlineStr"/>
      <c r="E8" s="40" t="inlineStr"/>
    </row>
    <row r="9">
      <c r="A9" s="64" t="inlineStr">
        <is>
          <t>6</t>
        </is>
      </c>
      <c r="B9" s="64" t="inlineStr">
        <is>
          <t>KDV_NASIL_HESAPLANIR ve BEYANNAME_YOL_HARITASI sayfalarını kullan.</t>
        </is>
      </c>
      <c r="C9" s="64" t="inlineStr">
        <is>
          <t>Hangi KDV’nin hangi beyannamede verileceği ve hesaplama mantığı burada yazılıdır.</t>
        </is>
      </c>
      <c r="D9" s="40" t="inlineStr"/>
      <c r="E9" s="40" t="inlineStr"/>
    </row>
    <row r="11">
      <c r="A11" s="81" t="inlineStr">
        <is>
          <t>Yeni eklenen hata nedeni motoru</t>
        </is>
      </c>
      <c r="B11" s="82" t="inlineStr">
        <is>
          <t>Dashboard K sütunu hata nedenini, L sütunu kontrol edilecek fiş/hap alanını gösterir. Detay için HATA_NEDEN_MOTORU sayfasına bakılır.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 Grid</dc:creator>
  <dc:title>Workbook</dc:title>
  <dcterms:created xsi:type="dcterms:W3CDTF">2026-06-29T07:16:54Z</dcterms:created>
  <dcterms:modified xsi:type="dcterms:W3CDTF">2026-06-29T09:24:52Z</dcterms:modified>
</cp:coreProperties>
</file>